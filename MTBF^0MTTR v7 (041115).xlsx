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ml.chartshapes+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ml.chartshapes+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G:\NET\IATF\"/>
    </mc:Choice>
  </mc:AlternateContent>
  <xr:revisionPtr revIDLastSave="0" documentId="13_ncr:1_{186D2FA4-F7F6-467B-A20B-229BA9084BBB}" xr6:coauthVersionLast="47" xr6:coauthVersionMax="47" xr10:uidLastSave="{00000000-0000-0000-0000-000000000000}"/>
  <bookViews>
    <workbookView xWindow="-120" yWindow="-120" windowWidth="20730" windowHeight="11160" tabRatio="714" activeTab="3" xr2:uid="{00000000-000D-0000-FFFF-FFFF00000000}"/>
  </bookViews>
  <sheets>
    <sheet name="database" sheetId="10" r:id="rId1"/>
    <sheet name="ورود داده" sheetId="8" r:id="rId2"/>
    <sheet name="داشبورد" sheetId="29" r:id="rId3"/>
    <sheet name="نمودار مقایسه ای" sheetId="9" r:id="rId4"/>
    <sheet name="نمودار عملکرد تجهیز" sheetId="45" r:id="rId5"/>
    <sheet name="all of factory" sheetId="28" r:id="rId6"/>
    <sheet name="MTBF" sheetId="21" r:id="rId7"/>
    <sheet name="MTTR" sheetId="22" r:id="rId8"/>
    <sheet name="MTBF (all machin)" sheetId="20" r:id="rId9"/>
    <sheet name="MTTR (all machin)" sheetId="15" r:id="rId10"/>
    <sheet name="MTBF_selected machin" sheetId="19" r:id="rId11"/>
    <sheet name="MTTR_selected machin" sheetId="17" r:id="rId12"/>
    <sheet name="Action Plan" sheetId="13" r:id="rId13"/>
    <sheet name="defects (MTTR)" sheetId="24" r:id="rId14"/>
    <sheet name="pareto" sheetId="27" r:id="rId15"/>
    <sheet name="اصلاحات" sheetId="14" r:id="rId16"/>
  </sheets>
  <definedNames>
    <definedName name="_xlnm._FilterDatabase" localSheetId="1" hidden="1">'ورود داده'!$AE$2:$AF$292</definedName>
    <definedName name="Slicer_دستگاه">#N/A</definedName>
    <definedName name="Slicer_سال_توقف">#N/A</definedName>
    <definedName name="Slicer_سال_توقف1">#N/A</definedName>
    <definedName name="Slicer_سالن">#N/A</definedName>
    <definedName name="Slicer_سالن1">#N/A</definedName>
    <definedName name="Slicer_فصل_توقف">#N/A</definedName>
    <definedName name="Slicer_فصل_توقف1">#N/A</definedName>
    <definedName name="Slicer_کد">#N/A</definedName>
    <definedName name="Slicer_ماه_توقف">#N/A</definedName>
    <definedName name="Slicer_ماه_توقف1">#N/A</definedName>
  </definedNames>
  <calcPr calcId="191029"/>
  <pivotCaches>
    <pivotCache cacheId="36"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92" i="8" l="1"/>
  <c r="K292" i="8"/>
  <c r="L292" i="8"/>
  <c r="M292" i="8"/>
  <c r="N292" i="8"/>
  <c r="R292" i="8"/>
  <c r="T292" i="8"/>
  <c r="S292" i="8" s="1"/>
  <c r="U292" i="8"/>
  <c r="V292" i="8"/>
  <c r="W292" i="8"/>
  <c r="AA292" i="8"/>
  <c r="AB292" i="8"/>
  <c r="AD292" i="8"/>
  <c r="AD266" i="8"/>
  <c r="AB266" i="8"/>
  <c r="AA266" i="8"/>
  <c r="W266" i="8"/>
  <c r="V266" i="8"/>
  <c r="U266" i="8"/>
  <c r="T266" i="8"/>
  <c r="S266" i="8" s="1"/>
  <c r="R266" i="8"/>
  <c r="N266" i="8"/>
  <c r="M266" i="8"/>
  <c r="L266" i="8"/>
  <c r="K266" i="8"/>
  <c r="J266" i="8" s="1"/>
  <c r="I266" i="8"/>
  <c r="I289" i="8"/>
  <c r="K289" i="8"/>
  <c r="J289" i="8" s="1"/>
  <c r="L289" i="8"/>
  <c r="M289" i="8"/>
  <c r="N289" i="8"/>
  <c r="R289" i="8"/>
  <c r="I286" i="8"/>
  <c r="I287" i="8"/>
  <c r="I288" i="8"/>
  <c r="I290" i="8"/>
  <c r="I291" i="8"/>
  <c r="K286" i="8"/>
  <c r="J286" i="8" s="1"/>
  <c r="K287" i="8"/>
  <c r="J287" i="8" s="1"/>
  <c r="K288" i="8"/>
  <c r="J288" i="8" s="1"/>
  <c r="K290" i="8"/>
  <c r="J290" i="8" s="1"/>
  <c r="K291" i="8"/>
  <c r="J291" i="8" s="1"/>
  <c r="L286" i="8"/>
  <c r="L287" i="8"/>
  <c r="L288" i="8"/>
  <c r="L290" i="8"/>
  <c r="L291" i="8"/>
  <c r="M286" i="8"/>
  <c r="M287" i="8"/>
  <c r="M288" i="8"/>
  <c r="M290" i="8"/>
  <c r="M291" i="8"/>
  <c r="N286" i="8"/>
  <c r="N287" i="8"/>
  <c r="N288" i="8"/>
  <c r="N290" i="8"/>
  <c r="N291" i="8"/>
  <c r="R286" i="8"/>
  <c r="R287" i="8"/>
  <c r="R288" i="8"/>
  <c r="R290" i="8"/>
  <c r="R291" i="8"/>
  <c r="T286" i="8"/>
  <c r="S286" i="8" s="1"/>
  <c r="T287" i="8"/>
  <c r="S287" i="8" s="1"/>
  <c r="T288" i="8"/>
  <c r="S288" i="8" s="1"/>
  <c r="T289" i="8"/>
  <c r="S289" i="8" s="1"/>
  <c r="T290" i="8"/>
  <c r="S290" i="8" s="1"/>
  <c r="T291" i="8"/>
  <c r="S291" i="8" s="1"/>
  <c r="U286" i="8"/>
  <c r="U287" i="8"/>
  <c r="U288" i="8"/>
  <c r="U289" i="8"/>
  <c r="U290" i="8"/>
  <c r="U291" i="8"/>
  <c r="V286" i="8"/>
  <c r="V287" i="8"/>
  <c r="V288" i="8"/>
  <c r="V289" i="8"/>
  <c r="V290" i="8"/>
  <c r="V291" i="8"/>
  <c r="W286" i="8"/>
  <c r="W287" i="8"/>
  <c r="W288" i="8"/>
  <c r="W289" i="8"/>
  <c r="W290" i="8"/>
  <c r="W291" i="8"/>
  <c r="AA286" i="8"/>
  <c r="AA287" i="8"/>
  <c r="AA288" i="8"/>
  <c r="AA289" i="8"/>
  <c r="AA290" i="8"/>
  <c r="AA291" i="8"/>
  <c r="AB286" i="8"/>
  <c r="AB287" i="8"/>
  <c r="AB288" i="8"/>
  <c r="AB289" i="8"/>
  <c r="AB290" i="8"/>
  <c r="AB291" i="8"/>
  <c r="AD286" i="8"/>
  <c r="AD287" i="8"/>
  <c r="AD288" i="8"/>
  <c r="AD289" i="8"/>
  <c r="AD290" i="8"/>
  <c r="AD291" i="8"/>
  <c r="I284" i="8"/>
  <c r="I285" i="8"/>
  <c r="K284" i="8"/>
  <c r="J284" i="8" s="1"/>
  <c r="K285" i="8"/>
  <c r="L284" i="8"/>
  <c r="L285" i="8"/>
  <c r="M284" i="8"/>
  <c r="M285" i="8"/>
  <c r="N284" i="8"/>
  <c r="N285" i="8"/>
  <c r="R284" i="8"/>
  <c r="R285" i="8"/>
  <c r="T284" i="8"/>
  <c r="T285" i="8"/>
  <c r="S285" i="8" s="1"/>
  <c r="U284" i="8"/>
  <c r="U285" i="8"/>
  <c r="V284" i="8"/>
  <c r="V285" i="8"/>
  <c r="W284" i="8"/>
  <c r="W285" i="8"/>
  <c r="AA284" i="8"/>
  <c r="AA285" i="8"/>
  <c r="AB284" i="8"/>
  <c r="AB285" i="8"/>
  <c r="AD284" i="8"/>
  <c r="AD285" i="8"/>
  <c r="I277" i="8"/>
  <c r="I278" i="8"/>
  <c r="I279" i="8"/>
  <c r="I280" i="8"/>
  <c r="I281" i="8"/>
  <c r="I282" i="8"/>
  <c r="I283" i="8"/>
  <c r="K277" i="8"/>
  <c r="J277" i="8" s="1"/>
  <c r="K278" i="8"/>
  <c r="J278" i="8" s="1"/>
  <c r="K279" i="8"/>
  <c r="J279" i="8" s="1"/>
  <c r="K280" i="8"/>
  <c r="K281" i="8"/>
  <c r="K282" i="8"/>
  <c r="J282" i="8" s="1"/>
  <c r="K283" i="8"/>
  <c r="J283" i="8" s="1"/>
  <c r="L277" i="8"/>
  <c r="L278" i="8"/>
  <c r="L279" i="8"/>
  <c r="L280" i="8"/>
  <c r="L281" i="8"/>
  <c r="L282" i="8"/>
  <c r="L283" i="8"/>
  <c r="M277" i="8"/>
  <c r="M278" i="8"/>
  <c r="M279" i="8"/>
  <c r="M280" i="8"/>
  <c r="M281" i="8"/>
  <c r="M282" i="8"/>
  <c r="M283" i="8"/>
  <c r="N277" i="8"/>
  <c r="N278" i="8"/>
  <c r="N279" i="8"/>
  <c r="N280" i="8"/>
  <c r="N281" i="8"/>
  <c r="N282" i="8"/>
  <c r="N283" i="8"/>
  <c r="R277" i="8"/>
  <c r="R278" i="8"/>
  <c r="R279" i="8"/>
  <c r="R280" i="8"/>
  <c r="R281" i="8"/>
  <c r="R282" i="8"/>
  <c r="R283" i="8"/>
  <c r="T277" i="8"/>
  <c r="S277" i="8" s="1"/>
  <c r="T278" i="8"/>
  <c r="S278" i="8" s="1"/>
  <c r="T279" i="8"/>
  <c r="T280" i="8"/>
  <c r="T281" i="8"/>
  <c r="S281" i="8" s="1"/>
  <c r="T282" i="8"/>
  <c r="S282" i="8" s="1"/>
  <c r="T283" i="8"/>
  <c r="S283" i="8" s="1"/>
  <c r="U277" i="8"/>
  <c r="U278" i="8"/>
  <c r="U279" i="8"/>
  <c r="U280" i="8"/>
  <c r="U281" i="8"/>
  <c r="U282" i="8"/>
  <c r="U283" i="8"/>
  <c r="V277" i="8"/>
  <c r="V278" i="8"/>
  <c r="V279" i="8"/>
  <c r="V280" i="8"/>
  <c r="V281" i="8"/>
  <c r="V282" i="8"/>
  <c r="V283" i="8"/>
  <c r="W277" i="8"/>
  <c r="W278" i="8"/>
  <c r="W279" i="8"/>
  <c r="W280" i="8"/>
  <c r="W281" i="8"/>
  <c r="W282" i="8"/>
  <c r="W283" i="8"/>
  <c r="AA277" i="8"/>
  <c r="AA278" i="8"/>
  <c r="AA279" i="8"/>
  <c r="AA280" i="8"/>
  <c r="AA281" i="8"/>
  <c r="AA282" i="8"/>
  <c r="AA283" i="8"/>
  <c r="AB277" i="8"/>
  <c r="AB278" i="8"/>
  <c r="AB279" i="8"/>
  <c r="AB280" i="8"/>
  <c r="AB281" i="8"/>
  <c r="AB282" i="8"/>
  <c r="AB283" i="8"/>
  <c r="AD277" i="8"/>
  <c r="AD278" i="8"/>
  <c r="AD279" i="8"/>
  <c r="AD280" i="8"/>
  <c r="AD281" i="8"/>
  <c r="AD282" i="8"/>
  <c r="AD283" i="8"/>
  <c r="R275" i="8"/>
  <c r="T275" i="8"/>
  <c r="U275" i="8"/>
  <c r="V275" i="8"/>
  <c r="W275" i="8"/>
  <c r="R276" i="8"/>
  <c r="T276" i="8"/>
  <c r="U276" i="8"/>
  <c r="V276" i="8"/>
  <c r="W276" i="8"/>
  <c r="W274" i="8"/>
  <c r="V274" i="8"/>
  <c r="U274" i="8"/>
  <c r="T274" i="8"/>
  <c r="S274" i="8" s="1"/>
  <c r="R274" i="8"/>
  <c r="W273" i="8"/>
  <c r="V273" i="8"/>
  <c r="U273" i="8"/>
  <c r="T273" i="8"/>
  <c r="S273" i="8" s="1"/>
  <c r="R273" i="8"/>
  <c r="W272" i="8"/>
  <c r="V272" i="8"/>
  <c r="U272" i="8"/>
  <c r="T272" i="8"/>
  <c r="S272" i="8" s="1"/>
  <c r="R272" i="8"/>
  <c r="W271" i="8"/>
  <c r="V271" i="8"/>
  <c r="U271" i="8"/>
  <c r="T271" i="8"/>
  <c r="S271" i="8" s="1"/>
  <c r="R271" i="8"/>
  <c r="W270" i="8"/>
  <c r="V270" i="8"/>
  <c r="U270" i="8"/>
  <c r="T270" i="8"/>
  <c r="S270" i="8" s="1"/>
  <c r="R270" i="8"/>
  <c r="W269" i="8"/>
  <c r="V269" i="8"/>
  <c r="U269" i="8"/>
  <c r="T269" i="8"/>
  <c r="S269" i="8" s="1"/>
  <c r="R269" i="8"/>
  <c r="W268" i="8"/>
  <c r="V268" i="8"/>
  <c r="U268" i="8"/>
  <c r="T268" i="8"/>
  <c r="S268" i="8" s="1"/>
  <c r="R268" i="8"/>
  <c r="X292" i="8" l="1"/>
  <c r="Z292" i="8" s="1"/>
  <c r="O292" i="8"/>
  <c r="AF292" i="8" s="1"/>
  <c r="AE292" i="8" s="1"/>
  <c r="J292" i="8"/>
  <c r="O266" i="8"/>
  <c r="X266" i="8"/>
  <c r="Z266" i="8" s="1"/>
  <c r="O291" i="8"/>
  <c r="O288" i="8"/>
  <c r="O290" i="8"/>
  <c r="X291" i="8"/>
  <c r="X290" i="8"/>
  <c r="O289" i="8"/>
  <c r="X288" i="8"/>
  <c r="X287" i="8"/>
  <c r="O287" i="8"/>
  <c r="O286" i="8"/>
  <c r="X286" i="8"/>
  <c r="X289" i="8"/>
  <c r="O284" i="8"/>
  <c r="X285" i="8"/>
  <c r="O285" i="8"/>
  <c r="X283" i="8"/>
  <c r="X284" i="8"/>
  <c r="S284" i="8"/>
  <c r="X282" i="8"/>
  <c r="O283" i="8"/>
  <c r="O281" i="8"/>
  <c r="J285" i="8"/>
  <c r="X278" i="8"/>
  <c r="X279" i="8"/>
  <c r="X281" i="8"/>
  <c r="O282" i="8"/>
  <c r="J281" i="8"/>
  <c r="X280" i="8"/>
  <c r="O280" i="8"/>
  <c r="O279" i="8"/>
  <c r="O278" i="8"/>
  <c r="X277" i="8"/>
  <c r="O277" i="8"/>
  <c r="AF277" i="8" s="1"/>
  <c r="AE277" i="8" s="1"/>
  <c r="S280" i="8"/>
  <c r="S279" i="8"/>
  <c r="J280" i="8"/>
  <c r="X274" i="8"/>
  <c r="Z274" i="8" s="1"/>
  <c r="X273" i="8"/>
  <c r="Z273" i="8" s="1"/>
  <c r="X272" i="8"/>
  <c r="Z272" i="8" s="1"/>
  <c r="X275" i="8"/>
  <c r="Z275" i="8" s="1"/>
  <c r="X271" i="8"/>
  <c r="Z271" i="8" s="1"/>
  <c r="X276" i="8"/>
  <c r="Z276" i="8" s="1"/>
  <c r="X270" i="8"/>
  <c r="X269" i="8"/>
  <c r="Z269" i="8" s="1"/>
  <c r="X268" i="8"/>
  <c r="Z268" i="8" s="1"/>
  <c r="S276" i="8"/>
  <c r="S275" i="8"/>
  <c r="Z288" i="8" l="1"/>
  <c r="Z283" i="8"/>
  <c r="Z286" i="8"/>
  <c r="Z280" i="8"/>
  <c r="Z285" i="8"/>
  <c r="AF286" i="8"/>
  <c r="AE286" i="8" s="1"/>
  <c r="Z291" i="8"/>
  <c r="Z287" i="8"/>
  <c r="Z290" i="8"/>
  <c r="Z289" i="8"/>
  <c r="Z284" i="8"/>
  <c r="Z281" i="8"/>
  <c r="Z277" i="8"/>
  <c r="Z278" i="8"/>
  <c r="Z282" i="8"/>
  <c r="Z279" i="8"/>
  <c r="Z270" i="8"/>
  <c r="AF270" i="8"/>
  <c r="AE270" i="8" s="1"/>
  <c r="AA268" i="8"/>
  <c r="AA269" i="8"/>
  <c r="AA270" i="8"/>
  <c r="AA271" i="8"/>
  <c r="AA272" i="8"/>
  <c r="AA273" i="8"/>
  <c r="AA274" i="8"/>
  <c r="AA275" i="8"/>
  <c r="AA276" i="8"/>
  <c r="AB268" i="8"/>
  <c r="AB269" i="8"/>
  <c r="AB270" i="8"/>
  <c r="AB271" i="8"/>
  <c r="AB272" i="8"/>
  <c r="AB273" i="8"/>
  <c r="AB274" i="8"/>
  <c r="AB275" i="8"/>
  <c r="AB276" i="8"/>
  <c r="AD268" i="8"/>
  <c r="AD269" i="8"/>
  <c r="AD270" i="8"/>
  <c r="AD271" i="8"/>
  <c r="AD272" i="8"/>
  <c r="AD273" i="8"/>
  <c r="AD274" i="8"/>
  <c r="AD275" i="8"/>
  <c r="AD276" i="8"/>
  <c r="AB21"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7" i="8"/>
  <c r="AD3" i="8"/>
  <c r="AC3" i="8"/>
  <c r="AB4" i="8"/>
  <c r="AB5" i="8"/>
  <c r="AB6" i="8"/>
  <c r="AB7" i="8"/>
  <c r="AB8" i="8"/>
  <c r="AB9" i="8"/>
  <c r="AB10" i="8"/>
  <c r="AB11" i="8"/>
  <c r="AB12" i="8"/>
  <c r="AB13" i="8"/>
  <c r="AB14" i="8"/>
  <c r="AB15" i="8"/>
  <c r="AB16" i="8"/>
  <c r="AB17" i="8"/>
  <c r="AB18" i="8"/>
  <c r="AB19" i="8"/>
  <c r="AB20"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7" i="8"/>
  <c r="AB3" i="8"/>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112" i="8"/>
  <c r="AA113" i="8"/>
  <c r="AA114" i="8"/>
  <c r="AA115" i="8"/>
  <c r="AA116" i="8"/>
  <c r="AA117" i="8"/>
  <c r="AA118" i="8"/>
  <c r="AA119" i="8"/>
  <c r="AA120" i="8"/>
  <c r="AA121" i="8"/>
  <c r="AA122" i="8"/>
  <c r="AA123" i="8"/>
  <c r="AA124" i="8"/>
  <c r="AA125" i="8"/>
  <c r="AA126" i="8"/>
  <c r="AA127" i="8"/>
  <c r="AA128" i="8"/>
  <c r="AA129" i="8"/>
  <c r="AA130" i="8"/>
  <c r="AA131" i="8"/>
  <c r="AA132" i="8"/>
  <c r="AA133" i="8"/>
  <c r="AA134" i="8"/>
  <c r="AA135" i="8"/>
  <c r="AA136" i="8"/>
  <c r="AA137" i="8"/>
  <c r="AA138" i="8"/>
  <c r="AA139" i="8"/>
  <c r="AA140" i="8"/>
  <c r="AA141" i="8"/>
  <c r="AA142" i="8"/>
  <c r="AA143" i="8"/>
  <c r="AA144" i="8"/>
  <c r="AA145" i="8"/>
  <c r="AA146" i="8"/>
  <c r="AA147" i="8"/>
  <c r="AA148" i="8"/>
  <c r="AA149" i="8"/>
  <c r="AA150" i="8"/>
  <c r="AA151" i="8"/>
  <c r="AA152" i="8"/>
  <c r="AA153" i="8"/>
  <c r="AA154" i="8"/>
  <c r="AA155" i="8"/>
  <c r="AA156" i="8"/>
  <c r="AA157" i="8"/>
  <c r="AA158" i="8"/>
  <c r="AA159" i="8"/>
  <c r="AA160" i="8"/>
  <c r="AA161" i="8"/>
  <c r="AA162" i="8"/>
  <c r="AA163" i="8"/>
  <c r="AA164" i="8"/>
  <c r="AA165" i="8"/>
  <c r="AA166" i="8"/>
  <c r="AA167" i="8"/>
  <c r="AA168" i="8"/>
  <c r="AA169" i="8"/>
  <c r="AA170" i="8"/>
  <c r="AA171" i="8"/>
  <c r="AA172" i="8"/>
  <c r="AA173" i="8"/>
  <c r="AA174" i="8"/>
  <c r="AA175" i="8"/>
  <c r="AA176" i="8"/>
  <c r="AA177" i="8"/>
  <c r="AA178" i="8"/>
  <c r="AA179" i="8"/>
  <c r="AA180" i="8"/>
  <c r="AA181" i="8"/>
  <c r="AA182" i="8"/>
  <c r="AA183" i="8"/>
  <c r="AA184" i="8"/>
  <c r="AA185" i="8"/>
  <c r="AA186" i="8"/>
  <c r="AA187" i="8"/>
  <c r="AA188" i="8"/>
  <c r="AA189" i="8"/>
  <c r="AA190" i="8"/>
  <c r="AA191" i="8"/>
  <c r="AA192" i="8"/>
  <c r="AA193" i="8"/>
  <c r="AA194" i="8"/>
  <c r="AA195" i="8"/>
  <c r="AA196" i="8"/>
  <c r="AA197" i="8"/>
  <c r="AA198" i="8"/>
  <c r="AA199" i="8"/>
  <c r="AA200" i="8"/>
  <c r="AA201" i="8"/>
  <c r="AA202" i="8"/>
  <c r="AA203" i="8"/>
  <c r="AA204" i="8"/>
  <c r="AA205" i="8"/>
  <c r="AA206" i="8"/>
  <c r="AA207" i="8"/>
  <c r="AA208" i="8"/>
  <c r="AA209" i="8"/>
  <c r="AA210" i="8"/>
  <c r="AA211" i="8"/>
  <c r="AA212" i="8"/>
  <c r="AA213" i="8"/>
  <c r="AA214" i="8"/>
  <c r="AA215" i="8"/>
  <c r="AA216" i="8"/>
  <c r="AA217" i="8"/>
  <c r="AA218" i="8"/>
  <c r="AA219" i="8"/>
  <c r="AA220" i="8"/>
  <c r="AA221" i="8"/>
  <c r="AA222" i="8"/>
  <c r="AA223" i="8"/>
  <c r="AA224" i="8"/>
  <c r="AA225" i="8"/>
  <c r="AA226" i="8"/>
  <c r="AA227" i="8"/>
  <c r="AA228" i="8"/>
  <c r="AA229" i="8"/>
  <c r="AA230" i="8"/>
  <c r="AA231" i="8"/>
  <c r="AA232" i="8"/>
  <c r="AA233" i="8"/>
  <c r="AA234" i="8"/>
  <c r="AA235" i="8"/>
  <c r="AA236" i="8"/>
  <c r="AA237" i="8"/>
  <c r="AA238" i="8"/>
  <c r="AA239" i="8"/>
  <c r="AA240" i="8"/>
  <c r="AA241" i="8"/>
  <c r="AA242" i="8"/>
  <c r="AA243" i="8"/>
  <c r="AA244" i="8"/>
  <c r="AA245" i="8"/>
  <c r="AA246" i="8"/>
  <c r="AA247" i="8"/>
  <c r="AA248" i="8"/>
  <c r="AA249" i="8"/>
  <c r="AA250" i="8"/>
  <c r="AA251" i="8"/>
  <c r="AA252" i="8"/>
  <c r="AA253" i="8"/>
  <c r="AA254" i="8"/>
  <c r="AA255" i="8"/>
  <c r="AA256" i="8"/>
  <c r="AA257" i="8"/>
  <c r="AA258" i="8"/>
  <c r="AA259" i="8"/>
  <c r="AA260" i="8"/>
  <c r="AA261" i="8"/>
  <c r="AA262" i="8"/>
  <c r="AA263" i="8"/>
  <c r="AA264" i="8"/>
  <c r="AA265" i="8"/>
  <c r="AA267" i="8"/>
  <c r="AA3" i="8"/>
  <c r="I210" i="8"/>
  <c r="K210" i="8"/>
  <c r="L210" i="8"/>
  <c r="M210" i="8"/>
  <c r="N210" i="8"/>
  <c r="R210" i="8"/>
  <c r="T210" i="8"/>
  <c r="S210" i="8" s="1"/>
  <c r="U210" i="8"/>
  <c r="V210" i="8"/>
  <c r="W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7" i="8"/>
  <c r="K211" i="8"/>
  <c r="J211" i="8" s="1"/>
  <c r="K212" i="8"/>
  <c r="J212" i="8" s="1"/>
  <c r="K213" i="8"/>
  <c r="J213" i="8" s="1"/>
  <c r="K214" i="8"/>
  <c r="J214" i="8" s="1"/>
  <c r="K215" i="8"/>
  <c r="J215" i="8" s="1"/>
  <c r="K216" i="8"/>
  <c r="J216" i="8" s="1"/>
  <c r="K217" i="8"/>
  <c r="J217" i="8" s="1"/>
  <c r="K218" i="8"/>
  <c r="J218" i="8" s="1"/>
  <c r="K219" i="8"/>
  <c r="J219" i="8" s="1"/>
  <c r="K220" i="8"/>
  <c r="J220" i="8" s="1"/>
  <c r="K221" i="8"/>
  <c r="J221" i="8" s="1"/>
  <c r="K222" i="8"/>
  <c r="J222" i="8" s="1"/>
  <c r="K223" i="8"/>
  <c r="J223" i="8" s="1"/>
  <c r="K224" i="8"/>
  <c r="J224" i="8" s="1"/>
  <c r="K225" i="8"/>
  <c r="J225" i="8" s="1"/>
  <c r="K226" i="8"/>
  <c r="J226" i="8" s="1"/>
  <c r="K227" i="8"/>
  <c r="J227" i="8" s="1"/>
  <c r="K228" i="8"/>
  <c r="J228" i="8" s="1"/>
  <c r="K229" i="8"/>
  <c r="J229" i="8" s="1"/>
  <c r="K230" i="8"/>
  <c r="J230" i="8" s="1"/>
  <c r="K231" i="8"/>
  <c r="J231" i="8" s="1"/>
  <c r="K232" i="8"/>
  <c r="J232" i="8" s="1"/>
  <c r="K233" i="8"/>
  <c r="J233" i="8" s="1"/>
  <c r="K234" i="8"/>
  <c r="J234" i="8" s="1"/>
  <c r="K235" i="8"/>
  <c r="J235" i="8" s="1"/>
  <c r="K236" i="8"/>
  <c r="J236" i="8" s="1"/>
  <c r="K237" i="8"/>
  <c r="J237" i="8" s="1"/>
  <c r="K238" i="8"/>
  <c r="J238" i="8" s="1"/>
  <c r="K239" i="8"/>
  <c r="J239" i="8" s="1"/>
  <c r="K240" i="8"/>
  <c r="J240" i="8" s="1"/>
  <c r="K241" i="8"/>
  <c r="J241" i="8" s="1"/>
  <c r="K242" i="8"/>
  <c r="J242" i="8" s="1"/>
  <c r="K243" i="8"/>
  <c r="J243" i="8" s="1"/>
  <c r="K244" i="8"/>
  <c r="J244" i="8" s="1"/>
  <c r="K245" i="8"/>
  <c r="J245" i="8" s="1"/>
  <c r="K246" i="8"/>
  <c r="J246" i="8" s="1"/>
  <c r="K247" i="8"/>
  <c r="J247" i="8" s="1"/>
  <c r="K248" i="8"/>
  <c r="J248" i="8" s="1"/>
  <c r="K249" i="8"/>
  <c r="J249" i="8" s="1"/>
  <c r="K250" i="8"/>
  <c r="J250" i="8" s="1"/>
  <c r="K251" i="8"/>
  <c r="J251" i="8" s="1"/>
  <c r="K252" i="8"/>
  <c r="J252" i="8" s="1"/>
  <c r="K253" i="8"/>
  <c r="J253" i="8" s="1"/>
  <c r="K254" i="8"/>
  <c r="J254" i="8" s="1"/>
  <c r="K255" i="8"/>
  <c r="J255" i="8" s="1"/>
  <c r="K256" i="8"/>
  <c r="J256" i="8" s="1"/>
  <c r="K257" i="8"/>
  <c r="J257" i="8" s="1"/>
  <c r="K258" i="8"/>
  <c r="J258" i="8" s="1"/>
  <c r="K259" i="8"/>
  <c r="J259" i="8" s="1"/>
  <c r="K260" i="8"/>
  <c r="J260" i="8" s="1"/>
  <c r="K261" i="8"/>
  <c r="J261" i="8" s="1"/>
  <c r="K262" i="8"/>
  <c r="J262" i="8" s="1"/>
  <c r="K263" i="8"/>
  <c r="J263" i="8" s="1"/>
  <c r="K264" i="8"/>
  <c r="J264" i="8" s="1"/>
  <c r="K265" i="8"/>
  <c r="J265" i="8" s="1"/>
  <c r="K267" i="8"/>
  <c r="J267" i="8" s="1"/>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7"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7"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7"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7" i="8"/>
  <c r="T211" i="8"/>
  <c r="S211" i="8" s="1"/>
  <c r="T212" i="8"/>
  <c r="S212" i="8" s="1"/>
  <c r="T213" i="8"/>
  <c r="S213" i="8" s="1"/>
  <c r="T214" i="8"/>
  <c r="S214" i="8" s="1"/>
  <c r="T215" i="8"/>
  <c r="S215" i="8" s="1"/>
  <c r="T216" i="8"/>
  <c r="S216" i="8" s="1"/>
  <c r="T217" i="8"/>
  <c r="S217" i="8" s="1"/>
  <c r="T218" i="8"/>
  <c r="S218" i="8" s="1"/>
  <c r="T219" i="8"/>
  <c r="S219" i="8" s="1"/>
  <c r="T220" i="8"/>
  <c r="S220" i="8" s="1"/>
  <c r="T221" i="8"/>
  <c r="S221" i="8" s="1"/>
  <c r="T222" i="8"/>
  <c r="S222" i="8" s="1"/>
  <c r="T223" i="8"/>
  <c r="S223" i="8" s="1"/>
  <c r="T224" i="8"/>
  <c r="S224" i="8" s="1"/>
  <c r="T225" i="8"/>
  <c r="S225" i="8" s="1"/>
  <c r="T226" i="8"/>
  <c r="S226" i="8" s="1"/>
  <c r="T227" i="8"/>
  <c r="S227" i="8" s="1"/>
  <c r="T228" i="8"/>
  <c r="S228" i="8" s="1"/>
  <c r="T229" i="8"/>
  <c r="S229" i="8" s="1"/>
  <c r="T230" i="8"/>
  <c r="S230" i="8" s="1"/>
  <c r="T231" i="8"/>
  <c r="S231" i="8" s="1"/>
  <c r="T232" i="8"/>
  <c r="S232" i="8" s="1"/>
  <c r="T233" i="8"/>
  <c r="S233" i="8" s="1"/>
  <c r="T234" i="8"/>
  <c r="S234" i="8" s="1"/>
  <c r="T235" i="8"/>
  <c r="S235" i="8" s="1"/>
  <c r="T236" i="8"/>
  <c r="S236" i="8" s="1"/>
  <c r="T237" i="8"/>
  <c r="S237" i="8" s="1"/>
  <c r="T238" i="8"/>
  <c r="S238" i="8" s="1"/>
  <c r="T239" i="8"/>
  <c r="S239" i="8" s="1"/>
  <c r="T240" i="8"/>
  <c r="S240" i="8" s="1"/>
  <c r="T241" i="8"/>
  <c r="S241" i="8" s="1"/>
  <c r="T242" i="8"/>
  <c r="S242" i="8" s="1"/>
  <c r="T243" i="8"/>
  <c r="S243" i="8" s="1"/>
  <c r="T244" i="8"/>
  <c r="S244" i="8" s="1"/>
  <c r="T245" i="8"/>
  <c r="S245" i="8" s="1"/>
  <c r="T246" i="8"/>
  <c r="S246" i="8" s="1"/>
  <c r="T247" i="8"/>
  <c r="S247" i="8" s="1"/>
  <c r="T248" i="8"/>
  <c r="S248" i="8" s="1"/>
  <c r="T249" i="8"/>
  <c r="S249" i="8" s="1"/>
  <c r="T250" i="8"/>
  <c r="S250" i="8" s="1"/>
  <c r="T251" i="8"/>
  <c r="S251" i="8" s="1"/>
  <c r="T252" i="8"/>
  <c r="S252" i="8" s="1"/>
  <c r="T253" i="8"/>
  <c r="S253" i="8" s="1"/>
  <c r="T254" i="8"/>
  <c r="S254" i="8" s="1"/>
  <c r="T255" i="8"/>
  <c r="S255" i="8" s="1"/>
  <c r="T256" i="8"/>
  <c r="S256" i="8" s="1"/>
  <c r="T257" i="8"/>
  <c r="S257" i="8" s="1"/>
  <c r="T258" i="8"/>
  <c r="S258" i="8" s="1"/>
  <c r="T259" i="8"/>
  <c r="S259" i="8" s="1"/>
  <c r="T260" i="8"/>
  <c r="S260" i="8" s="1"/>
  <c r="T261" i="8"/>
  <c r="S261" i="8" s="1"/>
  <c r="T262" i="8"/>
  <c r="S262" i="8" s="1"/>
  <c r="T263" i="8"/>
  <c r="S263" i="8" s="1"/>
  <c r="T264" i="8"/>
  <c r="S264" i="8" s="1"/>
  <c r="T265" i="8"/>
  <c r="S265" i="8" s="1"/>
  <c r="T267" i="8"/>
  <c r="S267" i="8" s="1"/>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7"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7"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7" i="8"/>
  <c r="X263" i="8" l="1"/>
  <c r="X215" i="8"/>
  <c r="X239" i="8"/>
  <c r="X227" i="8"/>
  <c r="X251" i="8"/>
  <c r="X210" i="8"/>
  <c r="X264" i="8"/>
  <c r="X258" i="8"/>
  <c r="X252" i="8"/>
  <c r="X246" i="8"/>
  <c r="X240" i="8"/>
  <c r="X234" i="8"/>
  <c r="X228" i="8"/>
  <c r="X222" i="8"/>
  <c r="X216" i="8"/>
  <c r="X245" i="8"/>
  <c r="X233" i="8"/>
  <c r="X232" i="8"/>
  <c r="X257" i="8"/>
  <c r="X221" i="8"/>
  <c r="X250" i="8"/>
  <c r="X226" i="8"/>
  <c r="X261" i="8"/>
  <c r="X255" i="8"/>
  <c r="X249" i="8"/>
  <c r="X243" i="8"/>
  <c r="X237" i="8"/>
  <c r="X231" i="8"/>
  <c r="X225" i="8"/>
  <c r="X219" i="8"/>
  <c r="X213" i="8"/>
  <c r="X262" i="8"/>
  <c r="X244" i="8"/>
  <c r="X220" i="8"/>
  <c r="X260" i="8"/>
  <c r="X248" i="8"/>
  <c r="X236" i="8"/>
  <c r="X224" i="8"/>
  <c r="X218" i="8"/>
  <c r="X256" i="8"/>
  <c r="X238" i="8"/>
  <c r="X214" i="8"/>
  <c r="X267" i="8"/>
  <c r="X254" i="8"/>
  <c r="X242" i="8"/>
  <c r="X230" i="8"/>
  <c r="X212" i="8"/>
  <c r="X265" i="8"/>
  <c r="X259" i="8"/>
  <c r="X253" i="8"/>
  <c r="X247" i="8"/>
  <c r="X241" i="8"/>
  <c r="X235" i="8"/>
  <c r="X229" i="8"/>
  <c r="X223" i="8"/>
  <c r="X217" i="8"/>
  <c r="X211" i="8"/>
  <c r="O210" i="8"/>
  <c r="O265" i="8"/>
  <c r="O259" i="8"/>
  <c r="O253" i="8"/>
  <c r="O247" i="8"/>
  <c r="AF247" i="8" s="1"/>
  <c r="AE247" i="8" s="1"/>
  <c r="O241" i="8"/>
  <c r="O235" i="8"/>
  <c r="O229" i="8"/>
  <c r="O223" i="8"/>
  <c r="O217" i="8"/>
  <c r="O211" i="8"/>
  <c r="O245" i="8"/>
  <c r="J210" i="8"/>
  <c r="O221" i="8"/>
  <c r="O215" i="8"/>
  <c r="O257" i="8"/>
  <c r="O251" i="8"/>
  <c r="O239" i="8"/>
  <c r="O233" i="8"/>
  <c r="O263" i="8"/>
  <c r="O227" i="8"/>
  <c r="O261" i="8"/>
  <c r="O255" i="8"/>
  <c r="O249" i="8"/>
  <c r="O243" i="8"/>
  <c r="O237" i="8"/>
  <c r="O231" i="8"/>
  <c r="O225" i="8"/>
  <c r="O219" i="8"/>
  <c r="O213" i="8"/>
  <c r="O256" i="8"/>
  <c r="O244" i="8"/>
  <c r="AF244" i="8" s="1"/>
  <c r="AE244" i="8" s="1"/>
  <c r="O232" i="8"/>
  <c r="O214" i="8"/>
  <c r="O262" i="8"/>
  <c r="O250" i="8"/>
  <c r="O238" i="8"/>
  <c r="O226" i="8"/>
  <c r="O220" i="8"/>
  <c r="O267" i="8"/>
  <c r="AF267" i="8" s="1"/>
  <c r="AE267" i="8" s="1"/>
  <c r="O260" i="8"/>
  <c r="AF260" i="8" s="1"/>
  <c r="AE260" i="8" s="1"/>
  <c r="O254" i="8"/>
  <c r="AF254" i="8" s="1"/>
  <c r="AE254" i="8" s="1"/>
  <c r="O248" i="8"/>
  <c r="O242" i="8"/>
  <c r="O236" i="8"/>
  <c r="O230" i="8"/>
  <c r="O224" i="8"/>
  <c r="O218" i="8"/>
  <c r="O212" i="8"/>
  <c r="O264" i="8"/>
  <c r="O258" i="8"/>
  <c r="O252" i="8"/>
  <c r="O246" i="8"/>
  <c r="O240" i="8"/>
  <c r="O234" i="8"/>
  <c r="O228" i="8"/>
  <c r="O222" i="8"/>
  <c r="O216" i="8"/>
  <c r="AF290" i="8" l="1"/>
  <c r="AE290" i="8" s="1"/>
  <c r="AF266" i="8"/>
  <c r="AE266" i="8" s="1"/>
  <c r="AF269" i="8"/>
  <c r="AE269" i="8" s="1"/>
  <c r="AF287" i="8"/>
  <c r="AE287" i="8" s="1"/>
  <c r="AF237" i="8"/>
  <c r="AE237" i="8" s="1"/>
  <c r="Z210" i="8"/>
  <c r="Z227" i="8"/>
  <c r="Z222" i="8"/>
  <c r="AF222" i="8"/>
  <c r="AE222" i="8" s="1"/>
  <c r="Z258" i="8"/>
  <c r="Z215" i="8"/>
  <c r="Z239" i="8"/>
  <c r="Z216" i="8"/>
  <c r="Z252" i="8"/>
  <c r="Z246" i="8"/>
  <c r="Z240" i="8"/>
  <c r="Z263" i="8"/>
  <c r="Z251" i="8"/>
  <c r="Z267" i="8"/>
  <c r="Z213" i="8"/>
  <c r="Z249" i="8"/>
  <c r="Z228" i="8"/>
  <c r="Z264" i="8"/>
  <c r="Z234" i="8"/>
  <c r="Z229" i="8"/>
  <c r="Z265" i="8"/>
  <c r="Z214" i="8"/>
  <c r="Z219" i="8"/>
  <c r="Z255" i="8"/>
  <c r="Z235" i="8"/>
  <c r="Z212" i="8"/>
  <c r="Z238" i="8"/>
  <c r="Z260" i="8"/>
  <c r="Z225" i="8"/>
  <c r="Z261" i="8"/>
  <c r="Z233" i="8"/>
  <c r="Z232" i="8"/>
  <c r="Z241" i="8"/>
  <c r="Z230" i="8"/>
  <c r="Z256" i="8"/>
  <c r="Z220" i="8"/>
  <c r="Z231" i="8"/>
  <c r="Z226" i="8"/>
  <c r="Z245" i="8"/>
  <c r="Z248" i="8"/>
  <c r="Z211" i="8"/>
  <c r="Z247" i="8"/>
  <c r="Z242" i="8"/>
  <c r="Z218" i="8"/>
  <c r="Z244" i="8"/>
  <c r="Z237" i="8"/>
  <c r="Z250" i="8"/>
  <c r="Z217" i="8"/>
  <c r="Z253" i="8"/>
  <c r="Z254" i="8"/>
  <c r="Z224" i="8"/>
  <c r="Z262" i="8"/>
  <c r="Z243" i="8"/>
  <c r="Z221" i="8"/>
  <c r="Z223" i="8"/>
  <c r="Z259" i="8"/>
  <c r="Z236" i="8"/>
  <c r="Z257" i="8"/>
  <c r="I162" i="8" l="1"/>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K162" i="8"/>
  <c r="J162" i="8" s="1"/>
  <c r="K163" i="8"/>
  <c r="J163" i="8" s="1"/>
  <c r="K164" i="8"/>
  <c r="J164" i="8" s="1"/>
  <c r="K165" i="8"/>
  <c r="J165" i="8" s="1"/>
  <c r="K166" i="8"/>
  <c r="J166" i="8" s="1"/>
  <c r="K167" i="8"/>
  <c r="J167" i="8" s="1"/>
  <c r="K168" i="8"/>
  <c r="J168" i="8" s="1"/>
  <c r="K169" i="8"/>
  <c r="J169" i="8" s="1"/>
  <c r="K170" i="8"/>
  <c r="J170" i="8" s="1"/>
  <c r="K171" i="8"/>
  <c r="J171" i="8" s="1"/>
  <c r="K172" i="8"/>
  <c r="J172" i="8" s="1"/>
  <c r="K173" i="8"/>
  <c r="J173" i="8" s="1"/>
  <c r="K174" i="8"/>
  <c r="J174" i="8" s="1"/>
  <c r="K175" i="8"/>
  <c r="J175" i="8" s="1"/>
  <c r="K176" i="8"/>
  <c r="J176" i="8" s="1"/>
  <c r="K177" i="8"/>
  <c r="J177" i="8" s="1"/>
  <c r="K178" i="8"/>
  <c r="J178" i="8" s="1"/>
  <c r="K179" i="8"/>
  <c r="J179" i="8" s="1"/>
  <c r="K180" i="8"/>
  <c r="J180" i="8" s="1"/>
  <c r="K181" i="8"/>
  <c r="J181" i="8" s="1"/>
  <c r="K182" i="8"/>
  <c r="J182" i="8" s="1"/>
  <c r="K183" i="8"/>
  <c r="J183" i="8" s="1"/>
  <c r="K184" i="8"/>
  <c r="J184" i="8" s="1"/>
  <c r="K185" i="8"/>
  <c r="J185" i="8" s="1"/>
  <c r="K186" i="8"/>
  <c r="J186" i="8" s="1"/>
  <c r="K187" i="8"/>
  <c r="J187" i="8" s="1"/>
  <c r="K188" i="8"/>
  <c r="J188" i="8" s="1"/>
  <c r="K189" i="8"/>
  <c r="J189" i="8" s="1"/>
  <c r="K190" i="8"/>
  <c r="J190" i="8" s="1"/>
  <c r="K191" i="8"/>
  <c r="J191" i="8" s="1"/>
  <c r="K192" i="8"/>
  <c r="J192" i="8" s="1"/>
  <c r="K193" i="8"/>
  <c r="J193" i="8" s="1"/>
  <c r="K194" i="8"/>
  <c r="J194" i="8" s="1"/>
  <c r="K195" i="8"/>
  <c r="J195" i="8" s="1"/>
  <c r="K196" i="8"/>
  <c r="J196" i="8" s="1"/>
  <c r="K197" i="8"/>
  <c r="J197" i="8" s="1"/>
  <c r="K198" i="8"/>
  <c r="J198" i="8" s="1"/>
  <c r="K199" i="8"/>
  <c r="J199" i="8" s="1"/>
  <c r="K200" i="8"/>
  <c r="J200" i="8" s="1"/>
  <c r="K201" i="8"/>
  <c r="J201" i="8" s="1"/>
  <c r="K202" i="8"/>
  <c r="J202" i="8" s="1"/>
  <c r="K203" i="8"/>
  <c r="J203" i="8" s="1"/>
  <c r="K204" i="8"/>
  <c r="J204" i="8" s="1"/>
  <c r="K205" i="8"/>
  <c r="J205" i="8" s="1"/>
  <c r="K206" i="8"/>
  <c r="J206" i="8" s="1"/>
  <c r="K207" i="8"/>
  <c r="J207" i="8" s="1"/>
  <c r="K208" i="8"/>
  <c r="J208" i="8" s="1"/>
  <c r="K209" i="8"/>
  <c r="J209" i="8" s="1"/>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N162" i="8"/>
  <c r="N163" i="8"/>
  <c r="N164" i="8"/>
  <c r="N165" i="8"/>
  <c r="N166" i="8"/>
  <c r="N167" i="8"/>
  <c r="N168" i="8"/>
  <c r="N169" i="8"/>
  <c r="N170" i="8"/>
  <c r="N171" i="8"/>
  <c r="N172" i="8"/>
  <c r="N173" i="8"/>
  <c r="N174" i="8"/>
  <c r="N175" i="8"/>
  <c r="N176" i="8"/>
  <c r="O176" i="8" s="1"/>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O162"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T162" i="8"/>
  <c r="S162" i="8" s="1"/>
  <c r="T163" i="8"/>
  <c r="S163" i="8" s="1"/>
  <c r="T164" i="8"/>
  <c r="S164" i="8" s="1"/>
  <c r="T165" i="8"/>
  <c r="S165" i="8" s="1"/>
  <c r="T166" i="8"/>
  <c r="S166" i="8" s="1"/>
  <c r="T167" i="8"/>
  <c r="S167" i="8" s="1"/>
  <c r="T168" i="8"/>
  <c r="S168" i="8" s="1"/>
  <c r="T169" i="8"/>
  <c r="S169" i="8" s="1"/>
  <c r="T170" i="8"/>
  <c r="S170" i="8" s="1"/>
  <c r="T171" i="8"/>
  <c r="S171" i="8" s="1"/>
  <c r="T172" i="8"/>
  <c r="S172" i="8" s="1"/>
  <c r="T173" i="8"/>
  <c r="S173" i="8" s="1"/>
  <c r="T174" i="8"/>
  <c r="S174" i="8" s="1"/>
  <c r="T175" i="8"/>
  <c r="S175" i="8" s="1"/>
  <c r="T176" i="8"/>
  <c r="S176" i="8" s="1"/>
  <c r="T177" i="8"/>
  <c r="S177" i="8" s="1"/>
  <c r="T178" i="8"/>
  <c r="S178" i="8" s="1"/>
  <c r="T179" i="8"/>
  <c r="S179" i="8" s="1"/>
  <c r="T180" i="8"/>
  <c r="S180" i="8" s="1"/>
  <c r="T181" i="8"/>
  <c r="S181" i="8" s="1"/>
  <c r="T182" i="8"/>
  <c r="S182" i="8" s="1"/>
  <c r="T183" i="8"/>
  <c r="S183" i="8" s="1"/>
  <c r="T184" i="8"/>
  <c r="S184" i="8" s="1"/>
  <c r="T185" i="8"/>
  <c r="S185" i="8" s="1"/>
  <c r="T186" i="8"/>
  <c r="S186" i="8" s="1"/>
  <c r="T187" i="8"/>
  <c r="S187" i="8" s="1"/>
  <c r="T188" i="8"/>
  <c r="S188" i="8" s="1"/>
  <c r="T189" i="8"/>
  <c r="S189" i="8" s="1"/>
  <c r="T190" i="8"/>
  <c r="S190" i="8" s="1"/>
  <c r="T191" i="8"/>
  <c r="S191" i="8" s="1"/>
  <c r="T192" i="8"/>
  <c r="S192" i="8" s="1"/>
  <c r="T193" i="8"/>
  <c r="S193" i="8" s="1"/>
  <c r="T194" i="8"/>
  <c r="S194" i="8" s="1"/>
  <c r="T195" i="8"/>
  <c r="S195" i="8" s="1"/>
  <c r="T196" i="8"/>
  <c r="S196" i="8" s="1"/>
  <c r="T197" i="8"/>
  <c r="S197" i="8" s="1"/>
  <c r="T198" i="8"/>
  <c r="S198" i="8" s="1"/>
  <c r="T199" i="8"/>
  <c r="S199" i="8" s="1"/>
  <c r="T200" i="8"/>
  <c r="S200" i="8" s="1"/>
  <c r="T201" i="8"/>
  <c r="S201" i="8" s="1"/>
  <c r="T202" i="8"/>
  <c r="S202" i="8" s="1"/>
  <c r="T203" i="8"/>
  <c r="S203" i="8" s="1"/>
  <c r="T204" i="8"/>
  <c r="S204" i="8" s="1"/>
  <c r="T205" i="8"/>
  <c r="S205" i="8" s="1"/>
  <c r="T206" i="8"/>
  <c r="S206" i="8" s="1"/>
  <c r="T207" i="8"/>
  <c r="S207" i="8" s="1"/>
  <c r="T208" i="8"/>
  <c r="S208" i="8" s="1"/>
  <c r="T209" i="8"/>
  <c r="S209" i="8" s="1"/>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X199" i="8" l="1"/>
  <c r="X187" i="8"/>
  <c r="X169" i="8"/>
  <c r="X204" i="8"/>
  <c r="X198" i="8"/>
  <c r="X192" i="8"/>
  <c r="X186" i="8"/>
  <c r="X180" i="8"/>
  <c r="X174" i="8"/>
  <c r="X168" i="8"/>
  <c r="X162" i="8"/>
  <c r="Z162" i="8" s="1"/>
  <c r="X205" i="8"/>
  <c r="X181" i="8"/>
  <c r="X209" i="8"/>
  <c r="X203" i="8"/>
  <c r="X197" i="8"/>
  <c r="X191" i="8"/>
  <c r="X185" i="8"/>
  <c r="X179" i="8"/>
  <c r="X173" i="8"/>
  <c r="X167" i="8"/>
  <c r="X208" i="8"/>
  <c r="X202" i="8"/>
  <c r="X196" i="8"/>
  <c r="X190" i="8"/>
  <c r="X184" i="8"/>
  <c r="X178" i="8"/>
  <c r="X172" i="8"/>
  <c r="X166" i="8"/>
  <c r="X193" i="8"/>
  <c r="X175" i="8"/>
  <c r="X163" i="8"/>
  <c r="O164" i="8"/>
  <c r="X207" i="8"/>
  <c r="X201" i="8"/>
  <c r="X195" i="8"/>
  <c r="X189" i="8"/>
  <c r="X183" i="8"/>
  <c r="X177" i="8"/>
  <c r="X171" i="8"/>
  <c r="X165" i="8"/>
  <c r="X206" i="8"/>
  <c r="X200" i="8"/>
  <c r="X194" i="8"/>
  <c r="X188" i="8"/>
  <c r="X182" i="8"/>
  <c r="X176" i="8"/>
  <c r="Z176" i="8" s="1"/>
  <c r="X170" i="8"/>
  <c r="X164" i="8"/>
  <c r="O163" i="8"/>
  <c r="O174" i="8"/>
  <c r="O172" i="8"/>
  <c r="O184" i="8"/>
  <c r="O166" i="8"/>
  <c r="O168" i="8"/>
  <c r="O182" i="8"/>
  <c r="O191" i="8"/>
  <c r="O170" i="8"/>
  <c r="O192" i="8"/>
  <c r="O173" i="8"/>
  <c r="O167" i="8"/>
  <c r="O171" i="8"/>
  <c r="O175" i="8"/>
  <c r="O169" i="8"/>
  <c r="O209" i="8"/>
  <c r="O203" i="8"/>
  <c r="O201" i="8"/>
  <c r="O165" i="8"/>
  <c r="O187" i="8"/>
  <c r="O181" i="8"/>
  <c r="O204" i="8"/>
  <c r="O198" i="8"/>
  <c r="O186" i="8"/>
  <c r="O180" i="8"/>
  <c r="O202" i="8"/>
  <c r="O178" i="8"/>
  <c r="O197" i="8"/>
  <c r="O208" i="8"/>
  <c r="O196" i="8"/>
  <c r="O190" i="8"/>
  <c r="O179" i="8"/>
  <c r="O207" i="8"/>
  <c r="O195" i="8"/>
  <c r="O189" i="8"/>
  <c r="O183" i="8"/>
  <c r="O177" i="8"/>
  <c r="O185" i="8"/>
  <c r="O206" i="8"/>
  <c r="O200" i="8"/>
  <c r="O194" i="8"/>
  <c r="O205" i="8"/>
  <c r="O199" i="8"/>
  <c r="O193" i="8"/>
  <c r="O188" i="8"/>
  <c r="E2" i="10"/>
  <c r="F4" i="10" s="1"/>
  <c r="E1" i="10"/>
  <c r="F3" i="10" s="1"/>
  <c r="W161" i="8"/>
  <c r="V161" i="8"/>
  <c r="U161" i="8"/>
  <c r="T161" i="8"/>
  <c r="S161" i="8" s="1"/>
  <c r="R161" i="8"/>
  <c r="N161" i="8"/>
  <c r="M161" i="8"/>
  <c r="L161" i="8"/>
  <c r="K161" i="8"/>
  <c r="J161" i="8" s="1"/>
  <c r="I161" i="8"/>
  <c r="W160" i="8"/>
  <c r="V160" i="8"/>
  <c r="U160" i="8"/>
  <c r="T160" i="8"/>
  <c r="S160" i="8" s="1"/>
  <c r="R160" i="8"/>
  <c r="N160" i="8"/>
  <c r="M160" i="8"/>
  <c r="L160" i="8"/>
  <c r="K160" i="8"/>
  <c r="J160" i="8" s="1"/>
  <c r="I160" i="8"/>
  <c r="W159" i="8"/>
  <c r="V159" i="8"/>
  <c r="U159" i="8"/>
  <c r="T159" i="8"/>
  <c r="S159" i="8" s="1"/>
  <c r="R159" i="8"/>
  <c r="N159" i="8"/>
  <c r="M159" i="8"/>
  <c r="L159" i="8"/>
  <c r="K159" i="8"/>
  <c r="J159" i="8" s="1"/>
  <c r="I159" i="8"/>
  <c r="W158" i="8"/>
  <c r="V158" i="8"/>
  <c r="U158" i="8"/>
  <c r="T158" i="8"/>
  <c r="S158" i="8" s="1"/>
  <c r="R158" i="8"/>
  <c r="N158" i="8"/>
  <c r="M158" i="8"/>
  <c r="L158" i="8"/>
  <c r="K158" i="8"/>
  <c r="J158" i="8" s="1"/>
  <c r="I158" i="8"/>
  <c r="W157" i="8"/>
  <c r="V157" i="8"/>
  <c r="U157" i="8"/>
  <c r="T157" i="8"/>
  <c r="S157" i="8" s="1"/>
  <c r="R157" i="8"/>
  <c r="N157" i="8"/>
  <c r="M157" i="8"/>
  <c r="L157" i="8"/>
  <c r="K157" i="8"/>
  <c r="J157" i="8" s="1"/>
  <c r="I157" i="8"/>
  <c r="W156" i="8"/>
  <c r="V156" i="8"/>
  <c r="U156" i="8"/>
  <c r="T156" i="8"/>
  <c r="S156" i="8" s="1"/>
  <c r="R156" i="8"/>
  <c r="N156" i="8"/>
  <c r="M156" i="8"/>
  <c r="L156" i="8"/>
  <c r="K156" i="8"/>
  <c r="J156" i="8" s="1"/>
  <c r="I156" i="8"/>
  <c r="W155" i="8"/>
  <c r="V155" i="8"/>
  <c r="U155" i="8"/>
  <c r="T155" i="8"/>
  <c r="S155" i="8" s="1"/>
  <c r="R155" i="8"/>
  <c r="N155" i="8"/>
  <c r="M155" i="8"/>
  <c r="L155" i="8"/>
  <c r="K155" i="8"/>
  <c r="J155" i="8" s="1"/>
  <c r="I155" i="8"/>
  <c r="W154" i="8"/>
  <c r="V154" i="8"/>
  <c r="U154" i="8"/>
  <c r="T154" i="8"/>
  <c r="S154" i="8" s="1"/>
  <c r="R154" i="8"/>
  <c r="N154" i="8"/>
  <c r="M154" i="8"/>
  <c r="L154" i="8"/>
  <c r="K154" i="8"/>
  <c r="J154" i="8" s="1"/>
  <c r="I154" i="8"/>
  <c r="W153" i="8"/>
  <c r="V153" i="8"/>
  <c r="U153" i="8"/>
  <c r="T153" i="8"/>
  <c r="S153" i="8" s="1"/>
  <c r="R153" i="8"/>
  <c r="N153" i="8"/>
  <c r="M153" i="8"/>
  <c r="L153" i="8"/>
  <c r="K153" i="8"/>
  <c r="J153" i="8" s="1"/>
  <c r="I153" i="8"/>
  <c r="W152" i="8"/>
  <c r="V152" i="8"/>
  <c r="U152" i="8"/>
  <c r="T152" i="8"/>
  <c r="S152" i="8" s="1"/>
  <c r="R152" i="8"/>
  <c r="N152" i="8"/>
  <c r="M152" i="8"/>
  <c r="L152" i="8"/>
  <c r="K152" i="8"/>
  <c r="J152" i="8" s="1"/>
  <c r="I152" i="8"/>
  <c r="W151" i="8"/>
  <c r="V151" i="8"/>
  <c r="U151" i="8"/>
  <c r="T151" i="8"/>
  <c r="S151" i="8" s="1"/>
  <c r="R151" i="8"/>
  <c r="N151" i="8"/>
  <c r="M151" i="8"/>
  <c r="L151" i="8"/>
  <c r="K151" i="8"/>
  <c r="J151" i="8" s="1"/>
  <c r="I151" i="8"/>
  <c r="W150" i="8"/>
  <c r="V150" i="8"/>
  <c r="U150" i="8"/>
  <c r="T150" i="8"/>
  <c r="S150" i="8" s="1"/>
  <c r="R150" i="8"/>
  <c r="N150" i="8"/>
  <c r="M150" i="8"/>
  <c r="L150" i="8"/>
  <c r="K150" i="8"/>
  <c r="J150" i="8" s="1"/>
  <c r="I150" i="8"/>
  <c r="W149" i="8"/>
  <c r="V149" i="8"/>
  <c r="U149" i="8"/>
  <c r="T149" i="8"/>
  <c r="S149" i="8" s="1"/>
  <c r="R149" i="8"/>
  <c r="N149" i="8"/>
  <c r="M149" i="8"/>
  <c r="L149" i="8"/>
  <c r="K149" i="8"/>
  <c r="J149" i="8" s="1"/>
  <c r="I149" i="8"/>
  <c r="W148" i="8"/>
  <c r="V148" i="8"/>
  <c r="U148" i="8"/>
  <c r="T148" i="8"/>
  <c r="S148" i="8" s="1"/>
  <c r="R148" i="8"/>
  <c r="N148" i="8"/>
  <c r="M148" i="8"/>
  <c r="L148" i="8"/>
  <c r="K148" i="8"/>
  <c r="J148" i="8" s="1"/>
  <c r="I148" i="8"/>
  <c r="W147" i="8"/>
  <c r="V147" i="8"/>
  <c r="U147" i="8"/>
  <c r="T147" i="8"/>
  <c r="S147" i="8" s="1"/>
  <c r="R147" i="8"/>
  <c r="N147" i="8"/>
  <c r="M147" i="8"/>
  <c r="L147" i="8"/>
  <c r="K147" i="8"/>
  <c r="J147" i="8" s="1"/>
  <c r="I147" i="8"/>
  <c r="W146" i="8"/>
  <c r="V146" i="8"/>
  <c r="U146" i="8"/>
  <c r="T146" i="8"/>
  <c r="S146" i="8" s="1"/>
  <c r="R146" i="8"/>
  <c r="N146" i="8"/>
  <c r="M146" i="8"/>
  <c r="L146" i="8"/>
  <c r="K146" i="8"/>
  <c r="J146" i="8" s="1"/>
  <c r="I146" i="8"/>
  <c r="W145" i="8"/>
  <c r="V145" i="8"/>
  <c r="U145" i="8"/>
  <c r="T145" i="8"/>
  <c r="S145" i="8" s="1"/>
  <c r="R145" i="8"/>
  <c r="N145" i="8"/>
  <c r="M145" i="8"/>
  <c r="L145" i="8"/>
  <c r="K145" i="8"/>
  <c r="J145" i="8" s="1"/>
  <c r="I145" i="8"/>
  <c r="W144" i="8"/>
  <c r="V144" i="8"/>
  <c r="U144" i="8"/>
  <c r="T144" i="8"/>
  <c r="S144" i="8" s="1"/>
  <c r="R144" i="8"/>
  <c r="N144" i="8"/>
  <c r="M144" i="8"/>
  <c r="L144" i="8"/>
  <c r="K144" i="8"/>
  <c r="J144" i="8" s="1"/>
  <c r="I144" i="8"/>
  <c r="W143" i="8"/>
  <c r="V143" i="8"/>
  <c r="U143" i="8"/>
  <c r="T143" i="8"/>
  <c r="S143" i="8" s="1"/>
  <c r="R143" i="8"/>
  <c r="N143" i="8"/>
  <c r="M143" i="8"/>
  <c r="L143" i="8"/>
  <c r="K143" i="8"/>
  <c r="J143" i="8" s="1"/>
  <c r="I143" i="8"/>
  <c r="W142" i="8"/>
  <c r="V142" i="8"/>
  <c r="U142" i="8"/>
  <c r="T142" i="8"/>
  <c r="S142" i="8" s="1"/>
  <c r="R142" i="8"/>
  <c r="N142" i="8"/>
  <c r="M142" i="8"/>
  <c r="L142" i="8"/>
  <c r="K142" i="8"/>
  <c r="J142" i="8" s="1"/>
  <c r="I142" i="8"/>
  <c r="W141" i="8"/>
  <c r="V141" i="8"/>
  <c r="U141" i="8"/>
  <c r="T141" i="8"/>
  <c r="S141" i="8" s="1"/>
  <c r="R141" i="8"/>
  <c r="N141" i="8"/>
  <c r="M141" i="8"/>
  <c r="L141" i="8"/>
  <c r="K141" i="8"/>
  <c r="J141" i="8" s="1"/>
  <c r="I141" i="8"/>
  <c r="W140" i="8"/>
  <c r="V140" i="8"/>
  <c r="U140" i="8"/>
  <c r="T140" i="8"/>
  <c r="S140" i="8" s="1"/>
  <c r="R140" i="8"/>
  <c r="N140" i="8"/>
  <c r="M140" i="8"/>
  <c r="L140" i="8"/>
  <c r="K140" i="8"/>
  <c r="J140" i="8" s="1"/>
  <c r="I140" i="8"/>
  <c r="W139" i="8"/>
  <c r="V139" i="8"/>
  <c r="U139" i="8"/>
  <c r="T139" i="8"/>
  <c r="S139" i="8" s="1"/>
  <c r="R139" i="8"/>
  <c r="N139" i="8"/>
  <c r="M139" i="8"/>
  <c r="L139" i="8"/>
  <c r="K139" i="8"/>
  <c r="J139" i="8" s="1"/>
  <c r="I139" i="8"/>
  <c r="W138" i="8"/>
  <c r="V138" i="8"/>
  <c r="U138" i="8"/>
  <c r="T138" i="8"/>
  <c r="S138" i="8" s="1"/>
  <c r="R138" i="8"/>
  <c r="N138" i="8"/>
  <c r="M138" i="8"/>
  <c r="L138" i="8"/>
  <c r="K138" i="8"/>
  <c r="J138" i="8" s="1"/>
  <c r="I138" i="8"/>
  <c r="W137" i="8"/>
  <c r="V137" i="8"/>
  <c r="U137" i="8"/>
  <c r="T137" i="8"/>
  <c r="S137" i="8" s="1"/>
  <c r="R137" i="8"/>
  <c r="N137" i="8"/>
  <c r="M137" i="8"/>
  <c r="L137" i="8"/>
  <c r="K137" i="8"/>
  <c r="J137" i="8" s="1"/>
  <c r="I137" i="8"/>
  <c r="W136" i="8"/>
  <c r="V136" i="8"/>
  <c r="U136" i="8"/>
  <c r="T136" i="8"/>
  <c r="S136" i="8" s="1"/>
  <c r="R136" i="8"/>
  <c r="N136" i="8"/>
  <c r="M136" i="8"/>
  <c r="L136" i="8"/>
  <c r="K136" i="8"/>
  <c r="J136" i="8" s="1"/>
  <c r="I136" i="8"/>
  <c r="W135" i="8"/>
  <c r="V135" i="8"/>
  <c r="U135" i="8"/>
  <c r="T135" i="8"/>
  <c r="S135" i="8" s="1"/>
  <c r="R135" i="8"/>
  <c r="N135" i="8"/>
  <c r="M135" i="8"/>
  <c r="L135" i="8"/>
  <c r="K135" i="8"/>
  <c r="J135" i="8" s="1"/>
  <c r="I135" i="8"/>
  <c r="W134" i="8"/>
  <c r="V134" i="8"/>
  <c r="U134" i="8"/>
  <c r="T134" i="8"/>
  <c r="S134" i="8" s="1"/>
  <c r="R134" i="8"/>
  <c r="N134" i="8"/>
  <c r="M134" i="8"/>
  <c r="L134" i="8"/>
  <c r="K134" i="8"/>
  <c r="J134" i="8" s="1"/>
  <c r="I134" i="8"/>
  <c r="W133" i="8"/>
  <c r="V133" i="8"/>
  <c r="U133" i="8"/>
  <c r="T133" i="8"/>
  <c r="S133" i="8" s="1"/>
  <c r="R133" i="8"/>
  <c r="N133" i="8"/>
  <c r="M133" i="8"/>
  <c r="L133" i="8"/>
  <c r="K133" i="8"/>
  <c r="J133" i="8" s="1"/>
  <c r="I133" i="8"/>
  <c r="W132" i="8"/>
  <c r="V132" i="8"/>
  <c r="U132" i="8"/>
  <c r="T132" i="8"/>
  <c r="S132" i="8" s="1"/>
  <c r="R132" i="8"/>
  <c r="N132" i="8"/>
  <c r="M132" i="8"/>
  <c r="L132" i="8"/>
  <c r="K132" i="8"/>
  <c r="J132" i="8" s="1"/>
  <c r="I132" i="8"/>
  <c r="W131" i="8"/>
  <c r="V131" i="8"/>
  <c r="U131" i="8"/>
  <c r="T131" i="8"/>
  <c r="S131" i="8" s="1"/>
  <c r="R131" i="8"/>
  <c r="N131" i="8"/>
  <c r="M131" i="8"/>
  <c r="L131" i="8"/>
  <c r="K131" i="8"/>
  <c r="J131" i="8" s="1"/>
  <c r="I131" i="8"/>
  <c r="W130" i="8"/>
  <c r="V130" i="8"/>
  <c r="U130" i="8"/>
  <c r="T130" i="8"/>
  <c r="S130" i="8" s="1"/>
  <c r="R130" i="8"/>
  <c r="N130" i="8"/>
  <c r="M130" i="8"/>
  <c r="L130" i="8"/>
  <c r="K130" i="8"/>
  <c r="J130" i="8" s="1"/>
  <c r="I130" i="8"/>
  <c r="W129" i="8"/>
  <c r="V129" i="8"/>
  <c r="U129" i="8"/>
  <c r="T129" i="8"/>
  <c r="S129" i="8" s="1"/>
  <c r="R129" i="8"/>
  <c r="N129" i="8"/>
  <c r="M129" i="8"/>
  <c r="L129" i="8"/>
  <c r="K129" i="8"/>
  <c r="J129" i="8" s="1"/>
  <c r="I129" i="8"/>
  <c r="W128" i="8"/>
  <c r="V128" i="8"/>
  <c r="U128" i="8"/>
  <c r="T128" i="8"/>
  <c r="S128" i="8" s="1"/>
  <c r="R128" i="8"/>
  <c r="N128" i="8"/>
  <c r="M128" i="8"/>
  <c r="L128" i="8"/>
  <c r="K128" i="8"/>
  <c r="J128" i="8" s="1"/>
  <c r="I128" i="8"/>
  <c r="W127" i="8"/>
  <c r="V127" i="8"/>
  <c r="U127" i="8"/>
  <c r="T127" i="8"/>
  <c r="S127" i="8" s="1"/>
  <c r="R127" i="8"/>
  <c r="N127" i="8"/>
  <c r="M127" i="8"/>
  <c r="L127" i="8"/>
  <c r="K127" i="8"/>
  <c r="J127" i="8" s="1"/>
  <c r="I127" i="8"/>
  <c r="W126" i="8"/>
  <c r="V126" i="8"/>
  <c r="U126" i="8"/>
  <c r="T126" i="8"/>
  <c r="S126" i="8" s="1"/>
  <c r="R126" i="8"/>
  <c r="N126" i="8"/>
  <c r="M126" i="8"/>
  <c r="L126" i="8"/>
  <c r="K126" i="8"/>
  <c r="J126" i="8" s="1"/>
  <c r="I126" i="8"/>
  <c r="W125" i="8"/>
  <c r="V125" i="8"/>
  <c r="U125" i="8"/>
  <c r="T125" i="8"/>
  <c r="S125" i="8" s="1"/>
  <c r="R125" i="8"/>
  <c r="N125" i="8"/>
  <c r="M125" i="8"/>
  <c r="L125" i="8"/>
  <c r="K125" i="8"/>
  <c r="J125" i="8" s="1"/>
  <c r="I125" i="8"/>
  <c r="W124" i="8"/>
  <c r="V124" i="8"/>
  <c r="U124" i="8"/>
  <c r="T124" i="8"/>
  <c r="S124" i="8" s="1"/>
  <c r="R124" i="8"/>
  <c r="N124" i="8"/>
  <c r="M124" i="8"/>
  <c r="L124" i="8"/>
  <c r="K124" i="8"/>
  <c r="J124" i="8" s="1"/>
  <c r="I124" i="8"/>
  <c r="W123" i="8"/>
  <c r="V123" i="8"/>
  <c r="U123" i="8"/>
  <c r="T123" i="8"/>
  <c r="S123" i="8" s="1"/>
  <c r="R123" i="8"/>
  <c r="N123" i="8"/>
  <c r="M123" i="8"/>
  <c r="L123" i="8"/>
  <c r="K123" i="8"/>
  <c r="J123" i="8" s="1"/>
  <c r="I123" i="8"/>
  <c r="W122" i="8"/>
  <c r="V122" i="8"/>
  <c r="U122" i="8"/>
  <c r="T122" i="8"/>
  <c r="S122" i="8" s="1"/>
  <c r="R122" i="8"/>
  <c r="N122" i="8"/>
  <c r="M122" i="8"/>
  <c r="L122" i="8"/>
  <c r="K122" i="8"/>
  <c r="J122" i="8" s="1"/>
  <c r="I122" i="8"/>
  <c r="W121" i="8"/>
  <c r="V121" i="8"/>
  <c r="U121" i="8"/>
  <c r="T121" i="8"/>
  <c r="S121" i="8" s="1"/>
  <c r="R121" i="8"/>
  <c r="N121" i="8"/>
  <c r="M121" i="8"/>
  <c r="L121" i="8"/>
  <c r="K121" i="8"/>
  <c r="J121" i="8" s="1"/>
  <c r="I121" i="8"/>
  <c r="W120" i="8"/>
  <c r="V120" i="8"/>
  <c r="U120" i="8"/>
  <c r="T120" i="8"/>
  <c r="S120" i="8" s="1"/>
  <c r="R120" i="8"/>
  <c r="N120" i="8"/>
  <c r="M120" i="8"/>
  <c r="L120" i="8"/>
  <c r="K120" i="8"/>
  <c r="J120" i="8" s="1"/>
  <c r="I120" i="8"/>
  <c r="W119" i="8"/>
  <c r="V119" i="8"/>
  <c r="U119" i="8"/>
  <c r="T119" i="8"/>
  <c r="S119" i="8" s="1"/>
  <c r="R119" i="8"/>
  <c r="N119" i="8"/>
  <c r="M119" i="8"/>
  <c r="L119" i="8"/>
  <c r="K119" i="8"/>
  <c r="J119" i="8" s="1"/>
  <c r="I119" i="8"/>
  <c r="W118" i="8"/>
  <c r="V118" i="8"/>
  <c r="U118" i="8"/>
  <c r="T118" i="8"/>
  <c r="S118" i="8" s="1"/>
  <c r="R118" i="8"/>
  <c r="N118" i="8"/>
  <c r="M118" i="8"/>
  <c r="L118" i="8"/>
  <c r="K118" i="8"/>
  <c r="J118" i="8" s="1"/>
  <c r="I118" i="8"/>
  <c r="W117" i="8"/>
  <c r="V117" i="8"/>
  <c r="U117" i="8"/>
  <c r="T117" i="8"/>
  <c r="S117" i="8" s="1"/>
  <c r="R117" i="8"/>
  <c r="N117" i="8"/>
  <c r="M117" i="8"/>
  <c r="L117" i="8"/>
  <c r="K117" i="8"/>
  <c r="J117" i="8" s="1"/>
  <c r="I117" i="8"/>
  <c r="W116" i="8"/>
  <c r="V116" i="8"/>
  <c r="U116" i="8"/>
  <c r="T116" i="8"/>
  <c r="S116" i="8" s="1"/>
  <c r="R116" i="8"/>
  <c r="N116" i="8"/>
  <c r="M116" i="8"/>
  <c r="L116" i="8"/>
  <c r="K116" i="8"/>
  <c r="J116" i="8" s="1"/>
  <c r="I116" i="8"/>
  <c r="W115" i="8"/>
  <c r="V115" i="8"/>
  <c r="U115" i="8"/>
  <c r="T115" i="8"/>
  <c r="S115" i="8" s="1"/>
  <c r="R115" i="8"/>
  <c r="N115" i="8"/>
  <c r="M115" i="8"/>
  <c r="L115" i="8"/>
  <c r="K115" i="8"/>
  <c r="J115" i="8" s="1"/>
  <c r="I115" i="8"/>
  <c r="W114" i="8"/>
  <c r="V114" i="8"/>
  <c r="U114" i="8"/>
  <c r="T114" i="8"/>
  <c r="S114" i="8" s="1"/>
  <c r="R114" i="8"/>
  <c r="N114" i="8"/>
  <c r="M114" i="8"/>
  <c r="L114" i="8"/>
  <c r="K114" i="8"/>
  <c r="J114" i="8" s="1"/>
  <c r="I114" i="8"/>
  <c r="W113" i="8"/>
  <c r="V113" i="8"/>
  <c r="U113" i="8"/>
  <c r="T113" i="8"/>
  <c r="S113" i="8" s="1"/>
  <c r="R113" i="8"/>
  <c r="N113" i="8"/>
  <c r="M113" i="8"/>
  <c r="L113" i="8"/>
  <c r="K113" i="8"/>
  <c r="J113" i="8" s="1"/>
  <c r="I113" i="8"/>
  <c r="W112" i="8"/>
  <c r="V112" i="8"/>
  <c r="U112" i="8"/>
  <c r="T112" i="8"/>
  <c r="S112" i="8" s="1"/>
  <c r="R112" i="8"/>
  <c r="N112" i="8"/>
  <c r="M112" i="8"/>
  <c r="L112" i="8"/>
  <c r="K112" i="8"/>
  <c r="J112" i="8" s="1"/>
  <c r="I112" i="8"/>
  <c r="W111" i="8"/>
  <c r="V111" i="8"/>
  <c r="U111" i="8"/>
  <c r="T111" i="8"/>
  <c r="S111" i="8" s="1"/>
  <c r="R111" i="8"/>
  <c r="N111" i="8"/>
  <c r="M111" i="8"/>
  <c r="L111" i="8"/>
  <c r="K111" i="8"/>
  <c r="J111" i="8" s="1"/>
  <c r="I111" i="8"/>
  <c r="W110" i="8"/>
  <c r="V110" i="8"/>
  <c r="U110" i="8"/>
  <c r="T110" i="8"/>
  <c r="S110" i="8" s="1"/>
  <c r="R110" i="8"/>
  <c r="N110" i="8"/>
  <c r="M110" i="8"/>
  <c r="L110" i="8"/>
  <c r="K110" i="8"/>
  <c r="J110" i="8" s="1"/>
  <c r="I110" i="8"/>
  <c r="W109" i="8"/>
  <c r="V109" i="8"/>
  <c r="U109" i="8"/>
  <c r="T109" i="8"/>
  <c r="S109" i="8" s="1"/>
  <c r="R109" i="8"/>
  <c r="N109" i="8"/>
  <c r="M109" i="8"/>
  <c r="L109" i="8"/>
  <c r="K109" i="8"/>
  <c r="J109" i="8" s="1"/>
  <c r="I109" i="8"/>
  <c r="W108" i="8"/>
  <c r="V108" i="8"/>
  <c r="U108" i="8"/>
  <c r="T108" i="8"/>
  <c r="S108" i="8" s="1"/>
  <c r="R108" i="8"/>
  <c r="N108" i="8"/>
  <c r="M108" i="8"/>
  <c r="L108" i="8"/>
  <c r="K108" i="8"/>
  <c r="J108" i="8" s="1"/>
  <c r="I108" i="8"/>
  <c r="W107" i="8"/>
  <c r="V107" i="8"/>
  <c r="U107" i="8"/>
  <c r="T107" i="8"/>
  <c r="S107" i="8" s="1"/>
  <c r="R107" i="8"/>
  <c r="N107" i="8"/>
  <c r="M107" i="8"/>
  <c r="L107" i="8"/>
  <c r="K107" i="8"/>
  <c r="J107" i="8" s="1"/>
  <c r="I107" i="8"/>
  <c r="W106" i="8"/>
  <c r="V106" i="8"/>
  <c r="U106" i="8"/>
  <c r="T106" i="8"/>
  <c r="S106" i="8" s="1"/>
  <c r="R106" i="8"/>
  <c r="N106" i="8"/>
  <c r="M106" i="8"/>
  <c r="L106" i="8"/>
  <c r="K106" i="8"/>
  <c r="J106" i="8" s="1"/>
  <c r="I106" i="8"/>
  <c r="W105" i="8"/>
  <c r="V105" i="8"/>
  <c r="U105" i="8"/>
  <c r="T105" i="8"/>
  <c r="S105" i="8" s="1"/>
  <c r="R105" i="8"/>
  <c r="N105" i="8"/>
  <c r="M105" i="8"/>
  <c r="L105" i="8"/>
  <c r="K105" i="8"/>
  <c r="J105" i="8" s="1"/>
  <c r="I105" i="8"/>
  <c r="W104" i="8"/>
  <c r="V104" i="8"/>
  <c r="U104" i="8"/>
  <c r="T104" i="8"/>
  <c r="S104" i="8" s="1"/>
  <c r="R104" i="8"/>
  <c r="N104" i="8"/>
  <c r="M104" i="8"/>
  <c r="L104" i="8"/>
  <c r="K104" i="8"/>
  <c r="J104" i="8" s="1"/>
  <c r="I104" i="8"/>
  <c r="W103" i="8"/>
  <c r="V103" i="8"/>
  <c r="U103" i="8"/>
  <c r="T103" i="8"/>
  <c r="S103" i="8" s="1"/>
  <c r="R103" i="8"/>
  <c r="N103" i="8"/>
  <c r="M103" i="8"/>
  <c r="L103" i="8"/>
  <c r="K103" i="8"/>
  <c r="J103" i="8" s="1"/>
  <c r="I103" i="8"/>
  <c r="W102" i="8"/>
  <c r="V102" i="8"/>
  <c r="U102" i="8"/>
  <c r="T102" i="8"/>
  <c r="S102" i="8" s="1"/>
  <c r="R102" i="8"/>
  <c r="N102" i="8"/>
  <c r="M102" i="8"/>
  <c r="L102" i="8"/>
  <c r="K102" i="8"/>
  <c r="J102" i="8" s="1"/>
  <c r="I102" i="8"/>
  <c r="W101" i="8"/>
  <c r="V101" i="8"/>
  <c r="U101" i="8"/>
  <c r="T101" i="8"/>
  <c r="S101" i="8" s="1"/>
  <c r="R101" i="8"/>
  <c r="N101" i="8"/>
  <c r="M101" i="8"/>
  <c r="L101" i="8"/>
  <c r="K101" i="8"/>
  <c r="J101" i="8" s="1"/>
  <c r="I101" i="8"/>
  <c r="W100" i="8"/>
  <c r="V100" i="8"/>
  <c r="U100" i="8"/>
  <c r="T100" i="8"/>
  <c r="S100" i="8" s="1"/>
  <c r="R100" i="8"/>
  <c r="N100" i="8"/>
  <c r="M100" i="8"/>
  <c r="L100" i="8"/>
  <c r="K100" i="8"/>
  <c r="J100" i="8" s="1"/>
  <c r="I100" i="8"/>
  <c r="W99" i="8"/>
  <c r="V99" i="8"/>
  <c r="U99" i="8"/>
  <c r="T99" i="8"/>
  <c r="S99" i="8" s="1"/>
  <c r="R99" i="8"/>
  <c r="N99" i="8"/>
  <c r="M99" i="8"/>
  <c r="L99" i="8"/>
  <c r="K99" i="8"/>
  <c r="J99" i="8" s="1"/>
  <c r="I99" i="8"/>
  <c r="W98" i="8"/>
  <c r="V98" i="8"/>
  <c r="U98" i="8"/>
  <c r="T98" i="8"/>
  <c r="S98" i="8" s="1"/>
  <c r="R98" i="8"/>
  <c r="N98" i="8"/>
  <c r="M98" i="8"/>
  <c r="L98" i="8"/>
  <c r="K98" i="8"/>
  <c r="J98" i="8" s="1"/>
  <c r="I98" i="8"/>
  <c r="W97" i="8"/>
  <c r="V97" i="8"/>
  <c r="U97" i="8"/>
  <c r="T97" i="8"/>
  <c r="S97" i="8" s="1"/>
  <c r="R97" i="8"/>
  <c r="N97" i="8"/>
  <c r="M97" i="8"/>
  <c r="L97" i="8"/>
  <c r="K97" i="8"/>
  <c r="J97" i="8" s="1"/>
  <c r="I97" i="8"/>
  <c r="W96" i="8"/>
  <c r="V96" i="8"/>
  <c r="U96" i="8"/>
  <c r="T96" i="8"/>
  <c r="S96" i="8" s="1"/>
  <c r="R96" i="8"/>
  <c r="N96" i="8"/>
  <c r="M96" i="8"/>
  <c r="L96" i="8"/>
  <c r="K96" i="8"/>
  <c r="J96" i="8" s="1"/>
  <c r="I96" i="8"/>
  <c r="W95" i="8"/>
  <c r="V95" i="8"/>
  <c r="U95" i="8"/>
  <c r="T95" i="8"/>
  <c r="S95" i="8" s="1"/>
  <c r="R95" i="8"/>
  <c r="N95" i="8"/>
  <c r="M95" i="8"/>
  <c r="L95" i="8"/>
  <c r="K95" i="8"/>
  <c r="J95" i="8" s="1"/>
  <c r="I95" i="8"/>
  <c r="W94" i="8"/>
  <c r="V94" i="8"/>
  <c r="U94" i="8"/>
  <c r="T94" i="8"/>
  <c r="S94" i="8" s="1"/>
  <c r="R94" i="8"/>
  <c r="N94" i="8"/>
  <c r="M94" i="8"/>
  <c r="L94" i="8"/>
  <c r="K94" i="8"/>
  <c r="J94" i="8" s="1"/>
  <c r="I94" i="8"/>
  <c r="W93" i="8"/>
  <c r="V93" i="8"/>
  <c r="U93" i="8"/>
  <c r="T93" i="8"/>
  <c r="S93" i="8" s="1"/>
  <c r="R93" i="8"/>
  <c r="N93" i="8"/>
  <c r="M93" i="8"/>
  <c r="L93" i="8"/>
  <c r="K93" i="8"/>
  <c r="J93" i="8" s="1"/>
  <c r="I93" i="8"/>
  <c r="W92" i="8"/>
  <c r="V92" i="8"/>
  <c r="U92" i="8"/>
  <c r="T92" i="8"/>
  <c r="S92" i="8" s="1"/>
  <c r="R92" i="8"/>
  <c r="N92" i="8"/>
  <c r="M92" i="8"/>
  <c r="L92" i="8"/>
  <c r="K92" i="8"/>
  <c r="J92" i="8" s="1"/>
  <c r="I92" i="8"/>
  <c r="W91" i="8"/>
  <c r="V91" i="8"/>
  <c r="U91" i="8"/>
  <c r="T91" i="8"/>
  <c r="S91" i="8" s="1"/>
  <c r="R91" i="8"/>
  <c r="N91" i="8"/>
  <c r="M91" i="8"/>
  <c r="L91" i="8"/>
  <c r="K91" i="8"/>
  <c r="J91" i="8" s="1"/>
  <c r="I91" i="8"/>
  <c r="W90" i="8"/>
  <c r="V90" i="8"/>
  <c r="U90" i="8"/>
  <c r="T90" i="8"/>
  <c r="S90" i="8" s="1"/>
  <c r="R90" i="8"/>
  <c r="N90" i="8"/>
  <c r="M90" i="8"/>
  <c r="L90" i="8"/>
  <c r="K90" i="8"/>
  <c r="J90" i="8" s="1"/>
  <c r="I90" i="8"/>
  <c r="W89" i="8"/>
  <c r="V89" i="8"/>
  <c r="U89" i="8"/>
  <c r="T89" i="8"/>
  <c r="S89" i="8" s="1"/>
  <c r="R89" i="8"/>
  <c r="N89" i="8"/>
  <c r="M89" i="8"/>
  <c r="L89" i="8"/>
  <c r="K89" i="8"/>
  <c r="J89" i="8" s="1"/>
  <c r="I89" i="8"/>
  <c r="W88" i="8"/>
  <c r="V88" i="8"/>
  <c r="U88" i="8"/>
  <c r="T88" i="8"/>
  <c r="S88" i="8" s="1"/>
  <c r="R88" i="8"/>
  <c r="N88" i="8"/>
  <c r="M88" i="8"/>
  <c r="L88" i="8"/>
  <c r="K88" i="8"/>
  <c r="J88" i="8" s="1"/>
  <c r="I88" i="8"/>
  <c r="W87" i="8"/>
  <c r="V87" i="8"/>
  <c r="U87" i="8"/>
  <c r="T87" i="8"/>
  <c r="S87" i="8" s="1"/>
  <c r="R87" i="8"/>
  <c r="N87" i="8"/>
  <c r="M87" i="8"/>
  <c r="L87" i="8"/>
  <c r="K87" i="8"/>
  <c r="J87" i="8" s="1"/>
  <c r="I87" i="8"/>
  <c r="W86" i="8"/>
  <c r="V86" i="8"/>
  <c r="U86" i="8"/>
  <c r="T86" i="8"/>
  <c r="S86" i="8" s="1"/>
  <c r="R86" i="8"/>
  <c r="N86" i="8"/>
  <c r="M86" i="8"/>
  <c r="L86" i="8"/>
  <c r="K86" i="8"/>
  <c r="J86" i="8" s="1"/>
  <c r="I86" i="8"/>
  <c r="W85" i="8"/>
  <c r="V85" i="8"/>
  <c r="U85" i="8"/>
  <c r="T85" i="8"/>
  <c r="S85" i="8" s="1"/>
  <c r="R85" i="8"/>
  <c r="N85" i="8"/>
  <c r="M85" i="8"/>
  <c r="L85" i="8"/>
  <c r="K85" i="8"/>
  <c r="J85" i="8" s="1"/>
  <c r="I85" i="8"/>
  <c r="W84" i="8"/>
  <c r="V84" i="8"/>
  <c r="U84" i="8"/>
  <c r="T84" i="8"/>
  <c r="S84" i="8" s="1"/>
  <c r="R84" i="8"/>
  <c r="N84" i="8"/>
  <c r="M84" i="8"/>
  <c r="L84" i="8"/>
  <c r="K84" i="8"/>
  <c r="J84" i="8" s="1"/>
  <c r="I84" i="8"/>
  <c r="W83" i="8"/>
  <c r="V83" i="8"/>
  <c r="U83" i="8"/>
  <c r="T83" i="8"/>
  <c r="S83" i="8" s="1"/>
  <c r="R83" i="8"/>
  <c r="N83" i="8"/>
  <c r="M83" i="8"/>
  <c r="L83" i="8"/>
  <c r="K83" i="8"/>
  <c r="J83" i="8" s="1"/>
  <c r="I83" i="8"/>
  <c r="W82" i="8"/>
  <c r="V82" i="8"/>
  <c r="U82" i="8"/>
  <c r="T82" i="8"/>
  <c r="S82" i="8" s="1"/>
  <c r="R82" i="8"/>
  <c r="N82" i="8"/>
  <c r="M82" i="8"/>
  <c r="L82" i="8"/>
  <c r="K82" i="8"/>
  <c r="J82" i="8" s="1"/>
  <c r="I82" i="8"/>
  <c r="W81" i="8"/>
  <c r="V81" i="8"/>
  <c r="U81" i="8"/>
  <c r="T81" i="8"/>
  <c r="S81" i="8" s="1"/>
  <c r="R81" i="8"/>
  <c r="N81" i="8"/>
  <c r="M81" i="8"/>
  <c r="L81" i="8"/>
  <c r="K81" i="8"/>
  <c r="I81" i="8"/>
  <c r="W80" i="8"/>
  <c r="V80" i="8"/>
  <c r="U80" i="8"/>
  <c r="T80" i="8"/>
  <c r="S80" i="8" s="1"/>
  <c r="R80" i="8"/>
  <c r="N80" i="8"/>
  <c r="M80" i="8"/>
  <c r="L80" i="8"/>
  <c r="K80" i="8"/>
  <c r="J80" i="8" s="1"/>
  <c r="I80" i="8"/>
  <c r="W79" i="8"/>
  <c r="V79" i="8"/>
  <c r="U79" i="8"/>
  <c r="T79" i="8"/>
  <c r="S79" i="8" s="1"/>
  <c r="R79" i="8"/>
  <c r="N79" i="8"/>
  <c r="M79" i="8"/>
  <c r="L79" i="8"/>
  <c r="K79" i="8"/>
  <c r="J79" i="8" s="1"/>
  <c r="I79" i="8"/>
  <c r="W78" i="8"/>
  <c r="V78" i="8"/>
  <c r="U78" i="8"/>
  <c r="T78" i="8"/>
  <c r="S78" i="8" s="1"/>
  <c r="R78" i="8"/>
  <c r="N78" i="8"/>
  <c r="M78" i="8"/>
  <c r="L78" i="8"/>
  <c r="K78" i="8"/>
  <c r="J78" i="8" s="1"/>
  <c r="I78" i="8"/>
  <c r="W77" i="8"/>
  <c r="V77" i="8"/>
  <c r="U77" i="8"/>
  <c r="T77" i="8"/>
  <c r="S77" i="8" s="1"/>
  <c r="R77" i="8"/>
  <c r="N77" i="8"/>
  <c r="M77" i="8"/>
  <c r="L77" i="8"/>
  <c r="K77" i="8"/>
  <c r="J77" i="8" s="1"/>
  <c r="I77" i="8"/>
  <c r="W76" i="8"/>
  <c r="V76" i="8"/>
  <c r="U76" i="8"/>
  <c r="T76" i="8"/>
  <c r="S76" i="8" s="1"/>
  <c r="R76" i="8"/>
  <c r="N76" i="8"/>
  <c r="M76" i="8"/>
  <c r="L76" i="8"/>
  <c r="K76" i="8"/>
  <c r="J76" i="8" s="1"/>
  <c r="I76" i="8"/>
  <c r="W75" i="8"/>
  <c r="V75" i="8"/>
  <c r="U75" i="8"/>
  <c r="T75" i="8"/>
  <c r="S75" i="8" s="1"/>
  <c r="R75" i="8"/>
  <c r="N75" i="8"/>
  <c r="M75" i="8"/>
  <c r="L75" i="8"/>
  <c r="K75" i="8"/>
  <c r="J75" i="8" s="1"/>
  <c r="I75" i="8"/>
  <c r="W74" i="8"/>
  <c r="V74" i="8"/>
  <c r="U74" i="8"/>
  <c r="T74" i="8"/>
  <c r="S74" i="8" s="1"/>
  <c r="R74" i="8"/>
  <c r="N74" i="8"/>
  <c r="M74" i="8"/>
  <c r="L74" i="8"/>
  <c r="K74" i="8"/>
  <c r="J74" i="8" s="1"/>
  <c r="I74" i="8"/>
  <c r="W73" i="8"/>
  <c r="V73" i="8"/>
  <c r="U73" i="8"/>
  <c r="T73" i="8"/>
  <c r="S73" i="8" s="1"/>
  <c r="R73" i="8"/>
  <c r="N73" i="8"/>
  <c r="M73" i="8"/>
  <c r="L73" i="8"/>
  <c r="K73" i="8"/>
  <c r="J73" i="8" s="1"/>
  <c r="I73" i="8"/>
  <c r="W72" i="8"/>
  <c r="V72" i="8"/>
  <c r="U72" i="8"/>
  <c r="T72" i="8"/>
  <c r="S72" i="8" s="1"/>
  <c r="R72" i="8"/>
  <c r="N72" i="8"/>
  <c r="M72" i="8"/>
  <c r="L72" i="8"/>
  <c r="K72" i="8"/>
  <c r="J72" i="8" s="1"/>
  <c r="I72" i="8"/>
  <c r="W71" i="8"/>
  <c r="V71" i="8"/>
  <c r="U71" i="8"/>
  <c r="T71" i="8"/>
  <c r="S71" i="8" s="1"/>
  <c r="R71" i="8"/>
  <c r="N71" i="8"/>
  <c r="M71" i="8"/>
  <c r="L71" i="8"/>
  <c r="K71" i="8"/>
  <c r="I71" i="8"/>
  <c r="W70" i="8"/>
  <c r="V70" i="8"/>
  <c r="U70" i="8"/>
  <c r="T70" i="8"/>
  <c r="S70" i="8" s="1"/>
  <c r="R70" i="8"/>
  <c r="N70" i="8"/>
  <c r="M70" i="8"/>
  <c r="L70" i="8"/>
  <c r="K70" i="8"/>
  <c r="J70" i="8" s="1"/>
  <c r="I70" i="8"/>
  <c r="W69" i="8"/>
  <c r="V69" i="8"/>
  <c r="U69" i="8"/>
  <c r="T69" i="8"/>
  <c r="S69" i="8" s="1"/>
  <c r="R69" i="8"/>
  <c r="N69" i="8"/>
  <c r="M69" i="8"/>
  <c r="L69" i="8"/>
  <c r="K69" i="8"/>
  <c r="J69" i="8" s="1"/>
  <c r="I69" i="8"/>
  <c r="W68" i="8"/>
  <c r="V68" i="8"/>
  <c r="U68" i="8"/>
  <c r="T68" i="8"/>
  <c r="S68" i="8" s="1"/>
  <c r="R68" i="8"/>
  <c r="N68" i="8"/>
  <c r="M68" i="8"/>
  <c r="L68" i="8"/>
  <c r="K68" i="8"/>
  <c r="J68" i="8" s="1"/>
  <c r="I68" i="8"/>
  <c r="W67" i="8"/>
  <c r="V67" i="8"/>
  <c r="U67" i="8"/>
  <c r="T67" i="8"/>
  <c r="S67" i="8" s="1"/>
  <c r="R67" i="8"/>
  <c r="N67" i="8"/>
  <c r="M67" i="8"/>
  <c r="L67" i="8"/>
  <c r="K67" i="8"/>
  <c r="J67" i="8" s="1"/>
  <c r="I67" i="8"/>
  <c r="W66" i="8"/>
  <c r="V66" i="8"/>
  <c r="U66" i="8"/>
  <c r="T66" i="8"/>
  <c r="S66" i="8" s="1"/>
  <c r="R66" i="8"/>
  <c r="N66" i="8"/>
  <c r="M66" i="8"/>
  <c r="L66" i="8"/>
  <c r="K66" i="8"/>
  <c r="J66" i="8" s="1"/>
  <c r="I66" i="8"/>
  <c r="W65" i="8"/>
  <c r="V65" i="8"/>
  <c r="U65" i="8"/>
  <c r="T65" i="8"/>
  <c r="S65" i="8" s="1"/>
  <c r="R65" i="8"/>
  <c r="N65" i="8"/>
  <c r="M65" i="8"/>
  <c r="L65" i="8"/>
  <c r="K65" i="8"/>
  <c r="J65" i="8" s="1"/>
  <c r="I65" i="8"/>
  <c r="W64" i="8"/>
  <c r="V64" i="8"/>
  <c r="U64" i="8"/>
  <c r="T64" i="8"/>
  <c r="S64" i="8" s="1"/>
  <c r="R64" i="8"/>
  <c r="N64" i="8"/>
  <c r="M64" i="8"/>
  <c r="L64" i="8"/>
  <c r="K64" i="8"/>
  <c r="J64" i="8" s="1"/>
  <c r="I64" i="8"/>
  <c r="W63" i="8"/>
  <c r="V63" i="8"/>
  <c r="U63" i="8"/>
  <c r="T63" i="8"/>
  <c r="S63" i="8" s="1"/>
  <c r="R63" i="8"/>
  <c r="N63" i="8"/>
  <c r="M63" i="8"/>
  <c r="L63" i="8"/>
  <c r="K63" i="8"/>
  <c r="J63" i="8" s="1"/>
  <c r="I63" i="8"/>
  <c r="W62" i="8"/>
  <c r="V62" i="8"/>
  <c r="U62" i="8"/>
  <c r="T62" i="8"/>
  <c r="S62" i="8" s="1"/>
  <c r="R62" i="8"/>
  <c r="N62" i="8"/>
  <c r="M62" i="8"/>
  <c r="L62" i="8"/>
  <c r="K62" i="8"/>
  <c r="J62" i="8" s="1"/>
  <c r="I62" i="8"/>
  <c r="W61" i="8"/>
  <c r="V61" i="8"/>
  <c r="U61" i="8"/>
  <c r="T61" i="8"/>
  <c r="S61" i="8" s="1"/>
  <c r="R61" i="8"/>
  <c r="N61" i="8"/>
  <c r="M61" i="8"/>
  <c r="L61" i="8"/>
  <c r="K61" i="8"/>
  <c r="J61" i="8" s="1"/>
  <c r="I61" i="8"/>
  <c r="W60" i="8"/>
  <c r="V60" i="8"/>
  <c r="U60" i="8"/>
  <c r="T60" i="8"/>
  <c r="S60" i="8" s="1"/>
  <c r="R60" i="8"/>
  <c r="N60" i="8"/>
  <c r="M60" i="8"/>
  <c r="L60" i="8"/>
  <c r="K60" i="8"/>
  <c r="J60" i="8" s="1"/>
  <c r="I60" i="8"/>
  <c r="W59" i="8"/>
  <c r="V59" i="8"/>
  <c r="U59" i="8"/>
  <c r="T59" i="8"/>
  <c r="S59" i="8" s="1"/>
  <c r="R59" i="8"/>
  <c r="N59" i="8"/>
  <c r="M59" i="8"/>
  <c r="L59" i="8"/>
  <c r="K59" i="8"/>
  <c r="J59" i="8" s="1"/>
  <c r="I59" i="8"/>
  <c r="W58" i="8"/>
  <c r="V58" i="8"/>
  <c r="U58" i="8"/>
  <c r="T58" i="8"/>
  <c r="S58" i="8" s="1"/>
  <c r="R58" i="8"/>
  <c r="N58" i="8"/>
  <c r="M58" i="8"/>
  <c r="L58" i="8"/>
  <c r="K58" i="8"/>
  <c r="J58" i="8" s="1"/>
  <c r="I58" i="8"/>
  <c r="W57" i="8"/>
  <c r="V57" i="8"/>
  <c r="U57" i="8"/>
  <c r="T57" i="8"/>
  <c r="S57" i="8" s="1"/>
  <c r="R57" i="8"/>
  <c r="N57" i="8"/>
  <c r="M57" i="8"/>
  <c r="L57" i="8"/>
  <c r="K57" i="8"/>
  <c r="J57" i="8" s="1"/>
  <c r="I57" i="8"/>
  <c r="W56" i="8"/>
  <c r="V56" i="8"/>
  <c r="U56" i="8"/>
  <c r="T56" i="8"/>
  <c r="S56" i="8" s="1"/>
  <c r="R56" i="8"/>
  <c r="N56" i="8"/>
  <c r="M56" i="8"/>
  <c r="L56" i="8"/>
  <c r="K56" i="8"/>
  <c r="J56" i="8" s="1"/>
  <c r="I56" i="8"/>
  <c r="W55" i="8"/>
  <c r="V55" i="8"/>
  <c r="U55" i="8"/>
  <c r="T55" i="8"/>
  <c r="S55" i="8" s="1"/>
  <c r="R55" i="8"/>
  <c r="N55" i="8"/>
  <c r="M55" i="8"/>
  <c r="L55" i="8"/>
  <c r="K55" i="8"/>
  <c r="J55" i="8" s="1"/>
  <c r="I55" i="8"/>
  <c r="W54" i="8"/>
  <c r="V54" i="8"/>
  <c r="U54" i="8"/>
  <c r="T54" i="8"/>
  <c r="S54" i="8" s="1"/>
  <c r="R54" i="8"/>
  <c r="N54" i="8"/>
  <c r="M54" i="8"/>
  <c r="L54" i="8"/>
  <c r="K54" i="8"/>
  <c r="J54" i="8" s="1"/>
  <c r="I54" i="8"/>
  <c r="W53" i="8"/>
  <c r="V53" i="8"/>
  <c r="U53" i="8"/>
  <c r="T53" i="8"/>
  <c r="S53" i="8" s="1"/>
  <c r="R53" i="8"/>
  <c r="N53" i="8"/>
  <c r="M53" i="8"/>
  <c r="L53" i="8"/>
  <c r="K53" i="8"/>
  <c r="J53" i="8" s="1"/>
  <c r="I53" i="8"/>
  <c r="W52" i="8"/>
  <c r="V52" i="8"/>
  <c r="U52" i="8"/>
  <c r="T52" i="8"/>
  <c r="S52" i="8" s="1"/>
  <c r="R52" i="8"/>
  <c r="N52" i="8"/>
  <c r="M52" i="8"/>
  <c r="L52" i="8"/>
  <c r="K52" i="8"/>
  <c r="J52" i="8" s="1"/>
  <c r="I52" i="8"/>
  <c r="W51" i="8"/>
  <c r="V51" i="8"/>
  <c r="U51" i="8"/>
  <c r="T51" i="8"/>
  <c r="S51" i="8" s="1"/>
  <c r="R51" i="8"/>
  <c r="N51" i="8"/>
  <c r="M51" i="8"/>
  <c r="L51" i="8"/>
  <c r="K51" i="8"/>
  <c r="J51" i="8" s="1"/>
  <c r="I51" i="8"/>
  <c r="W50" i="8"/>
  <c r="V50" i="8"/>
  <c r="U50" i="8"/>
  <c r="T50" i="8"/>
  <c r="S50" i="8" s="1"/>
  <c r="R50" i="8"/>
  <c r="N50" i="8"/>
  <c r="M50" i="8"/>
  <c r="L50" i="8"/>
  <c r="K50" i="8"/>
  <c r="J50" i="8" s="1"/>
  <c r="I50" i="8"/>
  <c r="W49" i="8"/>
  <c r="V49" i="8"/>
  <c r="U49" i="8"/>
  <c r="T49" i="8"/>
  <c r="S49" i="8" s="1"/>
  <c r="R49" i="8"/>
  <c r="N49" i="8"/>
  <c r="M49" i="8"/>
  <c r="L49" i="8"/>
  <c r="K49" i="8"/>
  <c r="J49" i="8" s="1"/>
  <c r="I49" i="8"/>
  <c r="W48" i="8"/>
  <c r="V48" i="8"/>
  <c r="U48" i="8"/>
  <c r="T48" i="8"/>
  <c r="S48" i="8" s="1"/>
  <c r="R48" i="8"/>
  <c r="N48" i="8"/>
  <c r="M48" i="8"/>
  <c r="L48" i="8"/>
  <c r="K48" i="8"/>
  <c r="J48" i="8" s="1"/>
  <c r="I48" i="8"/>
  <c r="W47" i="8"/>
  <c r="V47" i="8"/>
  <c r="U47" i="8"/>
  <c r="T47" i="8"/>
  <c r="S47" i="8" s="1"/>
  <c r="R47" i="8"/>
  <c r="N47" i="8"/>
  <c r="M47" i="8"/>
  <c r="L47" i="8"/>
  <c r="K47" i="8"/>
  <c r="J47" i="8" s="1"/>
  <c r="I47" i="8"/>
  <c r="W46" i="8"/>
  <c r="V46" i="8"/>
  <c r="U46" i="8"/>
  <c r="T46" i="8"/>
  <c r="S46" i="8" s="1"/>
  <c r="R46" i="8"/>
  <c r="N46" i="8"/>
  <c r="M46" i="8"/>
  <c r="L46" i="8"/>
  <c r="K46" i="8"/>
  <c r="J46" i="8" s="1"/>
  <c r="I46" i="8"/>
  <c r="W45" i="8"/>
  <c r="V45" i="8"/>
  <c r="U45" i="8"/>
  <c r="T45" i="8"/>
  <c r="S45" i="8" s="1"/>
  <c r="R45" i="8"/>
  <c r="N45" i="8"/>
  <c r="M45" i="8"/>
  <c r="L45" i="8"/>
  <c r="K45" i="8"/>
  <c r="J45" i="8" s="1"/>
  <c r="I45" i="8"/>
  <c r="W44" i="8"/>
  <c r="V44" i="8"/>
  <c r="U44" i="8"/>
  <c r="T44" i="8"/>
  <c r="S44" i="8" s="1"/>
  <c r="R44" i="8"/>
  <c r="N44" i="8"/>
  <c r="M44" i="8"/>
  <c r="L44" i="8"/>
  <c r="K44" i="8"/>
  <c r="J44" i="8" s="1"/>
  <c r="I44" i="8"/>
  <c r="W43" i="8"/>
  <c r="V43" i="8"/>
  <c r="U43" i="8"/>
  <c r="T43" i="8"/>
  <c r="S43" i="8" s="1"/>
  <c r="R43" i="8"/>
  <c r="N43" i="8"/>
  <c r="M43" i="8"/>
  <c r="L43" i="8"/>
  <c r="K43" i="8"/>
  <c r="J43" i="8" s="1"/>
  <c r="I43" i="8"/>
  <c r="W42" i="8"/>
  <c r="V42" i="8"/>
  <c r="U42" i="8"/>
  <c r="T42" i="8"/>
  <c r="S42" i="8" s="1"/>
  <c r="R42" i="8"/>
  <c r="N42" i="8"/>
  <c r="M42" i="8"/>
  <c r="L42" i="8"/>
  <c r="K42" i="8"/>
  <c r="J42" i="8" s="1"/>
  <c r="I42" i="8"/>
  <c r="W41" i="8"/>
  <c r="V41" i="8"/>
  <c r="U41" i="8"/>
  <c r="T41" i="8"/>
  <c r="S41" i="8" s="1"/>
  <c r="R41" i="8"/>
  <c r="N41" i="8"/>
  <c r="M41" i="8"/>
  <c r="L41" i="8"/>
  <c r="K41" i="8"/>
  <c r="J41" i="8" s="1"/>
  <c r="I41" i="8"/>
  <c r="W40" i="8"/>
  <c r="V40" i="8"/>
  <c r="U40" i="8"/>
  <c r="T40" i="8"/>
  <c r="S40" i="8" s="1"/>
  <c r="R40" i="8"/>
  <c r="N40" i="8"/>
  <c r="M40" i="8"/>
  <c r="L40" i="8"/>
  <c r="K40" i="8"/>
  <c r="J40" i="8" s="1"/>
  <c r="I40" i="8"/>
  <c r="W39" i="8"/>
  <c r="V39" i="8"/>
  <c r="U39" i="8"/>
  <c r="T39" i="8"/>
  <c r="S39" i="8" s="1"/>
  <c r="R39" i="8"/>
  <c r="N39" i="8"/>
  <c r="M39" i="8"/>
  <c r="L39" i="8"/>
  <c r="K39" i="8"/>
  <c r="J39" i="8" s="1"/>
  <c r="I39" i="8"/>
  <c r="W38" i="8"/>
  <c r="V38" i="8"/>
  <c r="U38" i="8"/>
  <c r="T38" i="8"/>
  <c r="S38" i="8" s="1"/>
  <c r="R38" i="8"/>
  <c r="N38" i="8"/>
  <c r="M38" i="8"/>
  <c r="L38" i="8"/>
  <c r="K38" i="8"/>
  <c r="J38" i="8" s="1"/>
  <c r="I38" i="8"/>
  <c r="W37" i="8"/>
  <c r="V37" i="8"/>
  <c r="U37" i="8"/>
  <c r="T37" i="8"/>
  <c r="S37" i="8" s="1"/>
  <c r="R37" i="8"/>
  <c r="N37" i="8"/>
  <c r="M37" i="8"/>
  <c r="L37" i="8"/>
  <c r="K37" i="8"/>
  <c r="J37" i="8" s="1"/>
  <c r="I37" i="8"/>
  <c r="W36" i="8"/>
  <c r="V36" i="8"/>
  <c r="U36" i="8"/>
  <c r="T36" i="8"/>
  <c r="S36" i="8" s="1"/>
  <c r="R36" i="8"/>
  <c r="N36" i="8"/>
  <c r="M36" i="8"/>
  <c r="L36" i="8"/>
  <c r="K36" i="8"/>
  <c r="J36" i="8" s="1"/>
  <c r="I36" i="8"/>
  <c r="W35" i="8"/>
  <c r="V35" i="8"/>
  <c r="U35" i="8"/>
  <c r="T35" i="8"/>
  <c r="S35" i="8" s="1"/>
  <c r="R35" i="8"/>
  <c r="N35" i="8"/>
  <c r="M35" i="8"/>
  <c r="L35" i="8"/>
  <c r="K35" i="8"/>
  <c r="J35" i="8" s="1"/>
  <c r="I35" i="8"/>
  <c r="W34" i="8"/>
  <c r="V34" i="8"/>
  <c r="U34" i="8"/>
  <c r="T34" i="8"/>
  <c r="S34" i="8" s="1"/>
  <c r="R34" i="8"/>
  <c r="N34" i="8"/>
  <c r="M34" i="8"/>
  <c r="L34" i="8"/>
  <c r="K34" i="8"/>
  <c r="J34" i="8" s="1"/>
  <c r="I34" i="8"/>
  <c r="W33" i="8"/>
  <c r="V33" i="8"/>
  <c r="U33" i="8"/>
  <c r="T33" i="8"/>
  <c r="S33" i="8" s="1"/>
  <c r="R33" i="8"/>
  <c r="N33" i="8"/>
  <c r="M33" i="8"/>
  <c r="L33" i="8"/>
  <c r="K33" i="8"/>
  <c r="J33" i="8" s="1"/>
  <c r="I33" i="8"/>
  <c r="W32" i="8"/>
  <c r="V32" i="8"/>
  <c r="U32" i="8"/>
  <c r="T32" i="8"/>
  <c r="S32" i="8" s="1"/>
  <c r="R32" i="8"/>
  <c r="N32" i="8"/>
  <c r="M32" i="8"/>
  <c r="L32" i="8"/>
  <c r="K32" i="8"/>
  <c r="J32" i="8" s="1"/>
  <c r="I32" i="8"/>
  <c r="W31" i="8"/>
  <c r="V31" i="8"/>
  <c r="U31" i="8"/>
  <c r="T31" i="8"/>
  <c r="S31" i="8" s="1"/>
  <c r="R31" i="8"/>
  <c r="N31" i="8"/>
  <c r="M31" i="8"/>
  <c r="L31" i="8"/>
  <c r="K31" i="8"/>
  <c r="J31" i="8" s="1"/>
  <c r="I31" i="8"/>
  <c r="W30" i="8"/>
  <c r="V30" i="8"/>
  <c r="U30" i="8"/>
  <c r="T30" i="8"/>
  <c r="S30" i="8" s="1"/>
  <c r="R30" i="8"/>
  <c r="N30" i="8"/>
  <c r="M30" i="8"/>
  <c r="L30" i="8"/>
  <c r="K30" i="8"/>
  <c r="J30" i="8" s="1"/>
  <c r="I30" i="8"/>
  <c r="W29" i="8"/>
  <c r="V29" i="8"/>
  <c r="U29" i="8"/>
  <c r="T29" i="8"/>
  <c r="S29" i="8" s="1"/>
  <c r="R29" i="8"/>
  <c r="N29" i="8"/>
  <c r="M29" i="8"/>
  <c r="L29" i="8"/>
  <c r="K29" i="8"/>
  <c r="J29" i="8" s="1"/>
  <c r="I29" i="8"/>
  <c r="W28" i="8"/>
  <c r="V28" i="8"/>
  <c r="U28" i="8"/>
  <c r="T28" i="8"/>
  <c r="S28" i="8" s="1"/>
  <c r="R28" i="8"/>
  <c r="N28" i="8"/>
  <c r="M28" i="8"/>
  <c r="L28" i="8"/>
  <c r="K28" i="8"/>
  <c r="J28" i="8" s="1"/>
  <c r="I28" i="8"/>
  <c r="W27" i="8"/>
  <c r="V27" i="8"/>
  <c r="U27" i="8"/>
  <c r="T27" i="8"/>
  <c r="S27" i="8" s="1"/>
  <c r="R27" i="8"/>
  <c r="N27" i="8"/>
  <c r="M27" i="8"/>
  <c r="L27" i="8"/>
  <c r="K27" i="8"/>
  <c r="J27" i="8" s="1"/>
  <c r="I27" i="8"/>
  <c r="W26" i="8"/>
  <c r="V26" i="8"/>
  <c r="U26" i="8"/>
  <c r="T26" i="8"/>
  <c r="S26" i="8" s="1"/>
  <c r="R26" i="8"/>
  <c r="N26" i="8"/>
  <c r="M26" i="8"/>
  <c r="L26" i="8"/>
  <c r="K26" i="8"/>
  <c r="J26" i="8" s="1"/>
  <c r="I26" i="8"/>
  <c r="W25" i="8"/>
  <c r="V25" i="8"/>
  <c r="U25" i="8"/>
  <c r="T25" i="8"/>
  <c r="S25" i="8" s="1"/>
  <c r="R25" i="8"/>
  <c r="N25" i="8"/>
  <c r="M25" i="8"/>
  <c r="L25" i="8"/>
  <c r="K25" i="8"/>
  <c r="J25" i="8" s="1"/>
  <c r="I25" i="8"/>
  <c r="W24" i="8"/>
  <c r="V24" i="8"/>
  <c r="U24" i="8"/>
  <c r="T24" i="8"/>
  <c r="S24" i="8" s="1"/>
  <c r="R24" i="8"/>
  <c r="N24" i="8"/>
  <c r="M24" i="8"/>
  <c r="L24" i="8"/>
  <c r="K24" i="8"/>
  <c r="J24" i="8" s="1"/>
  <c r="I24" i="8"/>
  <c r="W23" i="8"/>
  <c r="V23" i="8"/>
  <c r="U23" i="8"/>
  <c r="T23" i="8"/>
  <c r="S23" i="8" s="1"/>
  <c r="R23" i="8"/>
  <c r="N23" i="8"/>
  <c r="M23" i="8"/>
  <c r="L23" i="8"/>
  <c r="K23" i="8"/>
  <c r="J23" i="8" s="1"/>
  <c r="I23" i="8"/>
  <c r="W22" i="8"/>
  <c r="V22" i="8"/>
  <c r="U22" i="8"/>
  <c r="T22" i="8"/>
  <c r="S22" i="8" s="1"/>
  <c r="R22" i="8"/>
  <c r="N22" i="8"/>
  <c r="M22" i="8"/>
  <c r="L22" i="8"/>
  <c r="K22" i="8"/>
  <c r="J22" i="8" s="1"/>
  <c r="I22" i="8"/>
  <c r="W21" i="8"/>
  <c r="V21" i="8"/>
  <c r="U21" i="8"/>
  <c r="T21" i="8"/>
  <c r="S21" i="8" s="1"/>
  <c r="R21" i="8"/>
  <c r="N21" i="8"/>
  <c r="M21" i="8"/>
  <c r="L21" i="8"/>
  <c r="K21" i="8"/>
  <c r="J21" i="8" s="1"/>
  <c r="I21" i="8"/>
  <c r="W20" i="8"/>
  <c r="V20" i="8"/>
  <c r="U20" i="8"/>
  <c r="T20" i="8"/>
  <c r="S20" i="8" s="1"/>
  <c r="R20" i="8"/>
  <c r="N20" i="8"/>
  <c r="M20" i="8"/>
  <c r="L20" i="8"/>
  <c r="K20" i="8"/>
  <c r="J20" i="8" s="1"/>
  <c r="I20" i="8"/>
  <c r="W19" i="8"/>
  <c r="V19" i="8"/>
  <c r="U19" i="8"/>
  <c r="T19" i="8"/>
  <c r="S19" i="8" s="1"/>
  <c r="R19" i="8"/>
  <c r="N19" i="8"/>
  <c r="M19" i="8"/>
  <c r="L19" i="8"/>
  <c r="K19" i="8"/>
  <c r="J19" i="8" s="1"/>
  <c r="I19" i="8"/>
  <c r="W18" i="8"/>
  <c r="V18" i="8"/>
  <c r="U18" i="8"/>
  <c r="T18" i="8"/>
  <c r="S18" i="8" s="1"/>
  <c r="R18" i="8"/>
  <c r="N18" i="8"/>
  <c r="M18" i="8"/>
  <c r="L18" i="8"/>
  <c r="K18" i="8"/>
  <c r="J18" i="8" s="1"/>
  <c r="I18" i="8"/>
  <c r="W17" i="8"/>
  <c r="V17" i="8"/>
  <c r="U17" i="8"/>
  <c r="T17" i="8"/>
  <c r="S17" i="8" s="1"/>
  <c r="R17" i="8"/>
  <c r="N17" i="8"/>
  <c r="M17" i="8"/>
  <c r="L17" i="8"/>
  <c r="K17" i="8"/>
  <c r="J17" i="8" s="1"/>
  <c r="I17" i="8"/>
  <c r="W16" i="8"/>
  <c r="V16" i="8"/>
  <c r="U16" i="8"/>
  <c r="T16" i="8"/>
  <c r="S16" i="8" s="1"/>
  <c r="R16" i="8"/>
  <c r="N16" i="8"/>
  <c r="M16" i="8"/>
  <c r="L16" i="8"/>
  <c r="K16" i="8"/>
  <c r="J16" i="8" s="1"/>
  <c r="I16" i="8"/>
  <c r="W15" i="8"/>
  <c r="V15" i="8"/>
  <c r="U15" i="8"/>
  <c r="T15" i="8"/>
  <c r="S15" i="8" s="1"/>
  <c r="R15" i="8"/>
  <c r="N15" i="8"/>
  <c r="M15" i="8"/>
  <c r="L15" i="8"/>
  <c r="K15" i="8"/>
  <c r="J15" i="8" s="1"/>
  <c r="I15" i="8"/>
  <c r="W14" i="8"/>
  <c r="V14" i="8"/>
  <c r="U14" i="8"/>
  <c r="T14" i="8"/>
  <c r="S14" i="8" s="1"/>
  <c r="R14" i="8"/>
  <c r="N14" i="8"/>
  <c r="M14" i="8"/>
  <c r="L14" i="8"/>
  <c r="K14" i="8"/>
  <c r="J14" i="8" s="1"/>
  <c r="I14" i="8"/>
  <c r="W13" i="8"/>
  <c r="V13" i="8"/>
  <c r="U13" i="8"/>
  <c r="T13" i="8"/>
  <c r="S13" i="8" s="1"/>
  <c r="R13" i="8"/>
  <c r="N13" i="8"/>
  <c r="M13" i="8"/>
  <c r="L13" i="8"/>
  <c r="K13" i="8"/>
  <c r="J13" i="8" s="1"/>
  <c r="I13" i="8"/>
  <c r="W12" i="8"/>
  <c r="V12" i="8"/>
  <c r="U12" i="8"/>
  <c r="T12" i="8"/>
  <c r="S12" i="8" s="1"/>
  <c r="R12" i="8"/>
  <c r="N12" i="8"/>
  <c r="M12" i="8"/>
  <c r="L12" i="8"/>
  <c r="K12" i="8"/>
  <c r="J12" i="8" s="1"/>
  <c r="I12" i="8"/>
  <c r="W11" i="8"/>
  <c r="V11" i="8"/>
  <c r="U11" i="8"/>
  <c r="T11" i="8"/>
  <c r="S11" i="8" s="1"/>
  <c r="R11" i="8"/>
  <c r="N11" i="8"/>
  <c r="M11" i="8"/>
  <c r="L11" i="8"/>
  <c r="K11" i="8"/>
  <c r="J11" i="8" s="1"/>
  <c r="I11" i="8"/>
  <c r="W10" i="8"/>
  <c r="V10" i="8"/>
  <c r="U10" i="8"/>
  <c r="T10" i="8"/>
  <c r="S10" i="8" s="1"/>
  <c r="R10" i="8"/>
  <c r="N10" i="8"/>
  <c r="M10" i="8"/>
  <c r="L10" i="8"/>
  <c r="K10" i="8"/>
  <c r="J10" i="8" s="1"/>
  <c r="I10" i="8"/>
  <c r="W9" i="8"/>
  <c r="V9" i="8"/>
  <c r="U9" i="8"/>
  <c r="T9" i="8"/>
  <c r="S9" i="8" s="1"/>
  <c r="R9" i="8"/>
  <c r="N9" i="8"/>
  <c r="M9" i="8"/>
  <c r="L9" i="8"/>
  <c r="K9" i="8"/>
  <c r="J9" i="8" s="1"/>
  <c r="I9" i="8"/>
  <c r="W8" i="8"/>
  <c r="V8" i="8"/>
  <c r="U8" i="8"/>
  <c r="T8" i="8"/>
  <c r="S8" i="8" s="1"/>
  <c r="R8" i="8"/>
  <c r="N8" i="8"/>
  <c r="M8" i="8"/>
  <c r="L8" i="8"/>
  <c r="K8" i="8"/>
  <c r="J8" i="8" s="1"/>
  <c r="I8" i="8"/>
  <c r="W7" i="8"/>
  <c r="V7" i="8"/>
  <c r="U7" i="8"/>
  <c r="T7" i="8"/>
  <c r="S7" i="8" s="1"/>
  <c r="R7" i="8"/>
  <c r="N7" i="8"/>
  <c r="M7" i="8"/>
  <c r="L7" i="8"/>
  <c r="K7" i="8"/>
  <c r="J7" i="8" s="1"/>
  <c r="I7" i="8"/>
  <c r="W6" i="8"/>
  <c r="V6" i="8"/>
  <c r="U6" i="8"/>
  <c r="T6" i="8"/>
  <c r="S6" i="8" s="1"/>
  <c r="R6" i="8"/>
  <c r="N6" i="8"/>
  <c r="M6" i="8"/>
  <c r="L6" i="8"/>
  <c r="K6" i="8"/>
  <c r="J6" i="8" s="1"/>
  <c r="I6" i="8"/>
  <c r="W5" i="8"/>
  <c r="V5" i="8"/>
  <c r="U5" i="8"/>
  <c r="T5" i="8"/>
  <c r="S5" i="8" s="1"/>
  <c r="R5" i="8"/>
  <c r="N5" i="8"/>
  <c r="M5" i="8"/>
  <c r="L5" i="8"/>
  <c r="K5" i="8"/>
  <c r="J5" i="8" s="1"/>
  <c r="I5" i="8"/>
  <c r="W4" i="8"/>
  <c r="V4" i="8"/>
  <c r="U4" i="8"/>
  <c r="T4" i="8"/>
  <c r="S4" i="8" s="1"/>
  <c r="R4" i="8"/>
  <c r="N4" i="8"/>
  <c r="M4" i="8"/>
  <c r="L4" i="8"/>
  <c r="K4" i="8"/>
  <c r="J4" i="8" s="1"/>
  <c r="I4" i="8"/>
  <c r="W3" i="8"/>
  <c r="V3" i="8"/>
  <c r="U3" i="8"/>
  <c r="T3" i="8"/>
  <c r="S3" i="8" s="1"/>
  <c r="R3" i="8"/>
  <c r="N3" i="8"/>
  <c r="M3" i="8"/>
  <c r="L3" i="8"/>
  <c r="K3" i="8"/>
  <c r="J3" i="8" s="1"/>
  <c r="I3" i="8"/>
  <c r="Z199" i="8" l="1"/>
  <c r="Z177" i="8"/>
  <c r="AF177" i="8"/>
  <c r="AE177" i="8" s="1"/>
  <c r="Z164" i="8"/>
  <c r="AF181" i="8"/>
  <c r="AE181" i="8" s="1"/>
  <c r="AF165" i="8"/>
  <c r="AE165" i="8" s="1"/>
  <c r="AF167" i="8"/>
  <c r="AE167" i="8" s="1"/>
  <c r="AF199" i="8"/>
  <c r="AE199" i="8" s="1"/>
  <c r="AF183" i="8"/>
  <c r="AE183" i="8" s="1"/>
  <c r="AF168" i="8"/>
  <c r="AE168" i="8" s="1"/>
  <c r="AF198" i="8"/>
  <c r="AE198" i="8" s="1"/>
  <c r="Z170" i="8"/>
  <c r="Z206" i="8"/>
  <c r="Z193" i="8"/>
  <c r="Z196" i="8"/>
  <c r="Z185" i="8"/>
  <c r="Z205" i="8"/>
  <c r="X3" i="8"/>
  <c r="X9" i="8"/>
  <c r="X12" i="8"/>
  <c r="X22" i="8"/>
  <c r="X35" i="8"/>
  <c r="X41" i="8"/>
  <c r="X47" i="8"/>
  <c r="X53" i="8"/>
  <c r="X59" i="8"/>
  <c r="X64" i="8"/>
  <c r="X70" i="8"/>
  <c r="X76" i="8"/>
  <c r="X82" i="8"/>
  <c r="X88" i="8"/>
  <c r="X94" i="8"/>
  <c r="X100" i="8"/>
  <c r="X106" i="8"/>
  <c r="X112" i="8"/>
  <c r="X118" i="8"/>
  <c r="X124" i="8"/>
  <c r="X130" i="8"/>
  <c r="X136" i="8"/>
  <c r="X142" i="8"/>
  <c r="X148" i="8"/>
  <c r="X154" i="8"/>
  <c r="X160" i="8"/>
  <c r="AF195" i="8"/>
  <c r="AE195" i="8" s="1"/>
  <c r="X8" i="8"/>
  <c r="X11" i="8"/>
  <c r="X16" i="8"/>
  <c r="X21" i="8"/>
  <c r="X27" i="8"/>
  <c r="X30" i="8"/>
  <c r="X34" i="8"/>
  <c r="X40" i="8"/>
  <c r="X46" i="8"/>
  <c r="Z175" i="8"/>
  <c r="Z192" i="8"/>
  <c r="Z188" i="8"/>
  <c r="Z187" i="8"/>
  <c r="X52" i="8"/>
  <c r="X58" i="8"/>
  <c r="X63" i="8"/>
  <c r="X69" i="8"/>
  <c r="X75" i="8"/>
  <c r="X81" i="8"/>
  <c r="X87" i="8"/>
  <c r="X93" i="8"/>
  <c r="X99" i="8"/>
  <c r="X105" i="8"/>
  <c r="X111" i="8"/>
  <c r="X117" i="8"/>
  <c r="X123" i="8"/>
  <c r="X129" i="8"/>
  <c r="X135" i="8"/>
  <c r="X141" i="8"/>
  <c r="AF187" i="8" s="1"/>
  <c r="AE187" i="8" s="1"/>
  <c r="X147" i="8"/>
  <c r="X153" i="8"/>
  <c r="X159" i="8"/>
  <c r="Z165" i="8"/>
  <c r="Z201" i="8"/>
  <c r="Z166" i="8"/>
  <c r="Z202" i="8"/>
  <c r="Z191" i="8"/>
  <c r="Z198" i="8"/>
  <c r="X26" i="8"/>
  <c r="X104" i="8"/>
  <c r="X110" i="8"/>
  <c r="X116" i="8"/>
  <c r="X122" i="8"/>
  <c r="X128" i="8"/>
  <c r="X134" i="8"/>
  <c r="X140" i="8"/>
  <c r="X146" i="8"/>
  <c r="X152" i="8"/>
  <c r="X158" i="8"/>
  <c r="Z182" i="8"/>
  <c r="Z171" i="8"/>
  <c r="Z207" i="8"/>
  <c r="Z172" i="8"/>
  <c r="Z208" i="8"/>
  <c r="Z197" i="8"/>
  <c r="Z168" i="8"/>
  <c r="Z204" i="8"/>
  <c r="X62" i="8"/>
  <c r="AF171" i="8" s="1"/>
  <c r="AE171" i="8" s="1"/>
  <c r="X68" i="8"/>
  <c r="X74" i="8"/>
  <c r="X98" i="8"/>
  <c r="X6" i="8"/>
  <c r="X19" i="8"/>
  <c r="AF192" i="8" s="1"/>
  <c r="AE192" i="8" s="1"/>
  <c r="X25" i="8"/>
  <c r="X29" i="8"/>
  <c r="X38" i="8"/>
  <c r="X44" i="8"/>
  <c r="X50" i="8"/>
  <c r="X56" i="8"/>
  <c r="X61" i="8"/>
  <c r="X67" i="8"/>
  <c r="X73" i="8"/>
  <c r="X79" i="8"/>
  <c r="X85" i="8"/>
  <c r="X91" i="8"/>
  <c r="X97" i="8"/>
  <c r="X103" i="8"/>
  <c r="X109" i="8"/>
  <c r="X115" i="8"/>
  <c r="X121" i="8"/>
  <c r="X127" i="8"/>
  <c r="X133" i="8"/>
  <c r="X139" i="8"/>
  <c r="X145" i="8"/>
  <c r="X151" i="8"/>
  <c r="X157" i="8"/>
  <c r="Z178" i="8"/>
  <c r="Z167" i="8"/>
  <c r="Z203" i="8"/>
  <c r="Z174" i="8"/>
  <c r="Z169" i="8"/>
  <c r="X33" i="8"/>
  <c r="X39" i="8"/>
  <c r="X45" i="8"/>
  <c r="X51" i="8"/>
  <c r="X80" i="8"/>
  <c r="X5" i="8"/>
  <c r="AF255" i="8"/>
  <c r="AE255" i="8" s="1"/>
  <c r="X32" i="8"/>
  <c r="X49" i="8"/>
  <c r="X55" i="8"/>
  <c r="X60" i="8"/>
  <c r="X66" i="8"/>
  <c r="X72" i="8"/>
  <c r="X78" i="8"/>
  <c r="X84" i="8"/>
  <c r="X90" i="8"/>
  <c r="X96" i="8"/>
  <c r="X102" i="8"/>
  <c r="X108" i="8"/>
  <c r="X114" i="8"/>
  <c r="X120" i="8"/>
  <c r="X126" i="8"/>
  <c r="X132" i="8"/>
  <c r="X138" i="8"/>
  <c r="X144" i="8"/>
  <c r="X150" i="8"/>
  <c r="X156" i="8"/>
  <c r="Z194" i="8"/>
  <c r="Z183" i="8"/>
  <c r="Z163" i="8"/>
  <c r="Z184" i="8"/>
  <c r="Z173" i="8"/>
  <c r="Z209" i="8"/>
  <c r="Z180" i="8"/>
  <c r="Z195" i="8"/>
  <c r="X7" i="8"/>
  <c r="X20" i="8"/>
  <c r="X57" i="8"/>
  <c r="X86" i="8"/>
  <c r="X92" i="8"/>
  <c r="X15" i="8"/>
  <c r="X14" i="8"/>
  <c r="X18" i="8"/>
  <c r="X24" i="8"/>
  <c r="X37" i="8"/>
  <c r="X43" i="8"/>
  <c r="X4" i="8"/>
  <c r="X10" i="8"/>
  <c r="X13" i="8"/>
  <c r="X17" i="8"/>
  <c r="X23" i="8"/>
  <c r="X28" i="8"/>
  <c r="X31" i="8"/>
  <c r="X36" i="8"/>
  <c r="X42" i="8"/>
  <c r="X48" i="8"/>
  <c r="X54" i="8"/>
  <c r="X65" i="8"/>
  <c r="X71" i="8"/>
  <c r="X77" i="8"/>
  <c r="X83" i="8"/>
  <c r="X89" i="8"/>
  <c r="X95" i="8"/>
  <c r="X101" i="8"/>
  <c r="X107" i="8"/>
  <c r="X113" i="8"/>
  <c r="X119" i="8"/>
  <c r="X125" i="8"/>
  <c r="X131" i="8"/>
  <c r="X137" i="8"/>
  <c r="X143" i="8"/>
  <c r="AF162" i="8" s="1"/>
  <c r="AE162" i="8" s="1"/>
  <c r="X149" i="8"/>
  <c r="AF271" i="8" s="1"/>
  <c r="AE271" i="8" s="1"/>
  <c r="X155" i="8"/>
  <c r="AF182" i="8" s="1"/>
  <c r="AE182" i="8" s="1"/>
  <c r="X161" i="8"/>
  <c r="Z200" i="8"/>
  <c r="Z189" i="8"/>
  <c r="Z190" i="8"/>
  <c r="Z179" i="8"/>
  <c r="Z181" i="8"/>
  <c r="Z186" i="8"/>
  <c r="O24" i="8"/>
  <c r="O74" i="8"/>
  <c r="O22" i="8"/>
  <c r="O82" i="8"/>
  <c r="O3" i="8"/>
  <c r="O40" i="8"/>
  <c r="O44" i="8"/>
  <c r="O47" i="8"/>
  <c r="O109" i="8"/>
  <c r="O88" i="8"/>
  <c r="O31" i="8"/>
  <c r="O32" i="8"/>
  <c r="O80" i="8"/>
  <c r="O154" i="8"/>
  <c r="O160" i="8"/>
  <c r="O8" i="8"/>
  <c r="O9" i="8"/>
  <c r="O4" i="8"/>
  <c r="O34" i="8"/>
  <c r="O52" i="8"/>
  <c r="O94" i="8"/>
  <c r="O106" i="8"/>
  <c r="O125" i="8"/>
  <c r="O146" i="8"/>
  <c r="O148" i="8"/>
  <c r="O149" i="8"/>
  <c r="O157" i="8"/>
  <c r="O62" i="8"/>
  <c r="O17" i="8"/>
  <c r="O19" i="8"/>
  <c r="O20" i="8"/>
  <c r="O26" i="8"/>
  <c r="O35" i="8"/>
  <c r="O53" i="8"/>
  <c r="O63" i="8"/>
  <c r="O128" i="8"/>
  <c r="O152" i="8"/>
  <c r="O158" i="8"/>
  <c r="O12" i="8"/>
  <c r="O16" i="8"/>
  <c r="O5" i="8"/>
  <c r="O36" i="8"/>
  <c r="O39" i="8"/>
  <c r="O65" i="8"/>
  <c r="O97" i="8"/>
  <c r="O121" i="8"/>
  <c r="O127" i="8"/>
  <c r="O153" i="8"/>
  <c r="O159" i="8"/>
  <c r="O6" i="8"/>
  <c r="O37" i="8"/>
  <c r="O70" i="8"/>
  <c r="O77" i="8"/>
  <c r="O92" i="8"/>
  <c r="O95" i="8"/>
  <c r="O99" i="8"/>
  <c r="O107" i="8"/>
  <c r="O137" i="8"/>
  <c r="O139" i="8"/>
  <c r="O11" i="8"/>
  <c r="O14" i="8"/>
  <c r="O15" i="8"/>
  <c r="O23" i="8"/>
  <c r="O41" i="8"/>
  <c r="O56" i="8"/>
  <c r="O57" i="8"/>
  <c r="O67" i="8"/>
  <c r="O93" i="8"/>
  <c r="O7" i="8"/>
  <c r="O58" i="8"/>
  <c r="O59" i="8"/>
  <c r="O104" i="8"/>
  <c r="O110" i="8"/>
  <c r="O143" i="8"/>
  <c r="O155" i="8"/>
  <c r="O161" i="8"/>
  <c r="O156" i="8"/>
  <c r="O43" i="8"/>
  <c r="O48" i="8"/>
  <c r="O13" i="8"/>
  <c r="O18" i="8"/>
  <c r="O61" i="8"/>
  <c r="O64" i="8"/>
  <c r="J81" i="8"/>
  <c r="O81" i="8"/>
  <c r="O55" i="8"/>
  <c r="O10" i="8"/>
  <c r="O33" i="8"/>
  <c r="O42" i="8"/>
  <c r="O49" i="8"/>
  <c r="O54" i="8"/>
  <c r="O68" i="8"/>
  <c r="O25" i="8"/>
  <c r="O46" i="8"/>
  <c r="O50" i="8"/>
  <c r="O73" i="8"/>
  <c r="O21" i="8"/>
  <c r="O28" i="8"/>
  <c r="AF28" i="8" s="1"/>
  <c r="AE28" i="8" s="1"/>
  <c r="O30" i="8"/>
  <c r="O51" i="8"/>
  <c r="O27" i="8"/>
  <c r="O29" i="8"/>
  <c r="AF29" i="8" s="1"/>
  <c r="AE29" i="8" s="1"/>
  <c r="O38" i="8"/>
  <c r="O45" i="8"/>
  <c r="O60" i="8"/>
  <c r="J71" i="8"/>
  <c r="O71" i="8"/>
  <c r="O66" i="8"/>
  <c r="O69" i="8"/>
  <c r="O75" i="8"/>
  <c r="O87" i="8"/>
  <c r="O72" i="8"/>
  <c r="O96" i="8"/>
  <c r="O78" i="8"/>
  <c r="O83" i="8"/>
  <c r="O89" i="8"/>
  <c r="O98" i="8"/>
  <c r="O141" i="8"/>
  <c r="O76" i="8"/>
  <c r="O84" i="8"/>
  <c r="O86" i="8"/>
  <c r="O91" i="8"/>
  <c r="O102" i="8"/>
  <c r="O105" i="8"/>
  <c r="O113" i="8"/>
  <c r="O115" i="8"/>
  <c r="O131" i="8"/>
  <c r="O133" i="8"/>
  <c r="O136" i="8"/>
  <c r="O140" i="8"/>
  <c r="O85" i="8"/>
  <c r="O90" i="8"/>
  <c r="O100" i="8"/>
  <c r="O116" i="8"/>
  <c r="O134" i="8"/>
  <c r="O103" i="8"/>
  <c r="O119" i="8"/>
  <c r="O79" i="8"/>
  <c r="O122" i="8"/>
  <c r="O144" i="8"/>
  <c r="O147" i="8"/>
  <c r="O108" i="8"/>
  <c r="O114" i="8"/>
  <c r="O120" i="8"/>
  <c r="O126" i="8"/>
  <c r="O132" i="8"/>
  <c r="O142" i="8"/>
  <c r="O145" i="8"/>
  <c r="O112" i="8"/>
  <c r="O118" i="8"/>
  <c r="O124" i="8"/>
  <c r="O130" i="8"/>
  <c r="O150" i="8"/>
  <c r="O101" i="8"/>
  <c r="O111" i="8"/>
  <c r="O117" i="8"/>
  <c r="O123" i="8"/>
  <c r="O129" i="8"/>
  <c r="O135" i="8"/>
  <c r="O138" i="8"/>
  <c r="O151" i="8"/>
  <c r="F5" i="10"/>
  <c r="F1" i="10"/>
  <c r="F2" i="10"/>
  <c r="AF285" i="8" l="1"/>
  <c r="AE285" i="8" s="1"/>
  <c r="AF288" i="8"/>
  <c r="AE288" i="8" s="1"/>
  <c r="AF291" i="8"/>
  <c r="AE291" i="8" s="1"/>
  <c r="AF289" i="8"/>
  <c r="AE289" i="8" s="1"/>
  <c r="AF284" i="8"/>
  <c r="AE284" i="8" s="1"/>
  <c r="AF283" i="8"/>
  <c r="AE283" i="8" s="1"/>
  <c r="AF268" i="8"/>
  <c r="AE268" i="8" s="1"/>
  <c r="AF279" i="8"/>
  <c r="AE279" i="8" s="1"/>
  <c r="AF280" i="8"/>
  <c r="AE280" i="8" s="1"/>
  <c r="AF281" i="8"/>
  <c r="AE281" i="8" s="1"/>
  <c r="AF278" i="8"/>
  <c r="AE278" i="8" s="1"/>
  <c r="AF282" i="8"/>
  <c r="AE282" i="8" s="1"/>
  <c r="AF276" i="8"/>
  <c r="AE276" i="8" s="1"/>
  <c r="AF274" i="8"/>
  <c r="AE274" i="8" s="1"/>
  <c r="AF272" i="8"/>
  <c r="AE272" i="8" s="1"/>
  <c r="AF273" i="8"/>
  <c r="AE273" i="8" s="1"/>
  <c r="AF275" i="8"/>
  <c r="AE275" i="8" s="1"/>
  <c r="AF93" i="8"/>
  <c r="AE93" i="8" s="1"/>
  <c r="AF15" i="8"/>
  <c r="AE15" i="8" s="1"/>
  <c r="AF143" i="8"/>
  <c r="AE143" i="8" s="1"/>
  <c r="AF138" i="8"/>
  <c r="AE138" i="8" s="1"/>
  <c r="AF103" i="8"/>
  <c r="AE103" i="8" s="1"/>
  <c r="AF81" i="8"/>
  <c r="AE81" i="8" s="1"/>
  <c r="AF80" i="8"/>
  <c r="AE80" i="8" s="1"/>
  <c r="AF92" i="8"/>
  <c r="AE92" i="8" s="1"/>
  <c r="AF4" i="8"/>
  <c r="AE4" i="8" s="1"/>
  <c r="AF150" i="8"/>
  <c r="AE150" i="8" s="1"/>
  <c r="AF134" i="8"/>
  <c r="AE134" i="8" s="1"/>
  <c r="AF155" i="8"/>
  <c r="AE155" i="8" s="1"/>
  <c r="AF135" i="8"/>
  <c r="AE135" i="8" s="1"/>
  <c r="AF102" i="8"/>
  <c r="AE102" i="8" s="1"/>
  <c r="AF87" i="8"/>
  <c r="AE87" i="8" s="1"/>
  <c r="AF30" i="8"/>
  <c r="AE30" i="8" s="1"/>
  <c r="AF146" i="8"/>
  <c r="AE146" i="8" s="1"/>
  <c r="AF147" i="8"/>
  <c r="AE147" i="8" s="1"/>
  <c r="AF132" i="8"/>
  <c r="AE132" i="8" s="1"/>
  <c r="AF13" i="8"/>
  <c r="AE13" i="8" s="1"/>
  <c r="AF221" i="8"/>
  <c r="AE221" i="8" s="1"/>
  <c r="AF91" i="8"/>
  <c r="AE91" i="8" s="1"/>
  <c r="AF205" i="8"/>
  <c r="AE205" i="8" s="1"/>
  <c r="AF123" i="8"/>
  <c r="AE123" i="8" s="1"/>
  <c r="AF122" i="8"/>
  <c r="AE122" i="8" s="1"/>
  <c r="AF86" i="8"/>
  <c r="AE86" i="8" s="1"/>
  <c r="AF83" i="8"/>
  <c r="AE83" i="8" s="1"/>
  <c r="AF38" i="8"/>
  <c r="AE38" i="8" s="1"/>
  <c r="AF107" i="8"/>
  <c r="AE107" i="8" s="1"/>
  <c r="AF62" i="8"/>
  <c r="AE62" i="8" s="1"/>
  <c r="AF209" i="8"/>
  <c r="AE209" i="8" s="1"/>
  <c r="AF197" i="8"/>
  <c r="AE197" i="8" s="1"/>
  <c r="AF191" i="8"/>
  <c r="AE191" i="8" s="1"/>
  <c r="AF189" i="8"/>
  <c r="AE189" i="8" s="1"/>
  <c r="AF144" i="8"/>
  <c r="AE144" i="8" s="1"/>
  <c r="AF133" i="8"/>
  <c r="AE133" i="8" s="1"/>
  <c r="AF185" i="8"/>
  <c r="AE185" i="8" s="1"/>
  <c r="AF126" i="8"/>
  <c r="AE126" i="8" s="1"/>
  <c r="AF131" i="8"/>
  <c r="AE131" i="8" s="1"/>
  <c r="AF69" i="8"/>
  <c r="AE69" i="8" s="1"/>
  <c r="AF54" i="8"/>
  <c r="AE54" i="8" s="1"/>
  <c r="AF37" i="8"/>
  <c r="AE37" i="8" s="1"/>
  <c r="AF117" i="8"/>
  <c r="AE117" i="8" s="1"/>
  <c r="AF65" i="8"/>
  <c r="AE65" i="8" s="1"/>
  <c r="AF129" i="8"/>
  <c r="AE129" i="8" s="1"/>
  <c r="AF193" i="8"/>
  <c r="AE193" i="8" s="1"/>
  <c r="AF206" i="8"/>
  <c r="AE206" i="8" s="1"/>
  <c r="AF48" i="8"/>
  <c r="AE48" i="8" s="1"/>
  <c r="AF110" i="8"/>
  <c r="AE110" i="8" s="1"/>
  <c r="AF97" i="8"/>
  <c r="AE97" i="8" s="1"/>
  <c r="AF6" i="8"/>
  <c r="AE6" i="8" s="1"/>
  <c r="AF151" i="8"/>
  <c r="AE151" i="8" s="1"/>
  <c r="AF96" i="8"/>
  <c r="AE96" i="8" s="1"/>
  <c r="AF188" i="8"/>
  <c r="AE188" i="8" s="1"/>
  <c r="AF116" i="8"/>
  <c r="AE116" i="8" s="1"/>
  <c r="AF101" i="8"/>
  <c r="AE101" i="8" s="1"/>
  <c r="AF145" i="8"/>
  <c r="AE145" i="8" s="1"/>
  <c r="AF108" i="8"/>
  <c r="AE108" i="8" s="1"/>
  <c r="AF141" i="8"/>
  <c r="AE141" i="8" s="1"/>
  <c r="AF19" i="8"/>
  <c r="AE19" i="8" s="1"/>
  <c r="AF24" i="8"/>
  <c r="AE24" i="8" s="1"/>
  <c r="AF175" i="8"/>
  <c r="AE175" i="8" s="1"/>
  <c r="AF120" i="8"/>
  <c r="AE120" i="8" s="1"/>
  <c r="AF79" i="8"/>
  <c r="AE79" i="8" s="1"/>
  <c r="AF90" i="8"/>
  <c r="AE90" i="8" s="1"/>
  <c r="AF115" i="8"/>
  <c r="AE115" i="8" s="1"/>
  <c r="AF84" i="8"/>
  <c r="AE84" i="8" s="1"/>
  <c r="AF78" i="8"/>
  <c r="AE78" i="8" s="1"/>
  <c r="AF66" i="8"/>
  <c r="AE66" i="8" s="1"/>
  <c r="AF73" i="8"/>
  <c r="AE73" i="8" s="1"/>
  <c r="AF49" i="8"/>
  <c r="AE49" i="8" s="1"/>
  <c r="AF43" i="8"/>
  <c r="AE43" i="8" s="1"/>
  <c r="AF104" i="8"/>
  <c r="AE104" i="8" s="1"/>
  <c r="AF67" i="8"/>
  <c r="AE67" i="8" s="1"/>
  <c r="AF14" i="8"/>
  <c r="AE14" i="8" s="1"/>
  <c r="AF99" i="8"/>
  <c r="AE99" i="8" s="1"/>
  <c r="AF158" i="8"/>
  <c r="AE158" i="8" s="1"/>
  <c r="AF26" i="8"/>
  <c r="AE26" i="8" s="1"/>
  <c r="AF157" i="8"/>
  <c r="AE157" i="8" s="1"/>
  <c r="Z94" i="8"/>
  <c r="AF94" i="8"/>
  <c r="AE94" i="8" s="1"/>
  <c r="Z160" i="8"/>
  <c r="AF160" i="8"/>
  <c r="AE160" i="8" s="1"/>
  <c r="AF109" i="8"/>
  <c r="AE109" i="8" s="1"/>
  <c r="Z22" i="8"/>
  <c r="AF22" i="8"/>
  <c r="AE22" i="8" s="1"/>
  <c r="Z31" i="8"/>
  <c r="Z4" i="8"/>
  <c r="Z7" i="8"/>
  <c r="AF224" i="8"/>
  <c r="AE224" i="8" s="1"/>
  <c r="AF233" i="8"/>
  <c r="AE233" i="8" s="1"/>
  <c r="AF257" i="8"/>
  <c r="AE257" i="8" s="1"/>
  <c r="AF220" i="8"/>
  <c r="AE220" i="8" s="1"/>
  <c r="AF252" i="8"/>
  <c r="AE252" i="8" s="1"/>
  <c r="AF231" i="8"/>
  <c r="AE231" i="8" s="1"/>
  <c r="AF248" i="8"/>
  <c r="AE248" i="8" s="1"/>
  <c r="AF240" i="8"/>
  <c r="AE240" i="8" s="1"/>
  <c r="AF239" i="8"/>
  <c r="AE239" i="8" s="1"/>
  <c r="AF253" i="8"/>
  <c r="AE253" i="8" s="1"/>
  <c r="AF245" i="8"/>
  <c r="AE245" i="8" s="1"/>
  <c r="AF214" i="8"/>
  <c r="AE214" i="8" s="1"/>
  <c r="AF241" i="8"/>
  <c r="AE241" i="8" s="1"/>
  <c r="AF261" i="8"/>
  <c r="AE261" i="8" s="1"/>
  <c r="AF258" i="8"/>
  <c r="AE258" i="8" s="1"/>
  <c r="AF213" i="8"/>
  <c r="AE213" i="8" s="1"/>
  <c r="AF246" i="8"/>
  <c r="AE246" i="8" s="1"/>
  <c r="AF217" i="8"/>
  <c r="AE217" i="8" s="1"/>
  <c r="AF243" i="8"/>
  <c r="AE243" i="8" s="1"/>
  <c r="AF210" i="8"/>
  <c r="AE210" i="8" s="1"/>
  <c r="AF232" i="8"/>
  <c r="AE232" i="8" s="1"/>
  <c r="AF204" i="8"/>
  <c r="AE204" i="8" s="1"/>
  <c r="AF228" i="8"/>
  <c r="AE228" i="8" s="1"/>
  <c r="AF236" i="8"/>
  <c r="AE236" i="8" s="1"/>
  <c r="AF166" i="8"/>
  <c r="AE166" i="8" s="1"/>
  <c r="AF194" i="8"/>
  <c r="AE194" i="8" s="1"/>
  <c r="AF163" i="8"/>
  <c r="AE163" i="8" s="1"/>
  <c r="AF172" i="8"/>
  <c r="AE172" i="8" s="1"/>
  <c r="Z100" i="8"/>
  <c r="AF100" i="8"/>
  <c r="AE100" i="8" s="1"/>
  <c r="Z12" i="8"/>
  <c r="AF12" i="8"/>
  <c r="AE12" i="8" s="1"/>
  <c r="Z35" i="8"/>
  <c r="AF35" i="8"/>
  <c r="AE35" i="8" s="1"/>
  <c r="Z106" i="8"/>
  <c r="AF106" i="8"/>
  <c r="AE106" i="8" s="1"/>
  <c r="Z8" i="8"/>
  <c r="AF8" i="8"/>
  <c r="AE8" i="8" s="1"/>
  <c r="Z88" i="8"/>
  <c r="AF88" i="8"/>
  <c r="AE88" i="8" s="1"/>
  <c r="Z82" i="8"/>
  <c r="AF82" i="8"/>
  <c r="AE82" i="8" s="1"/>
  <c r="AF234" i="8"/>
  <c r="AE234" i="8" s="1"/>
  <c r="AF215" i="8"/>
  <c r="AE215" i="8" s="1"/>
  <c r="AF259" i="8"/>
  <c r="AE259" i="8" s="1"/>
  <c r="AF216" i="8"/>
  <c r="AE216" i="8" s="1"/>
  <c r="AF242" i="8"/>
  <c r="AE242" i="8" s="1"/>
  <c r="AF229" i="8"/>
  <c r="AE229" i="8" s="1"/>
  <c r="AF250" i="8"/>
  <c r="AE250" i="8" s="1"/>
  <c r="Z118" i="8"/>
  <c r="AF118" i="8"/>
  <c r="AE118" i="8" s="1"/>
  <c r="AF111" i="8"/>
  <c r="AE111" i="8" s="1"/>
  <c r="Z112" i="8"/>
  <c r="AF112" i="8"/>
  <c r="AE112" i="8" s="1"/>
  <c r="AF114" i="8"/>
  <c r="AE114" i="8" s="1"/>
  <c r="AF119" i="8"/>
  <c r="AE119" i="8" s="1"/>
  <c r="AF85" i="8"/>
  <c r="AE85" i="8" s="1"/>
  <c r="AF113" i="8"/>
  <c r="AE113" i="8" s="1"/>
  <c r="Z76" i="8"/>
  <c r="AF76" i="8"/>
  <c r="AE76" i="8" s="1"/>
  <c r="AF71" i="8"/>
  <c r="AE71" i="8" s="1"/>
  <c r="Z27" i="8"/>
  <c r="AF27" i="8"/>
  <c r="AE27" i="8" s="1"/>
  <c r="AF50" i="8"/>
  <c r="AE50" i="8" s="1"/>
  <c r="AF42" i="8"/>
  <c r="AE42" i="8" s="1"/>
  <c r="Z64" i="8"/>
  <c r="AF64" i="8"/>
  <c r="AE64" i="8" s="1"/>
  <c r="AF156" i="8"/>
  <c r="AE156" i="8" s="1"/>
  <c r="Z59" i="8"/>
  <c r="AF59" i="8"/>
  <c r="AE59" i="8" s="1"/>
  <c r="AF57" i="8"/>
  <c r="AE57" i="8" s="1"/>
  <c r="Z11" i="8"/>
  <c r="AF11" i="8"/>
  <c r="AE11" i="8" s="1"/>
  <c r="AF95" i="8"/>
  <c r="AE95" i="8" s="1"/>
  <c r="AF159" i="8"/>
  <c r="AE159" i="8" s="1"/>
  <c r="AF39" i="8"/>
  <c r="AE39" i="8" s="1"/>
  <c r="AF152" i="8"/>
  <c r="AE152" i="8" s="1"/>
  <c r="AF20" i="8"/>
  <c r="AE20" i="8" s="1"/>
  <c r="AF149" i="8"/>
  <c r="AE149" i="8" s="1"/>
  <c r="AF52" i="8"/>
  <c r="AE52" i="8" s="1"/>
  <c r="Z154" i="8"/>
  <c r="AF154" i="8"/>
  <c r="AE154" i="8" s="1"/>
  <c r="Z47" i="8"/>
  <c r="AF47" i="8"/>
  <c r="AE47" i="8" s="1"/>
  <c r="AF74" i="8"/>
  <c r="AE74" i="8" s="1"/>
  <c r="AF219" i="8"/>
  <c r="AE219" i="8" s="1"/>
  <c r="AF264" i="8"/>
  <c r="AE264" i="8" s="1"/>
  <c r="AF235" i="8"/>
  <c r="AE235" i="8" s="1"/>
  <c r="AF230" i="8"/>
  <c r="AE230" i="8" s="1"/>
  <c r="AF226" i="8"/>
  <c r="AE226" i="8" s="1"/>
  <c r="AF238" i="8"/>
  <c r="AE238" i="8" s="1"/>
  <c r="AF218" i="8"/>
  <c r="AE218" i="8" s="1"/>
  <c r="AF265" i="8"/>
  <c r="AE265" i="8" s="1"/>
  <c r="AF262" i="8"/>
  <c r="AE262" i="8" s="1"/>
  <c r="AF256" i="8"/>
  <c r="AE256" i="8" s="1"/>
  <c r="AF225" i="8"/>
  <c r="AE225" i="8" s="1"/>
  <c r="AF223" i="8"/>
  <c r="AE223" i="8" s="1"/>
  <c r="AF173" i="8"/>
  <c r="AE173" i="8" s="1"/>
  <c r="AF170" i="8"/>
  <c r="AE170" i="8" s="1"/>
  <c r="AF201" i="8"/>
  <c r="AE201" i="8" s="1"/>
  <c r="AF169" i="8"/>
  <c r="AE169" i="8" s="1"/>
  <c r="AF202" i="8"/>
  <c r="AE202" i="8" s="1"/>
  <c r="Z124" i="8"/>
  <c r="AF124" i="8"/>
  <c r="AE124" i="8" s="1"/>
  <c r="Z21" i="8"/>
  <c r="AF21" i="8"/>
  <c r="AE21" i="8" s="1"/>
  <c r="AF140" i="8"/>
  <c r="AE140" i="8" s="1"/>
  <c r="AF105" i="8"/>
  <c r="AE105" i="8" s="1"/>
  <c r="AF72" i="8"/>
  <c r="AE72" i="8" s="1"/>
  <c r="AF51" i="8"/>
  <c r="AE51" i="8" s="1"/>
  <c r="Z46" i="8"/>
  <c r="AF46" i="8"/>
  <c r="AE46" i="8" s="1"/>
  <c r="AF33" i="8"/>
  <c r="AE33" i="8" s="1"/>
  <c r="AF61" i="8"/>
  <c r="AE61" i="8" s="1"/>
  <c r="AF161" i="8"/>
  <c r="AE161" i="8" s="1"/>
  <c r="AF58" i="8"/>
  <c r="AE58" i="8" s="1"/>
  <c r="AF56" i="8"/>
  <c r="AE56" i="8" s="1"/>
  <c r="AF153" i="8"/>
  <c r="AE153" i="8" s="1"/>
  <c r="AF36" i="8"/>
  <c r="AE36" i="8" s="1"/>
  <c r="AF128" i="8"/>
  <c r="AE128" i="8" s="1"/>
  <c r="Z148" i="8"/>
  <c r="AF148" i="8"/>
  <c r="AE148" i="8" s="1"/>
  <c r="Z34" i="8"/>
  <c r="AF34" i="8"/>
  <c r="AE34" i="8" s="1"/>
  <c r="AF44" i="8"/>
  <c r="AE44" i="8" s="1"/>
  <c r="AF203" i="8"/>
  <c r="AE203" i="8" s="1"/>
  <c r="AF178" i="8"/>
  <c r="AE178" i="8" s="1"/>
  <c r="AF186" i="8"/>
  <c r="AE186" i="8" s="1"/>
  <c r="AF164" i="8"/>
  <c r="AE164" i="8" s="1"/>
  <c r="AF179" i="8"/>
  <c r="AE179" i="8" s="1"/>
  <c r="Z142" i="8"/>
  <c r="AF142" i="8"/>
  <c r="AE142" i="8" s="1"/>
  <c r="Z136" i="8"/>
  <c r="AF136" i="8"/>
  <c r="AE136" i="8" s="1"/>
  <c r="AF98" i="8"/>
  <c r="AE98" i="8" s="1"/>
  <c r="AF60" i="8"/>
  <c r="AE60" i="8" s="1"/>
  <c r="AF25" i="8"/>
  <c r="AE25" i="8" s="1"/>
  <c r="AF10" i="8"/>
  <c r="AE10" i="8" s="1"/>
  <c r="AF18" i="8"/>
  <c r="AE18" i="8" s="1"/>
  <c r="Z41" i="8"/>
  <c r="AF41" i="8"/>
  <c r="AE41" i="8" s="1"/>
  <c r="AF139" i="8"/>
  <c r="AE139" i="8" s="1"/>
  <c r="AF77" i="8"/>
  <c r="AE77" i="8" s="1"/>
  <c r="AF127" i="8"/>
  <c r="AE127" i="8" s="1"/>
  <c r="AF5" i="8"/>
  <c r="AE5" i="8" s="1"/>
  <c r="AF63" i="8"/>
  <c r="AE63" i="8" s="1"/>
  <c r="AF17" i="8"/>
  <c r="AE17" i="8" s="1"/>
  <c r="AF32" i="8"/>
  <c r="AE32" i="8" s="1"/>
  <c r="Z40" i="8"/>
  <c r="AF40" i="8"/>
  <c r="AE40" i="8" s="1"/>
  <c r="AF176" i="8"/>
  <c r="AE176" i="8" s="1"/>
  <c r="AF249" i="8"/>
  <c r="AE249" i="8" s="1"/>
  <c r="AF263" i="8"/>
  <c r="AE263" i="8" s="1"/>
  <c r="AF251" i="8"/>
  <c r="AE251" i="8" s="1"/>
  <c r="AF184" i="8"/>
  <c r="AE184" i="8" s="1"/>
  <c r="AF200" i="8"/>
  <c r="AE200" i="8" s="1"/>
  <c r="AF207" i="8"/>
  <c r="AE207" i="8" s="1"/>
  <c r="AF196" i="8"/>
  <c r="AE196" i="8" s="1"/>
  <c r="AF180" i="8"/>
  <c r="AE180" i="8" s="1"/>
  <c r="AF174" i="8"/>
  <c r="AE174" i="8" s="1"/>
  <c r="Z130" i="8"/>
  <c r="AF130" i="8"/>
  <c r="AE130" i="8" s="1"/>
  <c r="AF89" i="8"/>
  <c r="AE89" i="8" s="1"/>
  <c r="AF75" i="8"/>
  <c r="AE75" i="8" s="1"/>
  <c r="AF45" i="8"/>
  <c r="AE45" i="8" s="1"/>
  <c r="AF68" i="8"/>
  <c r="AE68" i="8" s="1"/>
  <c r="AF55" i="8"/>
  <c r="AE55" i="8" s="1"/>
  <c r="AF7" i="8"/>
  <c r="AE7" i="8" s="1"/>
  <c r="AF23" i="8"/>
  <c r="AE23" i="8" s="1"/>
  <c r="AF137" i="8"/>
  <c r="AE137" i="8" s="1"/>
  <c r="Z70" i="8"/>
  <c r="AF70" i="8"/>
  <c r="AE70" i="8" s="1"/>
  <c r="AF121" i="8"/>
  <c r="AE121" i="8" s="1"/>
  <c r="Z16" i="8"/>
  <c r="AF16" i="8"/>
  <c r="AE16" i="8" s="1"/>
  <c r="Z53" i="8"/>
  <c r="AF53" i="8"/>
  <c r="AE53" i="8" s="1"/>
  <c r="AF125" i="8"/>
  <c r="AE125" i="8" s="1"/>
  <c r="Z9" i="8"/>
  <c r="AF9" i="8"/>
  <c r="AE9" i="8" s="1"/>
  <c r="AF31" i="8"/>
  <c r="AE31" i="8" s="1"/>
  <c r="AF212" i="8"/>
  <c r="AE212" i="8" s="1"/>
  <c r="AF211" i="8"/>
  <c r="AE211" i="8" s="1"/>
  <c r="AF227" i="8"/>
  <c r="AE227" i="8" s="1"/>
  <c r="AF208" i="8"/>
  <c r="AE208" i="8" s="1"/>
  <c r="AF190" i="8"/>
  <c r="AE190" i="8" s="1"/>
  <c r="Z107" i="8"/>
  <c r="Z15" i="8"/>
  <c r="Z3" i="8"/>
  <c r="AF3" i="8"/>
  <c r="AE3" i="8" s="1"/>
  <c r="Z30" i="8"/>
  <c r="Z128" i="8"/>
  <c r="Z135" i="8"/>
  <c r="Z99" i="8"/>
  <c r="Z63" i="8"/>
  <c r="Z71" i="8"/>
  <c r="Z126" i="8"/>
  <c r="Z139" i="8"/>
  <c r="Z67" i="8"/>
  <c r="Z29" i="8"/>
  <c r="Z143" i="8"/>
  <c r="Z90" i="8"/>
  <c r="Z55" i="8"/>
  <c r="Z51" i="8"/>
  <c r="Z103" i="8"/>
  <c r="Z74" i="8"/>
  <c r="Z137" i="8"/>
  <c r="Z101" i="8"/>
  <c r="Z65" i="8"/>
  <c r="Z28" i="8"/>
  <c r="Z43" i="8"/>
  <c r="Z92" i="8"/>
  <c r="Z156" i="8"/>
  <c r="Z120" i="8"/>
  <c r="Z84" i="8"/>
  <c r="Z49" i="8"/>
  <c r="Z45" i="8"/>
  <c r="Z133" i="8"/>
  <c r="Z97" i="8"/>
  <c r="Z61" i="8"/>
  <c r="Z25" i="8"/>
  <c r="Z68" i="8"/>
  <c r="Z158" i="8"/>
  <c r="Z122" i="8"/>
  <c r="Z129" i="8"/>
  <c r="Z93" i="8"/>
  <c r="Z58" i="8"/>
  <c r="Z131" i="8"/>
  <c r="Z95" i="8"/>
  <c r="Z54" i="8"/>
  <c r="Z23" i="8"/>
  <c r="Z37" i="8"/>
  <c r="Z86" i="8"/>
  <c r="Z150" i="8"/>
  <c r="Z114" i="8"/>
  <c r="Z78" i="8"/>
  <c r="Z32" i="8"/>
  <c r="Z39" i="8"/>
  <c r="Z127" i="8"/>
  <c r="Z91" i="8"/>
  <c r="Z56" i="8"/>
  <c r="Z19" i="8"/>
  <c r="Z62" i="8"/>
  <c r="Z152" i="8"/>
  <c r="Z116" i="8"/>
  <c r="Z159" i="8"/>
  <c r="Z123" i="8"/>
  <c r="Z87" i="8"/>
  <c r="Z52" i="8"/>
  <c r="Z161" i="8"/>
  <c r="Z125" i="8"/>
  <c r="Z89" i="8"/>
  <c r="Z48" i="8"/>
  <c r="Z17" i="8"/>
  <c r="Z24" i="8"/>
  <c r="Z57" i="8"/>
  <c r="Z144" i="8"/>
  <c r="Z108" i="8"/>
  <c r="Z72" i="8"/>
  <c r="Z33" i="8"/>
  <c r="Z157" i="8"/>
  <c r="Z121" i="8"/>
  <c r="Z85" i="8"/>
  <c r="Z50" i="8"/>
  <c r="Z146" i="8"/>
  <c r="Z110" i="8"/>
  <c r="Z153" i="8"/>
  <c r="Z117" i="8"/>
  <c r="Z81" i="8"/>
  <c r="Z155" i="8"/>
  <c r="Z119" i="8"/>
  <c r="Z83" i="8"/>
  <c r="Z42" i="8"/>
  <c r="Z13" i="8"/>
  <c r="Z18" i="8"/>
  <c r="Z20" i="8"/>
  <c r="Z138" i="8"/>
  <c r="Z102" i="8"/>
  <c r="Z66" i="8"/>
  <c r="Z5" i="8"/>
  <c r="Z151" i="8"/>
  <c r="Z115" i="8"/>
  <c r="Z79" i="8"/>
  <c r="Z44" i="8"/>
  <c r="Z6" i="8"/>
  <c r="Z140" i="8"/>
  <c r="Z104" i="8"/>
  <c r="Z147" i="8"/>
  <c r="Z111" i="8"/>
  <c r="Z75" i="8"/>
  <c r="Z149" i="8"/>
  <c r="Z113" i="8"/>
  <c r="Z77" i="8"/>
  <c r="Z36" i="8"/>
  <c r="Z10" i="8"/>
  <c r="Z14" i="8"/>
  <c r="Z132" i="8"/>
  <c r="Z96" i="8"/>
  <c r="Z60" i="8"/>
  <c r="Z80" i="8"/>
  <c r="Z145" i="8"/>
  <c r="Z109" i="8"/>
  <c r="Z73" i="8"/>
  <c r="Z38" i="8"/>
  <c r="Z98" i="8"/>
  <c r="Z134" i="8"/>
  <c r="Z26" i="8"/>
  <c r="Z141" i="8"/>
  <c r="Z105" i="8"/>
  <c r="Z69" i="8"/>
  <c r="E4" i="10"/>
</calcChain>
</file>

<file path=xl/sharedStrings.xml><?xml version="1.0" encoding="utf-8"?>
<sst xmlns="http://schemas.openxmlformats.org/spreadsheetml/2006/main" count="3893" uniqueCount="1373">
  <si>
    <t>ردیف</t>
  </si>
  <si>
    <t>هدف MTBF</t>
  </si>
  <si>
    <t>MTBF</t>
  </si>
  <si>
    <t>MTTR</t>
  </si>
  <si>
    <t>دستگاه</t>
  </si>
  <si>
    <t>کد</t>
  </si>
  <si>
    <t>هدف MTTR</t>
  </si>
  <si>
    <t>سالن</t>
  </si>
  <si>
    <t>Row Labels</t>
  </si>
  <si>
    <t>Grand Total</t>
  </si>
  <si>
    <t>نوع توقف</t>
  </si>
  <si>
    <t>برنامه ریزی شده</t>
  </si>
  <si>
    <t>حین تولید</t>
  </si>
  <si>
    <t>توقف</t>
  </si>
  <si>
    <t>رفع توقف</t>
  </si>
  <si>
    <t>سال توقف</t>
  </si>
  <si>
    <t>ماه رفع توقف</t>
  </si>
  <si>
    <t>روز رفع توقف</t>
  </si>
  <si>
    <t>ساعت رفع توقف</t>
  </si>
  <si>
    <t>دقیقه رفع توقف</t>
  </si>
  <si>
    <t>سال رفع توقف</t>
  </si>
  <si>
    <t>ماه توقف</t>
  </si>
  <si>
    <t>روز توقف</t>
  </si>
  <si>
    <t>دقیقه توقف</t>
  </si>
  <si>
    <t>ساعت توقف2</t>
  </si>
  <si>
    <t>زمان شروع توقف</t>
  </si>
  <si>
    <t>تاریخ توقف</t>
  </si>
  <si>
    <t>تاریخ پایان توقف</t>
  </si>
  <si>
    <t>زمان پایان توقف</t>
  </si>
  <si>
    <t>ماه</t>
  </si>
  <si>
    <t>تعداد روز کاری</t>
  </si>
  <si>
    <t>تاریخ امروز</t>
  </si>
  <si>
    <t>ساعت فعلی</t>
  </si>
  <si>
    <t>توضیح دستگاه</t>
  </si>
  <si>
    <t>Vision Screen Printer</t>
  </si>
  <si>
    <t>Peak&amp;Place Machine 1</t>
  </si>
  <si>
    <t>Peak&amp;Place Machine 2</t>
  </si>
  <si>
    <t>Automated Optical Inspection (AOI)</t>
  </si>
  <si>
    <t>Reject Conveyor</t>
  </si>
  <si>
    <t>Peak&amp;Place Machine3</t>
  </si>
  <si>
    <t>Tray Changer</t>
  </si>
  <si>
    <t>Nitrogen Reflow Oven</t>
  </si>
  <si>
    <t>NITROGEN GENERATOR</t>
  </si>
  <si>
    <t>Glue injector AMP 8200</t>
  </si>
  <si>
    <t>Shrink2</t>
  </si>
  <si>
    <t>Shrink1</t>
  </si>
  <si>
    <t>چاپگر چسب/خمیر قلع</t>
  </si>
  <si>
    <t>ماشین تعویض سینی قطعات</t>
  </si>
  <si>
    <t>چسب زن AMP 8200</t>
  </si>
  <si>
    <t xml:space="preserve"> شرینک 2</t>
  </si>
  <si>
    <t xml:space="preserve"> شرینک 1</t>
  </si>
  <si>
    <t>AB-ML-01</t>
  </si>
  <si>
    <t>AB-CN-02</t>
  </si>
  <si>
    <t>AB-VSP-01</t>
  </si>
  <si>
    <t>AB-IM-01</t>
  </si>
  <si>
    <t>AB-CN-03</t>
  </si>
  <si>
    <t>AB-PP-03</t>
  </si>
  <si>
    <t>AB-PP-04</t>
  </si>
  <si>
    <t>AB-CN-04</t>
  </si>
  <si>
    <t>AB-AOI-01</t>
  </si>
  <si>
    <t>AB-RC-01</t>
  </si>
  <si>
    <t>AB-PP-05</t>
  </si>
  <si>
    <t>AB-TC-01</t>
  </si>
  <si>
    <t>AB-IC-01</t>
  </si>
  <si>
    <t>AB-NO-01</t>
  </si>
  <si>
    <t>AB-NG-01</t>
  </si>
  <si>
    <t>AB-CN-05</t>
  </si>
  <si>
    <t>AB-SI-01</t>
  </si>
  <si>
    <t>AB-RC-02</t>
  </si>
  <si>
    <t>AB-MU-01</t>
  </si>
  <si>
    <t>AB-RL-01</t>
  </si>
  <si>
    <t>EDP-GI-02</t>
  </si>
  <si>
    <t>PP-IM-04</t>
  </si>
  <si>
    <t>TR-SH-02</t>
  </si>
  <si>
    <t>TR-SH-01</t>
  </si>
  <si>
    <t xml:space="preserve">   سالن  تولید تجهیزات الکترونیکی</t>
  </si>
  <si>
    <t>شرح توقف</t>
  </si>
  <si>
    <t>خرابی رله</t>
  </si>
  <si>
    <t>سوراخ شدن لوله گالوانیزه آب</t>
  </si>
  <si>
    <t>خرابی گیربکس موتور به دلیل کمبود روغن</t>
  </si>
  <si>
    <t>1403/07/17</t>
  </si>
  <si>
    <t>1403/08/08</t>
  </si>
  <si>
    <t>1403/08/10</t>
  </si>
  <si>
    <t>1403/08/16</t>
  </si>
  <si>
    <t>1403/08/12</t>
  </si>
  <si>
    <t>1403/09/04</t>
  </si>
  <si>
    <t>1403/09/30</t>
  </si>
  <si>
    <t>1403/09/29</t>
  </si>
  <si>
    <t>(Flexographic) Printing Machine2</t>
  </si>
  <si>
    <t>ماشین چاپ 2 (فلکسوگرافی)</t>
  </si>
  <si>
    <t>دستگاه تزریق پلاستیک3</t>
  </si>
  <si>
    <t>TR-PM-02</t>
  </si>
  <si>
    <t>PP-IM-01</t>
  </si>
  <si>
    <t>PP-IM-03</t>
  </si>
  <si>
    <t>ازتنظیم خارج شدن سنسور</t>
  </si>
  <si>
    <t xml:space="preserve">نامعلوم- با ریست و جدا ووصل ماژول مشکل برطرف شد و هماهنگی لازم انجام شده جهت حضور شرکت گراندیل در 2آذر و رفع ایراد این دستگاه </t>
  </si>
  <si>
    <t>سالن ها</t>
  </si>
  <si>
    <t xml:space="preserve">  سالن تولید بردهای الکترونیکی</t>
  </si>
  <si>
    <t xml:space="preserve"> سالن تولید رول کاغذ حرارتی</t>
  </si>
  <si>
    <t>سالن تزریق پلاستیک</t>
  </si>
  <si>
    <t>کد دستگاه</t>
  </si>
  <si>
    <t>دقیقه تا امروز:</t>
  </si>
  <si>
    <t>Average of هدف MTBF</t>
  </si>
  <si>
    <t>(All)</t>
  </si>
  <si>
    <t>1403/09/09</t>
  </si>
  <si>
    <t>شکستن شفت بادی</t>
  </si>
  <si>
    <t>Cutting Machine3</t>
  </si>
  <si>
    <t>TR-CM-03</t>
  </si>
  <si>
    <t>1403/09/14</t>
  </si>
  <si>
    <t>1403/09/17</t>
  </si>
  <si>
    <t>خرابی شفت ها فولی وچرخ دندها</t>
  </si>
  <si>
    <t>دستگاه نیتروژن ساز</t>
  </si>
  <si>
    <t>نامعلوم</t>
  </si>
  <si>
    <t>ماشین لحیم کاری هوای داغ</t>
  </si>
  <si>
    <t>در حال بررسی مشکل با گراندیل</t>
  </si>
  <si>
    <t>Cutting Machine4</t>
  </si>
  <si>
    <t>ماشین برش 4</t>
  </si>
  <si>
    <t>TR-CM-04</t>
  </si>
  <si>
    <t>1403/08/18</t>
  </si>
  <si>
    <t>استفاده از قطعه جهت دستگاهی دیگر</t>
  </si>
  <si>
    <t>Cutting Machine2</t>
  </si>
  <si>
    <t>ماشین برش 2</t>
  </si>
  <si>
    <t>TR-CM-02</t>
  </si>
  <si>
    <t>1403/09/05</t>
  </si>
  <si>
    <t>1403/09/18</t>
  </si>
  <si>
    <t>1403/09/19</t>
  </si>
  <si>
    <t>نامعلوم - با چندبار روشن و خاموش کردن دستگاه مشکل برطرف شد</t>
  </si>
  <si>
    <t>AB-TC-02</t>
  </si>
  <si>
    <t>Cutting Machine1</t>
  </si>
  <si>
    <t>ماشین برش 1</t>
  </si>
  <si>
    <t>TR-CM-01</t>
  </si>
  <si>
    <t>1403/09/26</t>
  </si>
  <si>
    <t>1403/09/27</t>
  </si>
  <si>
    <t>خرابی بلبرینگ شفت</t>
  </si>
  <si>
    <t>ماشین قطعه گذاری2</t>
  </si>
  <si>
    <t>1403/10/03</t>
  </si>
  <si>
    <t>شکستن یکی از نازل ماژول 1</t>
  </si>
  <si>
    <t>ماشین قطعه گذاری1</t>
  </si>
  <si>
    <t>1403/10/04</t>
  </si>
  <si>
    <t>1403/10/05</t>
  </si>
  <si>
    <t>هد دستگاه pick&amp;place گیر کردن میل راهنمای یکی از نازل های هد ماژول 1</t>
  </si>
  <si>
    <t>1403/10/09</t>
  </si>
  <si>
    <t>1403/10/10</t>
  </si>
  <si>
    <t>ما ژول 2 -مشکل هد دستگاه -یکی از نازل ها شکسته که باید تعویض بشه</t>
  </si>
  <si>
    <t>Peak&amp;Place Machine1</t>
  </si>
  <si>
    <t xml:space="preserve">ما ژول 2 -مشکل هد دستگاه </t>
  </si>
  <si>
    <t xml:space="preserve"> هولدر نازل دستگاه ۱ ماژول ۲ مشکل داشتن (یکی گیر داره، ۳ تا دوران موقعیت دارن) 
مشکل   رفع شد(با skip کردن هولدر های معیوب)</t>
  </si>
  <si>
    <t>Air Soldering(Oven)</t>
  </si>
  <si>
    <t>لحیم کاری هوا(کوره)</t>
  </si>
  <si>
    <t>AB-AS-01</t>
  </si>
  <si>
    <t>مشکل در کانوایر و ریل آن</t>
  </si>
  <si>
    <t>1403/10/12</t>
  </si>
  <si>
    <t>ما ژول 2 -مشکل هد دستگاه / با تعویض هد و‌کالیبره ی دستگاه مشکل حل شد</t>
  </si>
  <si>
    <t>Peak&amp;Place Machine2</t>
  </si>
  <si>
    <t>1403/10/18</t>
  </si>
  <si>
    <t>1403/10/19</t>
  </si>
  <si>
    <t>مشکل نرم افزاری دستگاه pick&amp;place ماشین ۲ ماژول ۲-) کارت ماژول خراب شده بود، تهیه و پروگرم و‌جایگزین شد</t>
  </si>
  <si>
    <t>رویه قالب 9200</t>
  </si>
  <si>
    <t>آسیب دیدگی رویه قالب 9200</t>
  </si>
  <si>
    <t>مغزی پرکن2</t>
  </si>
  <si>
    <t>1403/11/24</t>
  </si>
  <si>
    <t>1403/11/25</t>
  </si>
  <si>
    <t>Conveyor line 1/1</t>
  </si>
  <si>
    <t>کانوایرخط 1/1</t>
  </si>
  <si>
    <t>1403/11/27</t>
  </si>
  <si>
    <t xml:space="preserve">خرابی کانوایر </t>
  </si>
  <si>
    <t>1403/12/04</t>
  </si>
  <si>
    <t xml:space="preserve">بریدن تسمه دستگاه برش </t>
  </si>
  <si>
    <t>1403/12/05</t>
  </si>
  <si>
    <t>Conveyor line 5/1</t>
  </si>
  <si>
    <t>کانوایرخط 5/1</t>
  </si>
  <si>
    <t>EDP-CL-09</t>
  </si>
  <si>
    <t>1403/12/07</t>
  </si>
  <si>
    <t xml:space="preserve">یک لامپ کانوایر 5 سوخته و باعث پریدن فیوز می شود 
</t>
  </si>
  <si>
    <t>خرابی بلبرینگ</t>
  </si>
  <si>
    <t>1403/12/08</t>
  </si>
  <si>
    <t>توقف برش۱ به علت خرابی شفت فولی</t>
  </si>
  <si>
    <t>1403/12/09</t>
  </si>
  <si>
    <t>1403/12/11</t>
  </si>
  <si>
    <t>خرابی پرینتر (مشکل سنسور)</t>
  </si>
  <si>
    <t>تعویض شفت چرخ دندها</t>
  </si>
  <si>
    <t>1403/12/10</t>
  </si>
  <si>
    <t>پریدن تیغه ها</t>
  </si>
  <si>
    <t>بالا رفتن دمای کمپرسور هوا</t>
  </si>
  <si>
    <t>1403/12/12</t>
  </si>
  <si>
    <t>ماشین برش 3</t>
  </si>
  <si>
    <t>1403/12/14</t>
  </si>
  <si>
    <t>خرابی بلبرینگ چرخ دنده دوبل و خرابی بلبرینگ چرخ دنده مورب</t>
  </si>
  <si>
    <t>1403/12/15</t>
  </si>
  <si>
    <t>خرابی بلبرینگ شفت تیغه</t>
  </si>
  <si>
    <t>خرابی کمپرسور هوا</t>
  </si>
  <si>
    <t xml:space="preserve">Injection Moulding Machine 3 </t>
  </si>
  <si>
    <t>1403/12/16</t>
  </si>
  <si>
    <t xml:space="preserve">مشکل  در قالب </t>
  </si>
  <si>
    <t>پارگی تسمه</t>
  </si>
  <si>
    <t>1403/12/18</t>
  </si>
  <si>
    <t>خرابی شفت رولر</t>
  </si>
  <si>
    <t>1403/12/20</t>
  </si>
  <si>
    <t>شکستگی تیغه کاتر- فعلا با این شرایط همچنان فعال است</t>
  </si>
  <si>
    <t>1403/12/22</t>
  </si>
  <si>
    <t xml:space="preserve">خرابی فولی وشفت فولی </t>
  </si>
  <si>
    <t>PP-EP-01</t>
  </si>
  <si>
    <t>PP-EP-02</t>
  </si>
  <si>
    <t>PP-HT-01</t>
  </si>
  <si>
    <t>PP-IM-02</t>
  </si>
  <si>
    <t>PP-HD-01</t>
  </si>
  <si>
    <t>PP-HD-02</t>
  </si>
  <si>
    <t>PP-HD-03</t>
  </si>
  <si>
    <t>PP-HD-04</t>
  </si>
  <si>
    <t>PP-VD-01</t>
  </si>
  <si>
    <t>PP-VD-02</t>
  </si>
  <si>
    <t>PP-JL-01</t>
  </si>
  <si>
    <t>PP-JL-02</t>
  </si>
  <si>
    <t>PP-JL-03</t>
  </si>
  <si>
    <t>PP-JL-04</t>
  </si>
  <si>
    <t>PP-TP-01</t>
  </si>
  <si>
    <t>PP-SP-01</t>
  </si>
  <si>
    <t>PP-OC-01</t>
  </si>
  <si>
    <t>PP-PS-01</t>
  </si>
  <si>
    <t>PP-PD-01</t>
  </si>
  <si>
    <t>PP-TV-01</t>
  </si>
  <si>
    <t>TR-PM-01</t>
  </si>
  <si>
    <t>TR-CV-01</t>
  </si>
  <si>
    <t>TR-CM-05</t>
  </si>
  <si>
    <t>TR-SH-03</t>
  </si>
  <si>
    <t>TR-SH-04</t>
  </si>
  <si>
    <t>TR-SP-01</t>
  </si>
  <si>
    <t>TR-SC-01</t>
  </si>
  <si>
    <t>TR-PJ-01</t>
  </si>
  <si>
    <t>TR-JR-01</t>
  </si>
  <si>
    <t>TR-WC-01</t>
  </si>
  <si>
    <t>TR-SD-01</t>
  </si>
  <si>
    <t>TR-EP-01</t>
  </si>
  <si>
    <t>TR-EP-02</t>
  </si>
  <si>
    <t>TR-AT-01</t>
  </si>
  <si>
    <t>TR-AT-02</t>
  </si>
  <si>
    <t>TR-AC-02</t>
  </si>
  <si>
    <t>TR-TV-01</t>
  </si>
  <si>
    <t>RE-EP-01</t>
  </si>
  <si>
    <t>RE-EP-02</t>
  </si>
  <si>
    <t>RE-EP-03</t>
  </si>
  <si>
    <t>RE-FU-01</t>
  </si>
  <si>
    <t>RE-FU-02</t>
  </si>
  <si>
    <t>RE-FU-03</t>
  </si>
  <si>
    <t>RE-MW-01</t>
  </si>
  <si>
    <t>RE-MW-02</t>
  </si>
  <si>
    <t>RE-MW-03</t>
  </si>
  <si>
    <t>RE-MW-04</t>
  </si>
  <si>
    <t>RE-MW-05</t>
  </si>
  <si>
    <t>RE-HE-01</t>
  </si>
  <si>
    <t>RE-HE-02</t>
  </si>
  <si>
    <t>RE-WC-01</t>
  </si>
  <si>
    <t>RE-RF-01</t>
  </si>
  <si>
    <t>RE-RG-01</t>
  </si>
  <si>
    <t>RE-SR-01</t>
  </si>
  <si>
    <t>RE-SR-02</t>
  </si>
  <si>
    <t>RE-WH-01</t>
  </si>
  <si>
    <t>RE-EI-01</t>
  </si>
  <si>
    <t>RE-IS-01</t>
  </si>
  <si>
    <t>RE-IS-02</t>
  </si>
  <si>
    <t>RE-TM-01</t>
  </si>
  <si>
    <t>SH-EI-01</t>
  </si>
  <si>
    <t>SH-SR-01</t>
  </si>
  <si>
    <t>WL-SP-01</t>
  </si>
  <si>
    <t>SL-SP-01</t>
  </si>
  <si>
    <t>SL-RF-01</t>
  </si>
  <si>
    <t>MR-SP-01</t>
  </si>
  <si>
    <t>MR-PF-01</t>
  </si>
  <si>
    <t>MR-WM-01</t>
  </si>
  <si>
    <t>LB-SP-01</t>
  </si>
  <si>
    <t>LB-SP-02</t>
  </si>
  <si>
    <t>LB-SP-03</t>
  </si>
  <si>
    <t>LB-TPS-01</t>
  </si>
  <si>
    <t>LB-EV-01</t>
  </si>
  <si>
    <t>LB-WB-02</t>
  </si>
  <si>
    <t>LB-TV-01</t>
  </si>
  <si>
    <t>AB-UL-01</t>
  </si>
  <si>
    <t>AB-LD-01</t>
  </si>
  <si>
    <t>AB-PR-01</t>
  </si>
  <si>
    <t>AB-PP-01</t>
  </si>
  <si>
    <t>AB-PP-02</t>
  </si>
  <si>
    <t>AB-IV-01</t>
  </si>
  <si>
    <t>AB-CM-01</t>
  </si>
  <si>
    <t>AB-KN-01</t>
  </si>
  <si>
    <t>AB-RG-01</t>
  </si>
  <si>
    <t>AB-RG-02</t>
  </si>
  <si>
    <t>AB-UP-01</t>
  </si>
  <si>
    <t>AB-MF-01</t>
  </si>
  <si>
    <t>AB-DM-01</t>
  </si>
  <si>
    <t>AB-SC-01</t>
  </si>
  <si>
    <t>AB-EP-01</t>
  </si>
  <si>
    <t>AB-EP-02</t>
  </si>
  <si>
    <t>AB-EP-03</t>
  </si>
  <si>
    <t>TH-WS-01</t>
  </si>
  <si>
    <t>TH-BT-01</t>
  </si>
  <si>
    <t>TH-BC-01</t>
  </si>
  <si>
    <t>TH-MT-01</t>
  </si>
  <si>
    <t>TH-CC-01</t>
  </si>
  <si>
    <t>TH-EP-01</t>
  </si>
  <si>
    <t>TH-EP-02</t>
  </si>
  <si>
    <t>ML-SP-01</t>
  </si>
  <si>
    <t>DR-DY-01</t>
  </si>
  <si>
    <t>DR-LD-01</t>
  </si>
  <si>
    <t>ER-EP-01</t>
  </si>
  <si>
    <t>ER-EP-02</t>
  </si>
  <si>
    <t>ER-EP-03</t>
  </si>
  <si>
    <t>ER-EP-04</t>
  </si>
  <si>
    <t>ER-EP-05</t>
  </si>
  <si>
    <t>ER-EP-06</t>
  </si>
  <si>
    <t>ER-EP-07</t>
  </si>
  <si>
    <t>ER-EP-08</t>
  </si>
  <si>
    <t>ER-EP-09</t>
  </si>
  <si>
    <t>ER-EP-10</t>
  </si>
  <si>
    <t>ER-EP-11</t>
  </si>
  <si>
    <t>ER-EP-12</t>
  </si>
  <si>
    <t>ER-EP-13</t>
  </si>
  <si>
    <t>ER-EP-14</t>
  </si>
  <si>
    <t>ER-KB-01</t>
  </si>
  <si>
    <t>ER-PS-01</t>
  </si>
  <si>
    <t>ER-BC-01</t>
  </si>
  <si>
    <t>ER-BC-02</t>
  </si>
  <si>
    <t>ER-SP-01</t>
  </si>
  <si>
    <t>PW-SP-01</t>
  </si>
  <si>
    <t>PW-EV-01</t>
  </si>
  <si>
    <t>PW-ML-01</t>
  </si>
  <si>
    <t>PW-EP-01</t>
  </si>
  <si>
    <t>PW-EP-02</t>
  </si>
  <si>
    <t>PW-EP-03</t>
  </si>
  <si>
    <t>SW-SP-01</t>
  </si>
  <si>
    <t>SW-SP-02</t>
  </si>
  <si>
    <t>SW-WR-01</t>
  </si>
  <si>
    <t>KW-EP-01</t>
  </si>
  <si>
    <t>KW-EP-02</t>
  </si>
  <si>
    <t>EW-SP-01</t>
  </si>
  <si>
    <t>EW-EV-01</t>
  </si>
  <si>
    <t>EW-IF-01</t>
  </si>
  <si>
    <t>EW-WR-01</t>
  </si>
  <si>
    <t>EW-EP-01</t>
  </si>
  <si>
    <t>EW-EP-02</t>
  </si>
  <si>
    <t>EW-WC-01</t>
  </si>
  <si>
    <t>TO-SP-01</t>
  </si>
  <si>
    <t>TO-SP-02</t>
  </si>
  <si>
    <t>TO-WH-01</t>
  </si>
  <si>
    <t>TO-WH-02</t>
  </si>
  <si>
    <t>SE-SR-01</t>
  </si>
  <si>
    <t>SE-SR-02</t>
  </si>
  <si>
    <t>SE-SP-01</t>
  </si>
  <si>
    <t>CR-SP-01</t>
  </si>
  <si>
    <t>CR-WR-01</t>
  </si>
  <si>
    <t>WLR-SP-01</t>
  </si>
  <si>
    <t>SR-EP-01</t>
  </si>
  <si>
    <t>SR-EP-02</t>
  </si>
  <si>
    <t>SR-TV-01</t>
  </si>
  <si>
    <t>KH-TV-01</t>
  </si>
  <si>
    <t>KH-TV-02</t>
  </si>
  <si>
    <t>KH-TV-03</t>
  </si>
  <si>
    <t>KH-TV-04</t>
  </si>
  <si>
    <t>KH-TV-05</t>
  </si>
  <si>
    <t>ECR-BE-01</t>
  </si>
  <si>
    <t>ECR-BH-01</t>
  </si>
  <si>
    <t>ECR-BH-02</t>
  </si>
  <si>
    <t>ECR-BS-01</t>
  </si>
  <si>
    <t>EDP-EP-01</t>
  </si>
  <si>
    <t>EDP-EP-02</t>
  </si>
  <si>
    <t>AB-UW-01</t>
  </si>
  <si>
    <t>EDP-EP-03</t>
  </si>
  <si>
    <t>EDP-CL-01</t>
  </si>
  <si>
    <t>EDP-CL-02</t>
  </si>
  <si>
    <t>EDP-CL-03</t>
  </si>
  <si>
    <t>EDP-CL-04</t>
  </si>
  <si>
    <t>EDP-CL-05</t>
  </si>
  <si>
    <t>EDP-CL-06</t>
  </si>
  <si>
    <t>EDP-CL-07</t>
  </si>
  <si>
    <t>EDP-CL-08</t>
  </si>
  <si>
    <t>EDP-SH-01</t>
  </si>
  <si>
    <t>EDP-BS-01</t>
  </si>
  <si>
    <t>EDP-BS-02</t>
  </si>
  <si>
    <t>EDP-BS-03</t>
  </si>
  <si>
    <t>EDP-BS-04</t>
  </si>
  <si>
    <t>EDP-BS-05</t>
  </si>
  <si>
    <t>EDP-BS-06</t>
  </si>
  <si>
    <t>EDP-BS-07</t>
  </si>
  <si>
    <t>EDP-BS-08</t>
  </si>
  <si>
    <t>EDP-BS-09</t>
  </si>
  <si>
    <t>EDP-BS-10</t>
  </si>
  <si>
    <t>EDP-BS-11</t>
  </si>
  <si>
    <t>EDP-BS-12</t>
  </si>
  <si>
    <t>EDP-BS-13</t>
  </si>
  <si>
    <t>EDP-BS-14</t>
  </si>
  <si>
    <t>EDP-BS-15</t>
  </si>
  <si>
    <t>EDP-BS-16</t>
  </si>
  <si>
    <t>EDP-BS-17</t>
  </si>
  <si>
    <t>EDP-TV-01</t>
  </si>
  <si>
    <t>EDP-GI-01</t>
  </si>
  <si>
    <t>EDP-SR-01</t>
  </si>
  <si>
    <t>EDP-PJ-01</t>
  </si>
  <si>
    <t>EDP-WC-01</t>
  </si>
  <si>
    <t>PH-IP-01</t>
  </si>
  <si>
    <t>PH-IP-02</t>
  </si>
  <si>
    <t>PH-PA-01</t>
  </si>
  <si>
    <t>PH-PA-02</t>
  </si>
  <si>
    <t>PH-FP-01</t>
  </si>
  <si>
    <t>PH-FP-02</t>
  </si>
  <si>
    <t>PH-FP-03</t>
  </si>
  <si>
    <t>PH-ME-01</t>
  </si>
  <si>
    <t>PH-FE-01</t>
  </si>
  <si>
    <t>PH-WI-01</t>
  </si>
  <si>
    <t>PH-AW-01</t>
  </si>
  <si>
    <t>PH-WH-01</t>
  </si>
  <si>
    <t>PH-WP-01</t>
  </si>
  <si>
    <t>PH-TB-01</t>
  </si>
  <si>
    <t>PH-TA-01</t>
  </si>
  <si>
    <t>PH-TA-02</t>
  </si>
  <si>
    <t>PH-PT-01</t>
  </si>
  <si>
    <t>PH-PT-02</t>
  </si>
  <si>
    <t>PH-TN-01</t>
  </si>
  <si>
    <t>PH-VF-01</t>
  </si>
  <si>
    <t>PH-CW-01</t>
  </si>
  <si>
    <t>PH-CW-02</t>
  </si>
  <si>
    <t>PH-FB-01</t>
  </si>
  <si>
    <t>SC-SP-01</t>
  </si>
  <si>
    <t>SC-SP-02</t>
  </si>
  <si>
    <t>SC-WC-01</t>
  </si>
  <si>
    <t>SC-FA-01</t>
  </si>
  <si>
    <t>SC-WE-01</t>
  </si>
  <si>
    <t>SC-FB-01</t>
  </si>
  <si>
    <t>ME-SE-01</t>
  </si>
  <si>
    <t>ME-SE-02</t>
  </si>
  <si>
    <t>ME-SE-03</t>
  </si>
  <si>
    <t>ME-SP-01</t>
  </si>
  <si>
    <t>ME-VF-01</t>
  </si>
  <si>
    <t>TR-TR-01</t>
  </si>
  <si>
    <t>TR-TR-02</t>
  </si>
  <si>
    <t>TR-VF-01</t>
  </si>
  <si>
    <t>LE-SE-01</t>
  </si>
  <si>
    <t>LE-SE-02</t>
  </si>
  <si>
    <t>LE-SP-01</t>
  </si>
  <si>
    <t>LE-FB-01</t>
  </si>
  <si>
    <t>AR-CC-01</t>
  </si>
  <si>
    <t>AR-LT-01</t>
  </si>
  <si>
    <t>AR-EL-01</t>
  </si>
  <si>
    <t>AR-EL-02</t>
  </si>
  <si>
    <t>AR-EL-03</t>
  </si>
  <si>
    <t>AR-EL-04</t>
  </si>
  <si>
    <t>AR-EL-05</t>
  </si>
  <si>
    <t>AR-EL-06</t>
  </si>
  <si>
    <t>AR-WL-01</t>
  </si>
  <si>
    <t>AR-WL-02</t>
  </si>
  <si>
    <t>AR-WL-03</t>
  </si>
  <si>
    <t>AR-WL-04</t>
  </si>
  <si>
    <t>AR-WL-05</t>
  </si>
  <si>
    <t>AR-WL-06</t>
  </si>
  <si>
    <t>AR-SL-01</t>
  </si>
  <si>
    <t>AR-SL-02</t>
  </si>
  <si>
    <t>AR-SL-03</t>
  </si>
  <si>
    <t>AR-SL-04</t>
  </si>
  <si>
    <t>AR-SL-05</t>
  </si>
  <si>
    <t>AR-VG-01</t>
  </si>
  <si>
    <t>AR-VG-02</t>
  </si>
  <si>
    <t>AR-VG-03</t>
  </si>
  <si>
    <t>AR-SE-03</t>
  </si>
  <si>
    <t>AR-GT-01</t>
  </si>
  <si>
    <t>AR-GT-02</t>
  </si>
  <si>
    <t>AR-GT-03</t>
  </si>
  <si>
    <t>SS-PM-01</t>
  </si>
  <si>
    <t>SS-PM-02</t>
  </si>
  <si>
    <t>SS-EP-01</t>
  </si>
  <si>
    <t>SS-ST-01</t>
  </si>
  <si>
    <t>NW-PM-01</t>
  </si>
  <si>
    <t>NW-PM-02</t>
  </si>
  <si>
    <t>NW-EP-01</t>
  </si>
  <si>
    <t>NS-PM-01</t>
  </si>
  <si>
    <t>NS-PM-02</t>
  </si>
  <si>
    <t>NS-EP-01</t>
  </si>
  <si>
    <t>CS-RP-01</t>
  </si>
  <si>
    <t>CS-RP-02</t>
  </si>
  <si>
    <t>CS-RP-03</t>
  </si>
  <si>
    <t>CS-RP-04</t>
  </si>
  <si>
    <t>CS-RP-05</t>
  </si>
  <si>
    <t>CS-RP-06</t>
  </si>
  <si>
    <t>CS-RP-07</t>
  </si>
  <si>
    <t>CS-RP-08</t>
  </si>
  <si>
    <t>CS-RP-09</t>
  </si>
  <si>
    <t>CS-RP-10</t>
  </si>
  <si>
    <t>SS-CL-01</t>
  </si>
  <si>
    <t>SS-WC-01</t>
  </si>
  <si>
    <t>SS-MS-01</t>
  </si>
  <si>
    <t>CS-EC-01</t>
  </si>
  <si>
    <t>CS-SE-01</t>
  </si>
  <si>
    <t>CS-SE-02</t>
  </si>
  <si>
    <t>CS-SE-03</t>
  </si>
  <si>
    <t>CS-SE-04</t>
  </si>
  <si>
    <t>CS-LT-01</t>
  </si>
  <si>
    <t>CS-LT-02</t>
  </si>
  <si>
    <t>CS-LT-03</t>
  </si>
  <si>
    <t>CS-LT-04</t>
  </si>
  <si>
    <t>CS-LT-05</t>
  </si>
  <si>
    <t>HS-SP-01</t>
  </si>
  <si>
    <t>HS-SR-01</t>
  </si>
  <si>
    <t>RF-VB-01</t>
  </si>
  <si>
    <t>RF-VB-02</t>
  </si>
  <si>
    <t>RF-VP-03</t>
  </si>
  <si>
    <t>RF-VP-04</t>
  </si>
  <si>
    <t>RF-TV-01</t>
  </si>
  <si>
    <t>RF-TV-02</t>
  </si>
  <si>
    <t>RF-EV-03</t>
  </si>
  <si>
    <t>RF-VL-04</t>
  </si>
  <si>
    <t>RF-VT-01</t>
  </si>
  <si>
    <t>RF-EP-01</t>
  </si>
  <si>
    <t>RF-WP-01</t>
  </si>
  <si>
    <t xml:space="preserve">     سالن تولید قطعات پلاستیکی</t>
  </si>
  <si>
    <t xml:space="preserve"> سالن رول کاغذ حرارتی</t>
  </si>
  <si>
    <t xml:space="preserve">   سالن غذاخوری</t>
  </si>
  <si>
    <t xml:space="preserve"> سالن اداری </t>
  </si>
  <si>
    <t xml:space="preserve">   رختکن بانوان</t>
  </si>
  <si>
    <t>رختکن حراست</t>
  </si>
  <si>
    <t xml:space="preserve">        اتاق تعمیر و نگهداری</t>
  </si>
  <si>
    <t xml:space="preserve">   لابی /سالن انتظار</t>
  </si>
  <si>
    <t xml:space="preserve">  سالن مونتاژ بردهای الکترونیکی     </t>
  </si>
  <si>
    <t xml:space="preserve"> THT </t>
  </si>
  <si>
    <t xml:space="preserve">رختکن آقایان </t>
  </si>
  <si>
    <t>اتاق خشک کن</t>
  </si>
  <si>
    <t xml:space="preserve">    اتاق برق</t>
  </si>
  <si>
    <t xml:space="preserve">        انبار کاغذ و قطعات پلاستیکی</t>
  </si>
  <si>
    <t xml:space="preserve">  انبار پشتیبانی</t>
  </si>
  <si>
    <t>انبار کیوسک</t>
  </si>
  <si>
    <t xml:space="preserve">           انبار تولید تجهیزات الکترونیکی  </t>
  </si>
  <si>
    <t xml:space="preserve"> سرویس های بهداشتی</t>
  </si>
  <si>
    <t xml:space="preserve"> اتاق سرور </t>
  </si>
  <si>
    <t>اتاق کنفرانس</t>
  </si>
  <si>
    <t>اتاق مهمان</t>
  </si>
  <si>
    <t xml:space="preserve">      تراس</t>
  </si>
  <si>
    <t xml:space="preserve">  اتاق نمایش </t>
  </si>
  <si>
    <t xml:space="preserve">  سالن کیوسک</t>
  </si>
  <si>
    <t xml:space="preserve">      اتاق شرایط محیطی       </t>
  </si>
  <si>
    <t xml:space="preserve">            سالن  تولید تجهیزات الکترونیکی</t>
  </si>
  <si>
    <t xml:space="preserve"> پمپ خانه  </t>
  </si>
  <si>
    <t xml:space="preserve">      حراست</t>
  </si>
  <si>
    <t xml:space="preserve">       اتاق برق فشار متوسط محوطه     </t>
  </si>
  <si>
    <t xml:space="preserve">          اتاق ترانس</t>
  </si>
  <si>
    <t xml:space="preserve">  اتاق برق فشار ضعیف محوطه </t>
  </si>
  <si>
    <t>محوطه</t>
  </si>
  <si>
    <t xml:space="preserve">سپتیک فاضلاب </t>
  </si>
  <si>
    <t>سپتیک شمال غرب</t>
  </si>
  <si>
    <t>سپتیک شمال شرق</t>
  </si>
  <si>
    <t xml:space="preserve">               ساختار سیستم تهویه هوا  </t>
  </si>
  <si>
    <t xml:space="preserve">        اتاق ایمنی و بهداشت</t>
  </si>
  <si>
    <t xml:space="preserve">      پشت بام  </t>
  </si>
  <si>
    <t>تابلوبرق ایستاده  1</t>
  </si>
  <si>
    <t>تابلوبرق ایستاده  2</t>
  </si>
  <si>
    <t>دستگاه گرم کننده و انتقال آب</t>
  </si>
  <si>
    <t xml:space="preserve">دستگاه تزریق پلاستیک1 </t>
  </si>
  <si>
    <t xml:space="preserve">دستگاه تزریق پلاستیک2 </t>
  </si>
  <si>
    <t xml:space="preserve">دستگاه تزریق پلاستیک3 </t>
  </si>
  <si>
    <t xml:space="preserve">دستگاه تزریق پلاستیک4 </t>
  </si>
  <si>
    <t xml:space="preserve">دستگاه خشک کن 1 </t>
  </si>
  <si>
    <t xml:space="preserve">دستگاه خشک کن 2 </t>
  </si>
  <si>
    <t xml:space="preserve">دستگاه خشک کن 3 </t>
  </si>
  <si>
    <t xml:space="preserve">دستگاه خشک کن 4 </t>
  </si>
  <si>
    <t xml:space="preserve">واحد دوز حجمی 1 </t>
  </si>
  <si>
    <t>واحد دوز حجمی 2</t>
  </si>
  <si>
    <t xml:space="preserve">دستگاه مواد کش1 </t>
  </si>
  <si>
    <t xml:space="preserve">دستگاه مواد کش2 </t>
  </si>
  <si>
    <t xml:space="preserve">دستگاه مواد کش3 </t>
  </si>
  <si>
    <t xml:space="preserve">دستگاه مواد کش4 </t>
  </si>
  <si>
    <t>دستگاه چاپ تامپو</t>
  </si>
  <si>
    <t xml:space="preserve">دستگاه چاپ سیلک </t>
  </si>
  <si>
    <t xml:space="preserve">جرثقیل سقفی </t>
  </si>
  <si>
    <t>دستگاه دوخت پلاستیک</t>
  </si>
  <si>
    <t xml:space="preserve">خشک کن رنگ </t>
  </si>
  <si>
    <t xml:space="preserve">تلوزیون دوو   </t>
  </si>
  <si>
    <t>ماشین چاپ رول کاغذ حرارتی 1</t>
  </si>
  <si>
    <t>ماشین چاپ رول کاغذ حرارتی 2</t>
  </si>
  <si>
    <t>کانوایر 18متری</t>
  </si>
  <si>
    <t xml:space="preserve">ماشین برش کاغذ 1 </t>
  </si>
  <si>
    <t xml:space="preserve">ماشین برش کاغذ 2  </t>
  </si>
  <si>
    <t>ماشین برش کاغذ 3</t>
  </si>
  <si>
    <t xml:space="preserve">ماشین برش کاغذ 4 </t>
  </si>
  <si>
    <t xml:space="preserve">ماشین برش کاغذ 5 </t>
  </si>
  <si>
    <t xml:space="preserve">دستگاه شرینگ 1 </t>
  </si>
  <si>
    <t xml:space="preserve"> دستگاه شرینگ 2 </t>
  </si>
  <si>
    <t xml:space="preserve"> شرینگ 3 </t>
  </si>
  <si>
    <t>Brain filler 1</t>
  </si>
  <si>
    <t>Brain filler 2</t>
  </si>
  <si>
    <t>Brain filler 3</t>
  </si>
  <si>
    <t>Brain filler 4</t>
  </si>
  <si>
    <t xml:space="preserve">دستگاه پالت پیچ </t>
  </si>
  <si>
    <t xml:space="preserve">ماشین پرس </t>
  </si>
  <si>
    <t>باسکول رولیک</t>
  </si>
  <si>
    <t xml:space="preserve">جک پالت  </t>
  </si>
  <si>
    <t xml:space="preserve">جک رول </t>
  </si>
  <si>
    <t xml:space="preserve">آبسردکن آفترون  </t>
  </si>
  <si>
    <t xml:space="preserve">دریل ایستاده </t>
  </si>
  <si>
    <t>تابلوبرق ایستاده 1</t>
  </si>
  <si>
    <t xml:space="preserve">تابلوبرق ایستاده 2 </t>
  </si>
  <si>
    <t>مخزن هوا 1</t>
  </si>
  <si>
    <t xml:space="preserve">مخزن هوا 2  </t>
  </si>
  <si>
    <t>کمپرسور هوا</t>
  </si>
  <si>
    <t xml:space="preserve">تلوزیون UNIVA   </t>
  </si>
  <si>
    <t>تابلو برق دیواری 1</t>
  </si>
  <si>
    <t>تابلوبرق دیواری  2</t>
  </si>
  <si>
    <t>تابلوبرق دیواری 3</t>
  </si>
  <si>
    <t>جعبه فیوز1</t>
  </si>
  <si>
    <t>جعبه فیوز 2</t>
  </si>
  <si>
    <t>جعبه فیوز 3</t>
  </si>
  <si>
    <t>گرمکن 1</t>
  </si>
  <si>
    <t>گرمکن 2</t>
  </si>
  <si>
    <t xml:space="preserve">آبسردکن </t>
  </si>
  <si>
    <t>یخچال فریزر</t>
  </si>
  <si>
    <t>یخچال kelever</t>
  </si>
  <si>
    <t>یخچال فروشگاهی1</t>
  </si>
  <si>
    <t>یخچال فروشگاهی2</t>
  </si>
  <si>
    <t>آبگرمکن آزمون</t>
  </si>
  <si>
    <t>دستگاه حشره کش</t>
  </si>
  <si>
    <t xml:space="preserve">سماور صنعتی 1 </t>
  </si>
  <si>
    <t>سماور صنعتی 2</t>
  </si>
  <si>
    <t>چای ساز برقی</t>
  </si>
  <si>
    <t>رک ایستاده</t>
  </si>
  <si>
    <t>اسپیلت  دوو</t>
  </si>
  <si>
    <t xml:space="preserve">اسپیلت  مدیا </t>
  </si>
  <si>
    <t xml:space="preserve">یخچال </t>
  </si>
  <si>
    <t xml:space="preserve">اسپیلت جنرال گلد  </t>
  </si>
  <si>
    <t>پروفیل بر</t>
  </si>
  <si>
    <t>دستگاه جوش</t>
  </si>
  <si>
    <t>اسپیلت 1- دوو</t>
  </si>
  <si>
    <t>اسپیلت 2- دوو</t>
  </si>
  <si>
    <t>اسپیلت 3- دوو</t>
  </si>
  <si>
    <t>اسپیلت مدیا</t>
  </si>
  <si>
    <t xml:space="preserve">آسانسور </t>
  </si>
  <si>
    <t>دستگاه فرچه واکس</t>
  </si>
  <si>
    <t xml:space="preserve">تلوزیون UNIVA </t>
  </si>
  <si>
    <t xml:space="preserve">دستگاه تخلیه کننده </t>
  </si>
  <si>
    <t xml:space="preserve">دستگاه بارگیر </t>
  </si>
  <si>
    <t xml:space="preserve">دستگاه پرینتر </t>
  </si>
  <si>
    <t xml:space="preserve">لحیم کاری هوا (Oven) </t>
  </si>
  <si>
    <t xml:space="preserve">دستگاه قطعه گذاری </t>
  </si>
  <si>
    <t>اینورتر سامسونگ</t>
  </si>
  <si>
    <t>دوش هوا</t>
  </si>
  <si>
    <t>کانوایر</t>
  </si>
  <si>
    <t xml:space="preserve">سیستم تست برد الکترونیکی </t>
  </si>
  <si>
    <t xml:space="preserve">سینی تغییردهنده  </t>
  </si>
  <si>
    <t>خمیرزن</t>
  </si>
  <si>
    <t xml:space="preserve">میکروسکوپ دیجیتالی </t>
  </si>
  <si>
    <t xml:space="preserve">دستگاه کاورکفش اتوماتیک </t>
  </si>
  <si>
    <t xml:space="preserve">تابلوبرق ایستاده 3 </t>
  </si>
  <si>
    <t xml:space="preserve">جوش موجی </t>
  </si>
  <si>
    <t>Main board test device 9200</t>
  </si>
  <si>
    <t>Modem board calibration device</t>
  </si>
  <si>
    <t>Modem board tester</t>
  </si>
  <si>
    <t>کانوایر خنک کننده</t>
  </si>
  <si>
    <t>تابلو برق دیواری  1</t>
  </si>
  <si>
    <t>تابلو برق دیواری  2</t>
  </si>
  <si>
    <t>دستگاه خشک کن</t>
  </si>
  <si>
    <t>ماشین لباسشویی پاکشوما</t>
  </si>
  <si>
    <t xml:space="preserve">تابلو ایستاده برق 1 </t>
  </si>
  <si>
    <t xml:space="preserve">تابلو ایستاده برق 2 </t>
  </si>
  <si>
    <t xml:space="preserve">تابلوایستاده برق 3 </t>
  </si>
  <si>
    <t xml:space="preserve">تابلو ایستاده برق 4 </t>
  </si>
  <si>
    <t>تابلو ایستاده برق 5</t>
  </si>
  <si>
    <t xml:space="preserve">تابلو ایستاده برق 6 </t>
  </si>
  <si>
    <t xml:space="preserve">تابلو ایستاده برق 7 </t>
  </si>
  <si>
    <t>تابلو ایستاده برق  8</t>
  </si>
  <si>
    <t>تابلو ایستاده برق 9</t>
  </si>
  <si>
    <t>تابلو ایستاده برق 10</t>
  </si>
  <si>
    <t xml:space="preserve">تابلو ایستاده برق 11 </t>
  </si>
  <si>
    <t>تابلو ایستاده برق  12</t>
  </si>
  <si>
    <t>تابلو ایستاده برق  13</t>
  </si>
  <si>
    <t>تابلو ایستاده برق 14</t>
  </si>
  <si>
    <t>جعبه کلید UPS</t>
  </si>
  <si>
    <t xml:space="preserve"> واحد منبع تغذیه (UPS)</t>
  </si>
  <si>
    <t>کابینت باتری 1</t>
  </si>
  <si>
    <t>کابینت باتری 2</t>
  </si>
  <si>
    <t xml:space="preserve">اسپیلت دوو </t>
  </si>
  <si>
    <t xml:space="preserve">دستگاه خردکن قطعات پلاستیکی </t>
  </si>
  <si>
    <t xml:space="preserve">بالابرمتحرک  کلایر </t>
  </si>
  <si>
    <t xml:space="preserve">تابلو برق دیواری  2 </t>
  </si>
  <si>
    <t>تابلو برق دیواری  3</t>
  </si>
  <si>
    <t xml:space="preserve">اسپیلت مدیا </t>
  </si>
  <si>
    <t>اسپیلت جنرال گلد</t>
  </si>
  <si>
    <t>رک دیواری</t>
  </si>
  <si>
    <t xml:space="preserve">تابلوبرق دیواری  1 </t>
  </si>
  <si>
    <t xml:space="preserve">استاکر </t>
  </si>
  <si>
    <t xml:space="preserve">جک پالت 1 </t>
  </si>
  <si>
    <t>جک پالت 2</t>
  </si>
  <si>
    <t>جک پالت 3</t>
  </si>
  <si>
    <t xml:space="preserve">تابلو برق دیواری 1 </t>
  </si>
  <si>
    <t xml:space="preserve">تابلو برق دیواری 2 </t>
  </si>
  <si>
    <t>آبسردکن ایستکول</t>
  </si>
  <si>
    <t xml:space="preserve">اسپیلت جنرال گلد1 </t>
  </si>
  <si>
    <t>اسپیلت  جنرال گلد2</t>
  </si>
  <si>
    <t>آبگرمکن1 آزمون</t>
  </si>
  <si>
    <t xml:space="preserve">آبگرمکن 2 آزمون </t>
  </si>
  <si>
    <t>رک ایستاده 1</t>
  </si>
  <si>
    <t>رک ایستاده 2</t>
  </si>
  <si>
    <t>اسپیلت ایران رادیاتور</t>
  </si>
  <si>
    <t>اسپیلت دوو</t>
  </si>
  <si>
    <t xml:space="preserve">تابلو دیواری برق  </t>
  </si>
  <si>
    <t>تابلو دیواری برق 1</t>
  </si>
  <si>
    <t>تابلو دیواری برق 2</t>
  </si>
  <si>
    <t>تلوزیون Toshiba</t>
  </si>
  <si>
    <t>تلوزیون  BENESS</t>
  </si>
  <si>
    <t>تلوزیون  X.VISION</t>
  </si>
  <si>
    <t>تلوزیون دوو</t>
  </si>
  <si>
    <t>تابلو برق اصلی اتاق شرایط محیطی</t>
  </si>
  <si>
    <t>سیستم گرم کننده 1</t>
  </si>
  <si>
    <t>سیستم گرم کننده 2</t>
  </si>
  <si>
    <t>جعبه برق تغذیه پریزها</t>
  </si>
  <si>
    <t xml:space="preserve">تابلوبرق دیواری 2 </t>
  </si>
  <si>
    <t xml:space="preserve">جوش پلاستیک اولتراسونیک </t>
  </si>
  <si>
    <t xml:space="preserve">تابلو برق دیواری 3 </t>
  </si>
  <si>
    <t xml:space="preserve">کانوایرخط 1/1 </t>
  </si>
  <si>
    <t xml:space="preserve">کانوایرخط 1/2 </t>
  </si>
  <si>
    <t xml:space="preserve">کانوایرخط 2/1 </t>
  </si>
  <si>
    <t xml:space="preserve">کانوایرخط 2/2 </t>
  </si>
  <si>
    <t xml:space="preserve">کانوایرخط 3/1 </t>
  </si>
  <si>
    <t xml:space="preserve">کانوایرخط 3/2 </t>
  </si>
  <si>
    <t>کانوایرخط 4</t>
  </si>
  <si>
    <t xml:space="preserve">کانوایرخط 5/1 </t>
  </si>
  <si>
    <t xml:space="preserve">کانوایرخط 5/2 </t>
  </si>
  <si>
    <t>شرینک 1</t>
  </si>
  <si>
    <t>قفسه  برن 1</t>
  </si>
  <si>
    <t>قفسه  برن 2</t>
  </si>
  <si>
    <t>قفسه  برن 3</t>
  </si>
  <si>
    <t>قفسه  برن 4</t>
  </si>
  <si>
    <t>قفسه  برن 5</t>
  </si>
  <si>
    <t>قفسه  برن 6</t>
  </si>
  <si>
    <t>قفسه  برن 7</t>
  </si>
  <si>
    <t>قفسه  برن 8</t>
  </si>
  <si>
    <t>قفسه  برن 9</t>
  </si>
  <si>
    <t>قفسه  برن 10</t>
  </si>
  <si>
    <t>قفسه  برن 11</t>
  </si>
  <si>
    <t>قفسه  برن 12</t>
  </si>
  <si>
    <t>قفسه  برن 13</t>
  </si>
  <si>
    <t>قفسه  برن 14</t>
  </si>
  <si>
    <t>قفسه  برن 15</t>
  </si>
  <si>
    <t>قفسه  برن 16</t>
  </si>
  <si>
    <t>قفسه  برن 17</t>
  </si>
  <si>
    <t>چسب زن AMP</t>
  </si>
  <si>
    <t xml:space="preserve">جک پالت </t>
  </si>
  <si>
    <t xml:space="preserve">آبسردکن مدیا </t>
  </si>
  <si>
    <t>موتور پمپ آب داخل ساختمان 1</t>
  </si>
  <si>
    <t>موتور پمپ آب داخل ساختمان 2</t>
  </si>
  <si>
    <t xml:space="preserve">موتور پمپ آب محوطه 1 </t>
  </si>
  <si>
    <t xml:space="preserve">موتور پمپ آب محوطه 2 </t>
  </si>
  <si>
    <t xml:space="preserve">موتور پمپ آتشنشانی 1  </t>
  </si>
  <si>
    <t xml:space="preserve">موتور پمپ آتشنشانی 2 </t>
  </si>
  <si>
    <t xml:space="preserve">موتور پمپ آتشنشانی 3 </t>
  </si>
  <si>
    <t xml:space="preserve">تابلو برق دیواری </t>
  </si>
  <si>
    <t>تابلو برق آتشنشانی</t>
  </si>
  <si>
    <t>تابلو برق پمپ آب داخل ساختمان</t>
  </si>
  <si>
    <t>تابلو برق پمپ آب محوطه</t>
  </si>
  <si>
    <t>آبگرمکن 17L</t>
  </si>
  <si>
    <t>دستگاه تصفیه آب بهتا</t>
  </si>
  <si>
    <t>مخزن 20/000 لیتری آب ساختمان</t>
  </si>
  <si>
    <t>مخزن 20/000 لیتری آب محوطه وآتشنشانی</t>
  </si>
  <si>
    <t>مخزن 10/000 لیتری آب محوطه وآتشنشانی</t>
  </si>
  <si>
    <t>مخزن  5000 لیتری آب خام تصفیه</t>
  </si>
  <si>
    <t>مخزن 1000 لیتری  آب تصفیه</t>
  </si>
  <si>
    <t xml:space="preserve">مخزن 200 لیتری </t>
  </si>
  <si>
    <t>فن تهویه</t>
  </si>
  <si>
    <t xml:space="preserve">موتور پمپ آب شهری 1 </t>
  </si>
  <si>
    <t xml:space="preserve">موتور پمپ آب شهری 2 </t>
  </si>
  <si>
    <t xml:space="preserve">جعبه فیوز </t>
  </si>
  <si>
    <t xml:space="preserve">اسپیلت ایران رادیاتور </t>
  </si>
  <si>
    <t xml:space="preserve">آبسردکن ایستکول </t>
  </si>
  <si>
    <t>سیستم اعلام حریق</t>
  </si>
  <si>
    <t>تابلو ایستاده برق 1</t>
  </si>
  <si>
    <t>تابلو ایستاده برق 2</t>
  </si>
  <si>
    <t>تابلو ایستاده برق 3</t>
  </si>
  <si>
    <t xml:space="preserve">اسپیلت جنرال گلد </t>
  </si>
  <si>
    <t>فن تهویه دمنده</t>
  </si>
  <si>
    <t xml:space="preserve">ترانس 1 </t>
  </si>
  <si>
    <t>ترانس 2</t>
  </si>
  <si>
    <t xml:space="preserve">اسپیلت  SUPRA </t>
  </si>
  <si>
    <t xml:space="preserve">تابلو ایستاده برق2 </t>
  </si>
  <si>
    <t>کولر پنجره ای</t>
  </si>
  <si>
    <t>برج روشنایی</t>
  </si>
  <si>
    <t xml:space="preserve">پایه روشنایی شرقی 1 </t>
  </si>
  <si>
    <t xml:space="preserve">پایه روشنایی شرقی 2 </t>
  </si>
  <si>
    <t xml:space="preserve">پایه روشنایی شرقی 3 </t>
  </si>
  <si>
    <t xml:space="preserve">پایه روشنایی شرقی 4 </t>
  </si>
  <si>
    <t xml:space="preserve">پایه روشنایی شرقی 5 </t>
  </si>
  <si>
    <t xml:space="preserve">پایه روشنایی شرقی 6  </t>
  </si>
  <si>
    <t xml:space="preserve">پایه روشنایی غربی 1  </t>
  </si>
  <si>
    <t>پایه روشنایی غربی 2</t>
  </si>
  <si>
    <t>پایه روشنایی غربی 3</t>
  </si>
  <si>
    <t>پایه روشنایی غربی 4</t>
  </si>
  <si>
    <t>پایه روشنایی غربی 5</t>
  </si>
  <si>
    <t>پایه روشنایی غربی 6</t>
  </si>
  <si>
    <t xml:space="preserve">روشنایی 1 </t>
  </si>
  <si>
    <t>روشنایی 2</t>
  </si>
  <si>
    <t>روشنایی 3</t>
  </si>
  <si>
    <t>روشنایی 4</t>
  </si>
  <si>
    <t>روشنایی 5</t>
  </si>
  <si>
    <t>ژنراتور 1</t>
  </si>
  <si>
    <t>ژنراتور 2</t>
  </si>
  <si>
    <t>ژنراتور 3</t>
  </si>
  <si>
    <t>تابلو برق ایستاده 1</t>
  </si>
  <si>
    <t>تابلو برق ایستاده 2</t>
  </si>
  <si>
    <t>مخزن  گازوئیل 1</t>
  </si>
  <si>
    <t>مخزن  گازوئیل 2</t>
  </si>
  <si>
    <t>مخزن  گازوئیل 3</t>
  </si>
  <si>
    <t>موتور پمپ 1 سپتیک فاضلاب</t>
  </si>
  <si>
    <t>موتور پمپ 2 سپتیک فاضلاب</t>
  </si>
  <si>
    <t>تابلو برق سپتیک فاضلاب</t>
  </si>
  <si>
    <t>مخزن  سپتیک فاضلاب</t>
  </si>
  <si>
    <t>موتور پمپ  1 سپتیک شمال غرب</t>
  </si>
  <si>
    <t>موتور پمپ 2  سپتیک شمال غرب</t>
  </si>
  <si>
    <t>تابلو برق سپتیک شمال غرب</t>
  </si>
  <si>
    <t>موتور پمپ شماره 1 سپتیک شمال شرق</t>
  </si>
  <si>
    <t>موتور پمپ شماره2  سپتیک شمال شرق</t>
  </si>
  <si>
    <t>تابلو برق سپتیک شمال شرق</t>
  </si>
  <si>
    <t>پکیج پشت بامی - سالن کیوسک</t>
  </si>
  <si>
    <t>چیلر خنک کننده قالب تزریق پلاستیک</t>
  </si>
  <si>
    <t xml:space="preserve">سیستم گردش آب سالن تزریق </t>
  </si>
  <si>
    <t>اسکلت فلزی</t>
  </si>
  <si>
    <t>تابلو برق اصلی دستگاه گردش آب وچیلر</t>
  </si>
  <si>
    <t xml:space="preserve">تابلو برق ایستاده 1 </t>
  </si>
  <si>
    <t>تابلو برق ایستاده 3</t>
  </si>
  <si>
    <t>تابلو برق ایستاده 4</t>
  </si>
  <si>
    <t>یخچال فروشگاهی</t>
  </si>
  <si>
    <t xml:space="preserve">فن تهویه  سالن مونتاژ بردهای الکترونیکی </t>
  </si>
  <si>
    <t xml:space="preserve">فن تهویه 2 سالن مونتاژ بردهای الکترونیکی </t>
  </si>
  <si>
    <t xml:space="preserve">فن تهویه1 سالن تولید قطعات پلاستیکی </t>
  </si>
  <si>
    <t xml:space="preserve">فن تهویه2 سالن تولید قطعات پلاستیکی </t>
  </si>
  <si>
    <t>فن تهویه سرویس بهداشتی 1</t>
  </si>
  <si>
    <t xml:space="preserve">فن تهویه سرویس بهداشتی 2 </t>
  </si>
  <si>
    <t xml:space="preserve">فن تهویه سالن تولید تجهیزات الکترونیکی </t>
  </si>
  <si>
    <t>فن تهویه رختکن بانوان</t>
  </si>
  <si>
    <t xml:space="preserve">فن تهویه سالن  THT </t>
  </si>
  <si>
    <t>پروژکتورشرقی</t>
  </si>
  <si>
    <t>پروژکتورغربی</t>
  </si>
  <si>
    <t>مایکرویو LG /1</t>
  </si>
  <si>
    <t>مایکرویو LG /2</t>
  </si>
  <si>
    <t>مایکرویو LG /3</t>
  </si>
  <si>
    <t>مایکرویو LG /4</t>
  </si>
  <si>
    <t>مایکرویو LG /5</t>
  </si>
  <si>
    <t>پکیج پشت بامی - سالن رول</t>
  </si>
  <si>
    <t>پکیج پشت بامی - سالن تزریق</t>
  </si>
  <si>
    <t>پکیج پشت بامی  - انبار کاغذ</t>
  </si>
  <si>
    <t>پکیج پشت بامی  - اداری</t>
  </si>
  <si>
    <t>پکیج پشت بامی  -  اس ام تی</t>
  </si>
  <si>
    <t>پکیج پشت بامی  -  تی اچ تی</t>
  </si>
  <si>
    <t>پکیج پشت بامی  - انبار کیوسک</t>
  </si>
  <si>
    <t>پکیج پشت بامی  - سالن پوز</t>
  </si>
  <si>
    <t>پکیج پشت بامی  - انبار پوز</t>
  </si>
  <si>
    <t>Column Labels</t>
  </si>
  <si>
    <t>1403/05/01</t>
  </si>
  <si>
    <t>تاریخ اصلاح</t>
  </si>
  <si>
    <t>ورژن</t>
  </si>
  <si>
    <t>اصلاحیه</t>
  </si>
  <si>
    <t>محاسبه MTTR برای از ماه توقف به ماه رفع توقف تغییر یافت</t>
  </si>
  <si>
    <t>در محاسبات MTTR ماه رفع توقف ملاک محاسبه قرار گرفت</t>
  </si>
  <si>
    <t>X2</t>
  </si>
  <si>
    <t>X3</t>
  </si>
  <si>
    <t>X5</t>
  </si>
  <si>
    <t>زمان آخرین رفع توقف قبل از توقف فعلی</t>
  </si>
  <si>
    <t>Average of هدف MTTR</t>
  </si>
  <si>
    <t>زمان توقف</t>
  </si>
  <si>
    <t>زمان رفع توقف</t>
  </si>
  <si>
    <t>فصل توقف</t>
  </si>
  <si>
    <t>فصل</t>
  </si>
  <si>
    <t>بهار</t>
  </si>
  <si>
    <t>تابستان</t>
  </si>
  <si>
    <t>پاییز</t>
  </si>
  <si>
    <t>زمستان</t>
  </si>
  <si>
    <t>فصل رفع توقف</t>
  </si>
  <si>
    <t>مبنا MTTR</t>
  </si>
  <si>
    <t>مبنا MTBF</t>
  </si>
  <si>
    <t>Average of مبنا MTBF</t>
  </si>
  <si>
    <t>Average of مبنا MTTR</t>
  </si>
  <si>
    <t>1403/12/25</t>
  </si>
  <si>
    <t>1403/12/26</t>
  </si>
  <si>
    <t>1403/12/27</t>
  </si>
  <si>
    <t>1404/01/18</t>
  </si>
  <si>
    <t>1404/01/20</t>
  </si>
  <si>
    <t>1404/01/21</t>
  </si>
  <si>
    <t>1404/01/25</t>
  </si>
  <si>
    <t>شیرینک4</t>
  </si>
  <si>
    <t>Bevice Shring 4</t>
  </si>
  <si>
    <t>1404/01/26</t>
  </si>
  <si>
    <t>دستگاه چاپ 2</t>
  </si>
  <si>
    <t>Conveyor- 18 meter</t>
  </si>
  <si>
    <t>1404/01/27</t>
  </si>
  <si>
    <t>1404/01/31</t>
  </si>
  <si>
    <t>1404/02/02</t>
  </si>
  <si>
    <t>1404/01/17</t>
  </si>
  <si>
    <t>1404/02/01</t>
  </si>
  <si>
    <t>1404/02/03</t>
  </si>
  <si>
    <t>خرابی رولربرش</t>
  </si>
  <si>
    <t xml:space="preserve">              به علت قطعی سیم المنت تیغه برش نایلون</t>
  </si>
  <si>
    <t>به علت قطع شدن تسمه رولر</t>
  </si>
  <si>
    <t>تعویض تیغه تاکر</t>
  </si>
  <si>
    <t>خرابی اینسرت جای بند کفی 9200</t>
  </si>
  <si>
    <t xml:space="preserve">قطعی سیم شصتی استراری </t>
  </si>
  <si>
    <t>شکستگی بلبرینگ شفت تیغه</t>
  </si>
  <si>
    <t xml:space="preserve">خرابی سنسور تشخیص ساعت </t>
  </si>
  <si>
    <t>قطع شدن پی در پی برق و پاره شدن کاغذ</t>
  </si>
  <si>
    <t xml:space="preserve">تعویض بلبرینگ </t>
  </si>
  <si>
    <t xml:space="preserve">خرابی موتور کانوایر </t>
  </si>
  <si>
    <t>خرابی رولر و نبود قطعه جایگزین</t>
  </si>
  <si>
    <t xml:space="preserve">خرابی شفت فولی </t>
  </si>
  <si>
    <t xml:space="preserve">عدم چرخش آب چیلر </t>
  </si>
  <si>
    <t xml:space="preserve">توقف بر اثر احتراق کنتاکتور </t>
  </si>
  <si>
    <t>1404</t>
  </si>
  <si>
    <t>(Flexographic) Printing Machine</t>
  </si>
  <si>
    <t>Conveyor line 1/2</t>
  </si>
  <si>
    <t>1404/02/06</t>
  </si>
  <si>
    <t>1404/02/10</t>
  </si>
  <si>
    <t>1404/02/13</t>
  </si>
  <si>
    <t>1404/02/14</t>
  </si>
  <si>
    <t>1404/02/15</t>
  </si>
  <si>
    <t>1404/02/16</t>
  </si>
  <si>
    <t>1404/02/19</t>
  </si>
  <si>
    <t>1404/02/20</t>
  </si>
  <si>
    <t>1404/02/21</t>
  </si>
  <si>
    <t>1404/02/22</t>
  </si>
  <si>
    <t>1404/02/23</t>
  </si>
  <si>
    <t>1404/02/24</t>
  </si>
  <si>
    <t>1404/02/07</t>
  </si>
  <si>
    <t>خرابی رولر شل بودن بیش از حد رول ها</t>
  </si>
  <si>
    <t xml:space="preserve">خرابی رولر </t>
  </si>
  <si>
    <t xml:space="preserve">خرابی و شل بودن تسمه ها </t>
  </si>
  <si>
    <t xml:space="preserve">توقف در حین کار و جابجا کردن کنتاکت های کمکی </t>
  </si>
  <si>
    <t>خرابی سنسور القایی</t>
  </si>
  <si>
    <t xml:space="preserve">توقف دستگاه به دلیل قطعی مکرر برق </t>
  </si>
  <si>
    <t xml:space="preserve">یک لاین از کلید منیاتوری خراب شد </t>
  </si>
  <si>
    <t xml:space="preserve">اتصال کوتا یکی از اداکتور ها </t>
  </si>
  <si>
    <t>خرابی جک نگهدارنده تیغه</t>
  </si>
  <si>
    <t>خرابی بلبرینگ 6006</t>
  </si>
  <si>
    <t>خراب تسمه 450L</t>
  </si>
  <si>
    <t xml:space="preserve">تعویض غلطک هرز گرد کاغذ </t>
  </si>
  <si>
    <t xml:space="preserve">خراب غلطک سیلیکونی </t>
  </si>
  <si>
    <t xml:space="preserve">خرابی سرشفت سیلندر جمع کن </t>
  </si>
  <si>
    <t xml:space="preserve">به دلیل از جا در رفتن موتور کف از محل نصب خود </t>
  </si>
  <si>
    <t>خرابی شفت فولی و بلبرینگ 6006</t>
  </si>
  <si>
    <t>جدا شدن سیم فرمان از رله plc</t>
  </si>
  <si>
    <t>دستگاه شیرینک 2</t>
  </si>
  <si>
    <t>Bevice Shring2</t>
  </si>
  <si>
    <t xml:space="preserve"> Conveyer </t>
  </si>
  <si>
    <t>خط انتقال/نوار نقاله تفکیک معیوبی</t>
  </si>
  <si>
    <t xml:space="preserve">Shring2 </t>
  </si>
  <si>
    <t xml:space="preserve">خط انتقال/نوار نقاله تفکیک معیوبی </t>
  </si>
  <si>
    <t>1404/02/27</t>
  </si>
  <si>
    <t>1404/02/30</t>
  </si>
  <si>
    <t>1404/02/31</t>
  </si>
  <si>
    <t>1404/03/05</t>
  </si>
  <si>
    <t>1404/03/06</t>
  </si>
  <si>
    <t>1404/03/07</t>
  </si>
  <si>
    <t>1404/03/08</t>
  </si>
  <si>
    <t>1404/03/09</t>
  </si>
  <si>
    <t>1404/03/10</t>
  </si>
  <si>
    <t>1404/03/01</t>
  </si>
  <si>
    <t>1404/03/02</t>
  </si>
  <si>
    <t xml:space="preserve">خرابی ولوم دستگاه </t>
  </si>
  <si>
    <t>خرابی سنسور تیغه و لاستیک /راه اندازی موقت</t>
  </si>
  <si>
    <t>خرابی ریجکت کانوایر/بردهای داخل دستگاه با هدر متصل شده اند، احتمالا اتصالشون شل شده بوده</t>
  </si>
  <si>
    <t xml:space="preserve">شل شدن برد درون دستگاه </t>
  </si>
  <si>
    <t>خرابی سنسور تیغه و لاستیک</t>
  </si>
  <si>
    <t>به علت خرابی مغزی پرکن وعدم اتصال برق مغزی پرکن/راه اندازی برش۱ وتعمیر ونصب کابل برق دستگا</t>
  </si>
  <si>
    <t>قطع شدن سنسور وخاموشی خط به صورت کامل</t>
  </si>
  <si>
    <t>خرابی گیربکس/تعویض کامل الکتروموتور و گیربکس</t>
  </si>
  <si>
    <t>علت :خرابی سیلندر/ راه انداز ی موقت</t>
  </si>
  <si>
    <t>شفت بادی برش ۳ خراب است و باد خالی میکند /سوزن  تعویض شد</t>
  </si>
  <si>
    <t>بریدن پیچ جک تاکر /جک پنوماتیکی تاکر تعویض و کورس جک تنظیم شد</t>
  </si>
  <si>
    <t>شل بودن رول -خرابی رولر/سفت کردن پیچ رولر</t>
  </si>
  <si>
    <t xml:space="preserve"> علت خطایی 
conveyor width limit over</t>
  </si>
  <si>
    <t>علت خرابی قطعی سیم تغذیه dc</t>
  </si>
  <si>
    <t>رها شدن موتور مغزی پرکن توقف برش وخاموشی/جابجایی مغزی پرکن1و2</t>
  </si>
  <si>
    <t>خرابی کلید استارت/تعویض کلید استارت</t>
  </si>
  <si>
    <t>1403/12/21</t>
  </si>
  <si>
    <t>1404/03/11</t>
  </si>
  <si>
    <t>1404/03/13</t>
  </si>
  <si>
    <t>1404/03/17</t>
  </si>
  <si>
    <t>1404/03/21</t>
  </si>
  <si>
    <t>1404/03/22</t>
  </si>
  <si>
    <t>1404/03/24</t>
  </si>
  <si>
    <t>1404/03/25</t>
  </si>
  <si>
    <t>1404/03/26</t>
  </si>
  <si>
    <t>1404/03/27</t>
  </si>
  <si>
    <t>1404/03/28</t>
  </si>
  <si>
    <t>خرابی فن میانچاپ</t>
  </si>
  <si>
    <t>بازکردن و نصب مجدد بعد از رفع ایراد از فن میانچاپ</t>
  </si>
  <si>
    <t>خرابی انکودر-تعویض انکودر از دستگاه5</t>
  </si>
  <si>
    <t>خرابی کلید بالابرنده رولر</t>
  </si>
  <si>
    <t>خرابی جک بوم</t>
  </si>
  <si>
    <t>خرابی تیغه تاکر</t>
  </si>
  <si>
    <t>تعویض سیلندر جمع کن دستگاه چاپ</t>
  </si>
  <si>
    <t>اتصال سیم های زیر شیرینگ</t>
  </si>
  <si>
    <t>پوسیدگی و نشتی کویته سه قالب سردریچه</t>
  </si>
  <si>
    <t xml:space="preserve">Air Soldering(Oven) </t>
  </si>
  <si>
    <t>خرابی فن</t>
  </si>
  <si>
    <t>خارج شدن لیمیت سوییچ از تنظیم</t>
  </si>
  <si>
    <t xml:space="preserve">ریل دستگاه کوره شیرینک به صدا افتاده؛یازمنده گریس نسوز </t>
  </si>
  <si>
    <t>تویض برخی قطعات مکانیکی معیوب</t>
  </si>
  <si>
    <t>1404/04/02</t>
  </si>
  <si>
    <t>خرابی بلبرینگ قفلی</t>
  </si>
  <si>
    <t>1404/04/07</t>
  </si>
  <si>
    <t>خرابی کلید روشن و خاموش</t>
  </si>
  <si>
    <t>خرابی در سیمکشی شصتی استوپ و خرابی خود استوپ در 3 قسمت</t>
  </si>
  <si>
    <t>1404/04/17</t>
  </si>
  <si>
    <t>توقف دستگاه برش ۲ شکستن چر خ دنده رولر</t>
  </si>
  <si>
    <t>1404/04/18</t>
  </si>
  <si>
    <t>شکسته شدن جک تیغه تاکر درساعت6:45 توقف برش4</t>
  </si>
  <si>
    <t>1404/04/19</t>
  </si>
  <si>
    <t>خطای nozzle station دستگاه pick &amp; place
خطای مذکور پس از سرویس انجام شده برطرف گردید</t>
  </si>
  <si>
    <t>بریدگی تسمه 600</t>
  </si>
  <si>
    <t>تعویض تیغه های برش</t>
  </si>
  <si>
    <t>1404/04/23</t>
  </si>
  <si>
    <t xml:space="preserve"> پریدن تیغه های برش</t>
  </si>
  <si>
    <t>1404/04/25</t>
  </si>
  <si>
    <t>خطا در قرار دادن قطعه دستگاه pick&amp;place 
مشکل ذکر شده با اصلاح برنامه دستگاه برطرف شد</t>
  </si>
  <si>
    <t>توقف تولید به علت بالا بودن دمای FRONT ZONE</t>
  </si>
  <si>
    <t>به دلیل دمای بالای front zone</t>
  </si>
  <si>
    <t>1404/04/28</t>
  </si>
  <si>
    <t>ارور چیلر آب سرد و تعویض آب چیلر-خرابی رگولاتور فشار آب</t>
  </si>
  <si>
    <t>TR-CN-01</t>
  </si>
  <si>
    <t>1404/04/29</t>
  </si>
  <si>
    <t>شکستگی خط جدا کننده رول</t>
  </si>
  <si>
    <t>1404/05/01</t>
  </si>
  <si>
    <t>تعویض بوم دستگاه 4 به علت گشادشدن پایه جک63</t>
  </si>
  <si>
    <t>1404/05/02</t>
  </si>
  <si>
    <t>تعویض تاکر دستگاه برش 2</t>
  </si>
  <si>
    <t>1404/05/04</t>
  </si>
  <si>
    <t>1404/05/05</t>
  </si>
  <si>
    <t>خرابی و سوختن اتصال یکی از المنت های قالب سردریچه(این قالب برای فناپ نیست)</t>
  </si>
  <si>
    <t xml:space="preserve">خرابی المنت قالب </t>
  </si>
  <si>
    <t>1404/05/06</t>
  </si>
  <si>
    <t xml:space="preserve">خرابی چیلر اب </t>
  </si>
  <si>
    <t>Pick&amp;Place CP45</t>
  </si>
  <si>
    <t xml:space="preserve">خطای افت فشار هوای نازل </t>
  </si>
  <si>
    <t>شل شدن اتصالات به علت چکش زدن بر روی دستگاه</t>
  </si>
  <si>
    <t>خرابی المنت قالب - تعویض المنت قالب سردریچه و فیوزهای هات رانر</t>
  </si>
  <si>
    <t>دستگاه تزریق پلاستیک5</t>
  </si>
  <si>
    <t>PP-IM-05</t>
  </si>
  <si>
    <t xml:space="preserve">خرابی چیلر آب سرد </t>
  </si>
  <si>
    <t>سرور</t>
  </si>
  <si>
    <t>Server</t>
  </si>
  <si>
    <t>AB-SV-01</t>
  </si>
  <si>
    <t>خطای افت فشار هوای نازل -سرویس انجام شد و فعلا مشکل مرتفع شده</t>
  </si>
  <si>
    <t>قطع شدن سرور</t>
  </si>
  <si>
    <t>ماشین بازرسی اتوماتیک  برد</t>
  </si>
  <si>
    <t>1404/05/08</t>
  </si>
  <si>
    <t>خطای دستگاه AOI- با نظر آقای غلام پور داخل دستگاه رو هوا گرفتن</t>
  </si>
  <si>
    <t>1404/05/09</t>
  </si>
  <si>
    <t>خطای دستگاه AOI - طبق آخرین صحبتی که با آقای غلام پور شدقرار بر این شد که اگر خطای مجدد رخ دهد باید pc دستگاه رو تمیز کاری کنیم</t>
  </si>
  <si>
    <t xml:space="preserve">توقف دستگاه 4 بعلت خرابی سوکت هاترانر  سردریچه </t>
  </si>
  <si>
    <t>دستگاه مغزی پر کن2</t>
  </si>
  <si>
    <t>1404/05/10</t>
  </si>
  <si>
    <t>خرابی شفت</t>
  </si>
  <si>
    <t>دستگاه مغزی پر کن3</t>
  </si>
  <si>
    <t>1404/05/11</t>
  </si>
  <si>
    <t>1404/05/12</t>
  </si>
  <si>
    <t>1404/05/13</t>
  </si>
  <si>
    <t>1404/05/15</t>
  </si>
  <si>
    <t>قطع شدن سیم اتو</t>
  </si>
  <si>
    <t xml:space="preserve">خرابی تسمه مادر </t>
  </si>
  <si>
    <t>1404/05/19</t>
  </si>
  <si>
    <t>1404/05/18</t>
  </si>
  <si>
    <t>جهت تعمیر و تعویض اسپیسر</t>
  </si>
  <si>
    <t>تعویض غلطک آنیلوکس</t>
  </si>
  <si>
    <t>خرابی بلبرینگ رولر برش 4</t>
  </si>
  <si>
    <t>قطعی تسمه 450L</t>
  </si>
  <si>
    <t>پارگی تسمه 450L - دلیل آن گشاد شدن پایه نگه دارنده شفت چرخدنده تسمه</t>
  </si>
  <si>
    <t>MTBF (همه تجهیزات در زمان)</t>
  </si>
  <si>
    <t>1404/06/06</t>
  </si>
  <si>
    <t>TBF(hours)</t>
  </si>
  <si>
    <t>Average of TBF(hours)</t>
  </si>
  <si>
    <t>TTR(mints)</t>
  </si>
  <si>
    <t>Average of TTR(mints)</t>
  </si>
  <si>
    <t>چیلر- مدلEK230B1</t>
  </si>
  <si>
    <t>Plastic injection mold cooling chiller</t>
  </si>
  <si>
    <t>1404/05/25</t>
  </si>
  <si>
    <t>EDP-SH-02</t>
  </si>
  <si>
    <t>1404/05/27</t>
  </si>
  <si>
    <t>1404/05/28</t>
  </si>
  <si>
    <t>1404/05/29</t>
  </si>
  <si>
    <t>قالب TOP modem ONT</t>
  </si>
  <si>
    <t>Template TOP modem ONT</t>
  </si>
  <si>
    <t>PP-M0-01</t>
  </si>
  <si>
    <t>1404/06/03</t>
  </si>
  <si>
    <t>دستگاه مغزی پر کن4</t>
  </si>
  <si>
    <t>1404/06/05</t>
  </si>
  <si>
    <t>Brain filler2</t>
  </si>
  <si>
    <t>1404/06/08</t>
  </si>
  <si>
    <t>1404/06/09</t>
  </si>
  <si>
    <t>1404/06/11</t>
  </si>
  <si>
    <t xml:space="preserve"> شرینک3</t>
  </si>
  <si>
    <t>Shrink3</t>
  </si>
  <si>
    <t>EDP-SH-03</t>
  </si>
  <si>
    <t>1404/06/17</t>
  </si>
  <si>
    <t>1404/06/18</t>
  </si>
  <si>
    <t>1404/06/19</t>
  </si>
  <si>
    <t>قالب رویه مودم ONT</t>
  </si>
  <si>
    <t>1404/06/23</t>
  </si>
  <si>
    <t>Brain filler3</t>
  </si>
  <si>
    <t>1404/06/24</t>
  </si>
  <si>
    <t>1404/06/26</t>
  </si>
  <si>
    <t>دستگاه قطعه گذاری  CP45 -10A</t>
  </si>
  <si>
    <t>1404/06/27</t>
  </si>
  <si>
    <t>1404/06/28</t>
  </si>
  <si>
    <t>ماشین قطعه گذاری3 NXTIII</t>
  </si>
  <si>
    <t>1404/06/30</t>
  </si>
  <si>
    <t>1404/07/01</t>
  </si>
  <si>
    <t>1404/07/02</t>
  </si>
  <si>
    <t>1404/07/03</t>
  </si>
  <si>
    <t>1404/07/05</t>
  </si>
  <si>
    <t>1404/07/07</t>
  </si>
  <si>
    <t>1404/07/09</t>
  </si>
  <si>
    <t>1404/07/10</t>
  </si>
  <si>
    <t>1404/07/11</t>
  </si>
  <si>
    <t>1404/07/14</t>
  </si>
  <si>
    <t>1404/07/15</t>
  </si>
  <si>
    <t>ماشین برش3</t>
  </si>
  <si>
    <t>1404/07/16</t>
  </si>
  <si>
    <t>ماشین برش4</t>
  </si>
  <si>
    <t>1404/07/17</t>
  </si>
  <si>
    <t>1404/06/25</t>
  </si>
  <si>
    <t>1404/07/04</t>
  </si>
  <si>
    <t>دستگاه شرینگ2</t>
  </si>
  <si>
    <t xml:space="preserve">دستگاه شرینک 1 </t>
  </si>
  <si>
    <t>ماشین  برش4</t>
  </si>
  <si>
    <t>Automated Optical Inspection (AOI</t>
  </si>
  <si>
    <t>ماشین برش2</t>
  </si>
  <si>
    <t xml:space="preserve">Wave Soldering </t>
  </si>
  <si>
    <t xml:space="preserve">دستگاه چاپ تامپو 6bar/pp-1899 </t>
  </si>
  <si>
    <t xml:space="preserve">Tampo Print </t>
  </si>
  <si>
    <t>دستگاه قطعه گذاری</t>
  </si>
  <si>
    <t>Wave Soldering</t>
  </si>
  <si>
    <t>دستگاه برش 4</t>
  </si>
  <si>
    <t xml:space="preserve">دستگاه شرینک 2 </t>
  </si>
  <si>
    <t>قالب btm cat4</t>
  </si>
  <si>
    <t>Insole cat4</t>
  </si>
  <si>
    <t>TR-BF-03</t>
  </si>
  <si>
    <t>PP-IS-08</t>
  </si>
  <si>
    <t>1404/07/19</t>
  </si>
  <si>
    <t>1404/7/20</t>
  </si>
  <si>
    <t>1404/07/24</t>
  </si>
  <si>
    <t>1404/07/26</t>
  </si>
  <si>
    <t>1404/07/28</t>
  </si>
  <si>
    <t>1404/07/29</t>
  </si>
  <si>
    <t>1404/07/30</t>
  </si>
  <si>
    <t>1404/08/01</t>
  </si>
  <si>
    <t>1404/08/02</t>
  </si>
  <si>
    <t>1404/08/04</t>
  </si>
  <si>
    <t>1404/08/4</t>
  </si>
  <si>
    <t>1404/08/5</t>
  </si>
  <si>
    <t>1404/08/05</t>
  </si>
  <si>
    <t>1404/08/06</t>
  </si>
  <si>
    <t>1404/08/07</t>
  </si>
  <si>
    <t>1404/08/10</t>
  </si>
  <si>
    <t>1404/08/11</t>
  </si>
  <si>
    <t>1404/08/12</t>
  </si>
  <si>
    <t>1404/08/13</t>
  </si>
  <si>
    <t>1404/08/14</t>
  </si>
  <si>
    <t>1404/08/15</t>
  </si>
  <si>
    <t>1404/08/17</t>
  </si>
  <si>
    <t>1404/08/18</t>
  </si>
  <si>
    <t>1404/08/19</t>
  </si>
  <si>
    <t>1404/08/20</t>
  </si>
  <si>
    <t>1404/08/21</t>
  </si>
  <si>
    <t>1404/08/26</t>
  </si>
  <si>
    <t>1404/08/27</t>
  </si>
  <si>
    <t>1404/08/28</t>
  </si>
  <si>
    <t>1404/09/05</t>
  </si>
  <si>
    <t>1404/09/06</t>
  </si>
  <si>
    <t>1404/09/08</t>
  </si>
  <si>
    <t>1404/09/09</t>
  </si>
  <si>
    <t>1404/09/11</t>
  </si>
  <si>
    <t>1404/09/12</t>
  </si>
  <si>
    <t>1404/07/20</t>
  </si>
  <si>
    <t>1404/08/03</t>
  </si>
  <si>
    <t>1404/0804</t>
  </si>
  <si>
    <t>1404/08/22</t>
  </si>
  <si>
    <t>خرابی بلبرینگ و شفت رولر</t>
  </si>
  <si>
    <t>خرابی زنجیر و خورشیدی ها</t>
  </si>
  <si>
    <t>تعویض تیغه های برش و بلبرینگهای شفت چرخ دنده اتصال کابل های کنترل تیشن</t>
  </si>
  <si>
    <t>خرابی تیغه  های فرمان و رله ها</t>
  </si>
  <si>
    <t>علت خرابی عدم برش صحیح تیغه ها</t>
  </si>
  <si>
    <t>شکسته شدن خار و چرخ دنده رولر وپاره شدن تسمه</t>
  </si>
  <si>
    <t>مشکل برقی.سیم های فرمان و تیغه های فرمان (کلید سلکتوری)</t>
  </si>
  <si>
    <t xml:space="preserve">جابجایی گیربکس </t>
  </si>
  <si>
    <t>تنظیمات کنترل فاز</t>
  </si>
  <si>
    <t xml:space="preserve">خرابی رولر دستگاه </t>
  </si>
  <si>
    <t>خرابی رولر</t>
  </si>
  <si>
    <t>در رفتن زنجیر</t>
  </si>
  <si>
    <t>خطای ارتباط روشنایی</t>
  </si>
  <si>
    <t>برق(خرابی رله فرمان و تیغه استارت)</t>
  </si>
  <si>
    <t>خرابی جک دپو</t>
  </si>
  <si>
    <t>بردن تسمه چرخدنده</t>
  </si>
  <si>
    <t>نبود فنر  کشی</t>
  </si>
  <si>
    <t>تعویض تیغه های استارت .کلید سلکتوری.سیمهای فرمان</t>
  </si>
  <si>
    <t>خطای ارتباطی با روشنایی</t>
  </si>
  <si>
    <t>خطای دستگاه فلکس</t>
  </si>
  <si>
    <t xml:space="preserve">خرابی تیغه </t>
  </si>
  <si>
    <t>قطع شدن کابل المنت</t>
  </si>
  <si>
    <t xml:space="preserve">کمبود دما </t>
  </si>
  <si>
    <t>تیغه های فرمان</t>
  </si>
  <si>
    <t>رها شدن تسمه چرخ دنده شفت اسپیسر و شفت سلیکونی</t>
  </si>
  <si>
    <t xml:space="preserve">پیچ بین بدنه و صفحه درگیر شده بود
که باعث توقف الکتروموتور میشد
</t>
  </si>
  <si>
    <t>روغن ریزی دینام خط کانوایر</t>
  </si>
  <si>
    <t>لوله کشی</t>
  </si>
  <si>
    <t>تعویض جک پنوماتیک قلمی</t>
  </si>
  <si>
    <t xml:space="preserve">توقف دستگاه p&amp;p به دلیل خطای هولدر نازل </t>
  </si>
  <si>
    <t>خرابی مغزی پرکن</t>
  </si>
  <si>
    <t>توقف تولید از ساعت ۹ به علت خرابی ماژول یک دستگاه قطعه گذار</t>
  </si>
  <si>
    <t>اشکال در ترموستات</t>
  </si>
  <si>
    <t>اشکال در نازل</t>
  </si>
  <si>
    <t xml:space="preserve">آسیب دیدگی پران قالب درب پرینتر 9200 </t>
  </si>
  <si>
    <t>خرابی جک تاکر</t>
  </si>
  <si>
    <t>خرابی سنسور چشمی</t>
  </si>
  <si>
    <t>خرابی سنسور و تیغه دوخت پلاستیک</t>
  </si>
  <si>
    <t>قطع شدن سیم المنت شیرینگ رول</t>
  </si>
  <si>
    <t>خرابی چرخ دنده تنشن و چرخ دنده شفت بادی</t>
  </si>
  <si>
    <t>تعویض باتری و کالیبره هد ماژول ۵ دستگاه pick &amp; place</t>
  </si>
  <si>
    <t>خرابی چرخ دنده - تعویض دو چرخدنده خراب شفت بادی</t>
  </si>
  <si>
    <t>از کار افتادن دکمه استارت</t>
  </si>
  <si>
    <t>تعویض رگولاتور اب چیلر</t>
  </si>
  <si>
    <t>از کار افتادن هیدرو موتوردستگاه</t>
  </si>
  <si>
    <t>بدلیل رطوبت بالای هوا اختلال در عملکرد تجهیزات</t>
  </si>
  <si>
    <t>خرابی میکروسوییچ</t>
  </si>
  <si>
    <t>خرابی قالب</t>
  </si>
  <si>
    <t>خرابی کاسه نمد گیربکس موتور بالایی دستگاه چاپ ( روغن ریزی زیاد دارد وباعث میشود روی کاغذ ریخته شود)</t>
  </si>
  <si>
    <t>خرابی بلبرینگ قفلی 35 واحد چاپ3</t>
  </si>
  <si>
    <t>توقف دستگاه پرینتر به دلیل خطای mask y2</t>
  </si>
  <si>
    <t>خرابی پایه تیغه شرینک</t>
  </si>
  <si>
    <t>خرابی شیر باد جک شیرینگ</t>
  </si>
  <si>
    <t>خرابی جک نگهدارنده رول</t>
  </si>
  <si>
    <t>توقف تولید به مدت ۳۰ دقیقه، 
علت بررسی مشکل کلینر دستگاه پرینتر، 
مشکل در عدم پاشش الکل با فشار جهت تمیز کاری استنسیل می باشد.
طبق مشورت با شرکت گراندیل و بررسی های  صورت گرفته، به احتمال زیاد فشار پمپ کاهش پیدا کرده است</t>
  </si>
  <si>
    <t>بریدن پیچ نگهدارنده پین قالب در قیمت راهگاه</t>
  </si>
  <si>
    <t>خرابی پران قالب</t>
  </si>
  <si>
    <t>خرابی شفت بادی - با تعویض شفت بادی مشکل برطرف شد</t>
  </si>
  <si>
    <t>هرز بودن جای پیچ والف باد</t>
  </si>
  <si>
    <t>شکستن چرخ دنده شفت بادی</t>
  </si>
  <si>
    <t>خرابی کانکتور اسپ موتور</t>
  </si>
  <si>
    <t>خرابی کنترل فاز</t>
  </si>
  <si>
    <t>خرابی شفت بادی</t>
  </si>
  <si>
    <t>بریدن تسمه رولر</t>
  </si>
  <si>
    <t xml:space="preserve">دلیل نشتی هوا کلمپ هد
با تعویض اورینگ </t>
  </si>
  <si>
    <t xml:space="preserve">خرابی استارت </t>
  </si>
  <si>
    <t>خرابی برق تیغه  و سپس خرابی ریل تیغه و عدم موجودی (سفارش خرید دارد) جهت جهت جایگزینی</t>
  </si>
  <si>
    <t>شکستن پین پران قالب رویه مودم ONT</t>
  </si>
  <si>
    <t>خرابی سنسور نوری کانوایر متصل به شرینک</t>
  </si>
  <si>
    <t xml:space="preserve"> شکستن پین پران قالب رویه مودم ONT </t>
  </si>
  <si>
    <t xml:space="preserve"> شکستن پین پران قالب رویه مودم ONT - ارسال به تهران جهت تعمیر</t>
  </si>
  <si>
    <t>خرابی بلبرینگ شفت رولر</t>
  </si>
  <si>
    <t xml:space="preserve">خرابی سوزن شفت بادی </t>
  </si>
  <si>
    <t xml:space="preserve">خرابی دکمه استارت </t>
  </si>
  <si>
    <t>خرابی سنسور  تیغه</t>
  </si>
  <si>
    <t>د
لیمیت سویچ رو از دستگاه جدا کردیم و سنسور پراکسی میتی جایگزین شد</t>
  </si>
  <si>
    <t>خرابی شفت فولی مادر</t>
  </si>
  <si>
    <t>خرابی روکش گریپ</t>
  </si>
  <si>
    <t>1403</t>
  </si>
  <si>
    <t>پارتو MTBF سالن ها</t>
  </si>
  <si>
    <t>پارتو MTTR سالن ها</t>
  </si>
  <si>
    <t>فصل توقف - کلی</t>
  </si>
  <si>
    <t>ماه توقف - کلی</t>
  </si>
  <si>
    <t>سال توقف - کلی</t>
  </si>
  <si>
    <t>سالن - کلی</t>
  </si>
  <si>
    <t>مقایسه شاخص های سالن ها در بازه زمانی</t>
  </si>
  <si>
    <t>شاخص های سالن ها در بازه زمانی</t>
  </si>
  <si>
    <t>بررسی تک تجهیز در بازه زمانی</t>
  </si>
  <si>
    <t>کل کارخانه</t>
  </si>
  <si>
    <t>سال توقف - گزارش جامع</t>
  </si>
  <si>
    <t>فصل توقف - گزارش جامع</t>
  </si>
  <si>
    <t>تجهیزات الکترونیک</t>
  </si>
  <si>
    <t>تزریق</t>
  </si>
  <si>
    <t>رول</t>
  </si>
  <si>
    <t>برد الکترونیک</t>
  </si>
  <si>
    <t>ایستگاهی</t>
  </si>
  <si>
    <t>ساختمان</t>
  </si>
  <si>
    <t>کارخانه خرمشهر</t>
  </si>
  <si>
    <t>گزارش جامع شاخص MTTR و MTBF کارخانه خرمشهر</t>
  </si>
  <si>
    <t>سالن تولید ایستگاهی</t>
  </si>
  <si>
    <t>سالن تولید برد الکترونیک</t>
  </si>
  <si>
    <t>سالن تولید کاغذ حرارتی</t>
  </si>
  <si>
    <t>سالن تجهیزات الکترونیک</t>
  </si>
  <si>
    <t>11</t>
  </si>
  <si>
    <t>14</t>
  </si>
  <si>
    <t>28</t>
  </si>
  <si>
    <t>29</t>
  </si>
  <si>
    <t>19</t>
  </si>
  <si>
    <t>قالب کفی 9200</t>
  </si>
  <si>
    <t>Insole 9200</t>
  </si>
  <si>
    <t>گیر کردن کشویی 9200</t>
  </si>
  <si>
    <t>PP-IS-01</t>
  </si>
  <si>
    <t>PP-DF-01</t>
  </si>
  <si>
    <t>قالب سردریچه</t>
  </si>
  <si>
    <t>قالب درب پرینتر 9200</t>
  </si>
  <si>
    <t>زیر ساخت</t>
  </si>
  <si>
    <t>بریدگی  پیچ اسپیرو</t>
  </si>
  <si>
    <t>1404/09/15</t>
  </si>
  <si>
    <t>1404/10/15</t>
  </si>
  <si>
    <t>1404/09/16</t>
  </si>
  <si>
    <t>1404/10/17</t>
  </si>
  <si>
    <t>Injection Moulding Machine 1</t>
  </si>
  <si>
    <t>1404/09/17</t>
  </si>
  <si>
    <t>1404/10/20</t>
  </si>
  <si>
    <t>ایراد در عملکرد PLC- باتعویض فلت ارتباطی مشکل حل شد</t>
  </si>
  <si>
    <t>1404/09/23</t>
  </si>
  <si>
    <t>1404/10/23</t>
  </si>
  <si>
    <t>شکستن پین قالب top cat4</t>
  </si>
  <si>
    <t>1404/09/19</t>
  </si>
  <si>
    <t>1404/10/19</t>
  </si>
  <si>
    <t>توقف گیربکس</t>
  </si>
  <si>
    <t xml:space="preserve"> تعویض فولی.شفت فولی.بلبرینگ های شفت وتسمه ۴۵۰L</t>
  </si>
  <si>
    <t>1404/09/25</t>
  </si>
  <si>
    <t>تعویض فولی اصلی به همراه شفت و۲ عدد بلبرینگ
تعویض بلبرینگ های شفت چرخ دنده 
تعویض بلبرینگ های چرخنده تسمه ۶۰۰
تنظیم جک بالا بر رول</t>
  </si>
  <si>
    <t>1404/10/07</t>
  </si>
  <si>
    <t>باز شدن رولر</t>
  </si>
  <si>
    <t>1404/10/09</t>
  </si>
  <si>
    <t xml:space="preserve">تعویض زنجیر جمع کن </t>
  </si>
  <si>
    <t>PP-IS-09</t>
  </si>
  <si>
    <t>قالب TOP cat5</t>
  </si>
  <si>
    <t>1404/07/12</t>
  </si>
  <si>
    <t>1404/10/02</t>
  </si>
  <si>
    <t>1404/10/10</t>
  </si>
  <si>
    <t>تنظیم نبودن کمپرسور متناسب با تولید سالن smt</t>
  </si>
  <si>
    <t>خرابی سنسور</t>
  </si>
  <si>
    <t>1404/10/18</t>
  </si>
  <si>
    <t xml:space="preserve">علت روغن ریزی .خارج شدن کاسه نمد از روی گیربکس
</t>
  </si>
  <si>
    <t>1404/11/01</t>
  </si>
  <si>
    <t>قطع شدن تسمه 600L</t>
  </si>
  <si>
    <t>1404/11/02</t>
  </si>
  <si>
    <t>رفع توقف رولر با تعویض شفت فولی، بلبرینگ ها ورولر وچرخ دنده تسمه</t>
  </si>
  <si>
    <t>خرابی تیغه های بالا و پایین</t>
  </si>
  <si>
    <t>1404/11/04</t>
  </si>
  <si>
    <t>پارگی تسمه رولر / تعویض تسمه و تنظیم رولر</t>
  </si>
  <si>
    <t>پاره شدن تسمه رولر- تسمه600L</t>
  </si>
  <si>
    <t>1404/11/07</t>
  </si>
  <si>
    <t>TR-BF-02</t>
  </si>
  <si>
    <t>1404/11/08</t>
  </si>
  <si>
    <t xml:space="preserve">شکسته شدت صفحه فلزی دوار </t>
  </si>
  <si>
    <t>دو فاز شدن موتور  کفی مغزی پرکن</t>
  </si>
  <si>
    <t>1404/11/09</t>
  </si>
  <si>
    <t>1404/11/11</t>
  </si>
  <si>
    <t>بریده شدن پیچ شفت بادی</t>
  </si>
  <si>
    <t xml:space="preserve">شکستن پران قالب btm cat4  </t>
  </si>
  <si>
    <t>1404/11/13</t>
  </si>
  <si>
    <t>1404/11/14</t>
  </si>
  <si>
    <t>قطع شدن تسمه ۶۰۰L</t>
  </si>
  <si>
    <t>قالب TOP cat4</t>
  </si>
  <si>
    <t>PP-IS-10</t>
  </si>
  <si>
    <t>قالب btm cat5</t>
  </si>
  <si>
    <t>ماشین بازرسی چسب/ خمیر قلع</t>
  </si>
  <si>
    <t>ماشین قطعه گذاری3</t>
  </si>
  <si>
    <t>خط انتقال/نوار نقاله واسط3</t>
  </si>
  <si>
    <t>خط انتقال/نوار نقاله واسط2</t>
  </si>
  <si>
    <t>خط انتقال/نوار نقاله واسط4</t>
  </si>
  <si>
    <t>خط انتقال/نوار نقاله بازرسی</t>
  </si>
  <si>
    <t>خط انتقال/نوار نقاله واسط5</t>
  </si>
  <si>
    <t>ماشین بازرسی اتوماتیک  برد1</t>
  </si>
  <si>
    <t xml:space="preserve">ماشین بازرسی اتوماتیک  برد2 </t>
  </si>
  <si>
    <t>خط انتقال/نوار نقاله تفکیک معیوبی2</t>
  </si>
  <si>
    <t>خط انتقال/نوار نقاله تفکیک معیوبی1</t>
  </si>
  <si>
    <t>باربردار برد خام2</t>
  </si>
  <si>
    <t>بارگذار برد خام1</t>
  </si>
  <si>
    <t>بارگذار حلقه ی قطعه1</t>
  </si>
  <si>
    <t>منبع تغذیه بدون وقفه</t>
  </si>
  <si>
    <t>1404/11/16</t>
  </si>
  <si>
    <t>1404/11/17</t>
  </si>
  <si>
    <t>خرابی دکمه استارت - ایراد در کانکشن ارتباطی</t>
  </si>
  <si>
    <t>18</t>
  </si>
  <si>
    <t>25</t>
  </si>
  <si>
    <t>26</t>
  </si>
  <si>
    <t>31</t>
  </si>
  <si>
    <t>06</t>
  </si>
  <si>
    <t>21</t>
  </si>
  <si>
    <t>23</t>
  </si>
  <si>
    <t>27</t>
  </si>
  <si>
    <t>09</t>
  </si>
  <si>
    <t>17</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</si>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</sst>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quot;/&quot;00&quot;/&quot;00"/>
    <numFmt numFmtId="166" formatCode="[$-1010429]yyyy/mm/dd\ hh:mm\ ;@"/>
    <numFmt numFmtId="167" formatCode="[$-160429]yyyy/mm/dd;@"/>
    <numFmt numFmtId="168" formatCode="[$-1010409]hh:mm;@"/>
    <numFmt numFmtId="169" formatCode="[$-160429]yyyy;@"/>
    <numFmt numFmtId="170" formatCode="0.0"/>
  </numFmts>
  <fonts count="16">
    <font>
      <sz val="11"/>
      <color theme="1"/>
      <name val="Calibri"/>
      <family val="2"/>
      <charset val="178"/>
      <scheme val="minor"/>
    </font>
    <font>
      <sz val="8"/>
      <name val="Calibri"/>
      <family val="2"/>
      <charset val="178"/>
      <scheme val="minor"/>
    </font>
    <font>
      <sz val="11"/>
      <color theme="1"/>
      <name val="Cambria"/>
      <family val="1"/>
      <scheme val="major"/>
    </font>
    <font>
      <sz val="18"/>
      <color theme="1"/>
      <name val="Calibri"/>
      <family val="2"/>
      <charset val="178"/>
      <scheme val="minor"/>
    </font>
    <font>
      <b/>
      <sz val="18"/>
      <color theme="1"/>
      <name val="Calibri"/>
      <family val="2"/>
      <scheme val="minor"/>
    </font>
    <font>
      <sz val="16"/>
      <color theme="1"/>
      <name val="Calibri"/>
      <family val="2"/>
      <charset val="178"/>
      <scheme val="minor"/>
    </font>
    <font>
      <sz val="11"/>
      <color rgb="FF091E42"/>
      <name val="Shabnam"/>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scheme val="minor"/>
    </font>
    <font>
      <sz val="26"/>
      <color theme="1"/>
      <name val="Calibri"/>
      <family val="2"/>
      <charset val="178"/>
      <scheme val="minor"/>
    </font>
    <font>
      <sz val="11"/>
      <color theme="0"/>
      <name val="Calibri"/>
      <family val="2"/>
      <charset val="178"/>
      <scheme val="minor"/>
    </font>
    <font>
      <b/>
      <sz val="14"/>
      <color theme="1"/>
      <name val="B Nazanin"/>
      <charset val="178"/>
    </font>
    <font>
      <b/>
      <sz val="14"/>
      <color theme="0"/>
      <name val="B Nazanin"/>
      <charset val="178"/>
    </font>
    <font>
      <b/>
      <sz val="16"/>
      <color theme="0"/>
      <name val="B Nazanin"/>
      <charset val="178"/>
    </font>
  </fonts>
  <fills count="22">
    <fill>
      <patternFill patternType="none"/>
    </fill>
    <fill>
      <patternFill patternType="gray125"/>
    </fill>
    <fill>
      <patternFill patternType="solid">
        <fgColor rgb="FF00B050"/>
        <bgColor indexed="64"/>
      </patternFill>
    </fill>
    <fill>
      <patternFill patternType="solid">
        <fgColor rgb="FFFF505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2" tint="-0.49998474074526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1" tint="4.9989318521683403E-2"/>
        <bgColor indexed="64"/>
      </patternFill>
    </fill>
    <fill>
      <patternFill patternType="solid">
        <fgColor rgb="FFFFCC00"/>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3" tint="-0.249977111117893"/>
        <bgColor indexed="64"/>
      </patternFill>
    </fill>
  </fills>
  <borders count="15">
    <border>
      <left/>
      <right/>
      <top/>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29">
    <xf numFmtId="0" fontId="0" fillId="0" borderId="0" xfId="0"/>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horizontal="center"/>
    </xf>
    <xf numFmtId="0" fontId="0" fillId="0" borderId="0" xfId="0" applyAlignment="1">
      <alignment horizontal="center" vertical="top" wrapText="1"/>
    </xf>
    <xf numFmtId="169" fontId="0" fillId="0" borderId="0" xfId="0" applyNumberFormat="1"/>
    <xf numFmtId="166" fontId="0" fillId="0" borderId="0" xfId="0" applyNumberFormat="1" applyAlignment="1">
      <alignment horizontal="center"/>
    </xf>
    <xf numFmtId="0" fontId="0" fillId="4" borderId="3" xfId="0" applyFill="1" applyBorder="1" applyAlignment="1">
      <alignment horizontal="center"/>
    </xf>
    <xf numFmtId="0" fontId="0" fillId="5" borderId="3" xfId="0" applyFill="1" applyBorder="1" applyAlignment="1">
      <alignment horizontal="center"/>
    </xf>
    <xf numFmtId="0" fontId="0" fillId="4" borderId="5" xfId="0" applyFill="1" applyBorder="1" applyAlignment="1">
      <alignment horizontal="center"/>
    </xf>
    <xf numFmtId="0" fontId="0" fillId="4" borderId="3" xfId="0" applyFill="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6" borderId="0" xfId="0" applyFill="1"/>
    <xf numFmtId="167" fontId="0" fillId="6" borderId="0" xfId="0" applyNumberFormat="1" applyFill="1"/>
    <xf numFmtId="0" fontId="2" fillId="6" borderId="0" xfId="0" applyFont="1" applyFill="1" applyAlignment="1">
      <alignment horizontal="center"/>
    </xf>
    <xf numFmtId="168" fontId="0" fillId="6" borderId="0" xfId="0" applyNumberFormat="1" applyFill="1"/>
    <xf numFmtId="0" fontId="0" fillId="6" borderId="0" xfId="0" applyFill="1" applyAlignment="1">
      <alignment horizontal="center"/>
    </xf>
    <xf numFmtId="0" fontId="0" fillId="0" borderId="1" xfId="0" applyBorder="1"/>
    <xf numFmtId="0" fontId="0" fillId="0" borderId="0" xfId="0" applyAlignment="1">
      <alignment wrapText="1"/>
    </xf>
    <xf numFmtId="165" fontId="0" fillId="0" borderId="0" xfId="0" applyNumberFormat="1"/>
    <xf numFmtId="0" fontId="0" fillId="0" borderId="0" xfId="0" applyAlignment="1">
      <alignment horizontal="right" vertical="top" textRotation="90" wrapText="1"/>
    </xf>
    <xf numFmtId="170" fontId="0" fillId="0" borderId="0" xfId="0" applyNumberFormat="1"/>
    <xf numFmtId="0" fontId="3" fillId="0" borderId="0" xfId="0" applyFont="1" applyAlignment="1">
      <alignment horizontal="center"/>
    </xf>
    <xf numFmtId="0" fontId="0" fillId="12" borderId="0" xfId="0" applyFill="1"/>
    <xf numFmtId="0" fontId="7" fillId="4" borderId="3" xfId="0" applyFont="1" applyFill="1" applyBorder="1" applyAlignment="1">
      <alignment horizontal="center"/>
    </xf>
    <xf numFmtId="0" fontId="7" fillId="4" borderId="4" xfId="0" applyFont="1" applyFill="1" applyBorder="1" applyAlignment="1">
      <alignment horizontal="center"/>
    </xf>
    <xf numFmtId="0" fontId="0" fillId="0" borderId="0" xfId="0" applyAlignment="1">
      <alignment horizontal="right"/>
    </xf>
    <xf numFmtId="0" fontId="0" fillId="0" borderId="0" xfId="0" applyAlignment="1">
      <alignment horizontal="right" indent="1"/>
    </xf>
    <xf numFmtId="0" fontId="0" fillId="0" borderId="0" xfId="0" applyAlignment="1">
      <alignment horizontal="right" indent="2"/>
    </xf>
    <xf numFmtId="0" fontId="0" fillId="0" borderId="0" xfId="0" pivotButton="1"/>
    <xf numFmtId="0" fontId="0" fillId="0" borderId="0" xfId="0" applyAlignment="1">
      <alignment horizontal="right" indent="3"/>
    </xf>
    <xf numFmtId="0" fontId="8" fillId="4" borderId="4" xfId="0" applyFont="1" applyFill="1" applyBorder="1" applyAlignment="1">
      <alignment horizontal="center"/>
    </xf>
    <xf numFmtId="0" fontId="9" fillId="4" borderId="4" xfId="0" applyFont="1" applyFill="1" applyBorder="1" applyAlignment="1">
      <alignment horizontal="center"/>
    </xf>
    <xf numFmtId="0" fontId="0" fillId="4" borderId="0" xfId="0" applyFill="1" applyAlignment="1">
      <alignment horizontal="center"/>
    </xf>
    <xf numFmtId="0" fontId="0" fillId="0" borderId="0" xfId="0" applyAlignment="1">
      <alignment vertical="top"/>
    </xf>
    <xf numFmtId="0" fontId="0" fillId="0" borderId="0" xfId="0" applyAlignment="1" applyProtection="1">
      <alignment horizontal="center"/>
      <protection locked="0"/>
    </xf>
    <xf numFmtId="0" fontId="0" fillId="0" borderId="0" xfId="0" applyAlignment="1" applyProtection="1">
      <alignment horizontal="right" vertical="top" wrapText="1"/>
      <protection locked="0"/>
    </xf>
    <xf numFmtId="0" fontId="0" fillId="0" borderId="7" xfId="0" applyBorder="1" applyAlignment="1" applyProtection="1">
      <alignment horizontal="center"/>
      <protection locked="0"/>
    </xf>
    <xf numFmtId="0" fontId="0" fillId="0" borderId="7" xfId="0" applyBorder="1" applyAlignment="1" applyProtection="1">
      <alignment horizontal="center" wrapText="1"/>
      <protection locked="0"/>
    </xf>
    <xf numFmtId="0" fontId="0" fillId="7" borderId="7" xfId="0" applyFill="1" applyBorder="1" applyAlignment="1" applyProtection="1">
      <alignment horizontal="center"/>
      <protection locked="0"/>
    </xf>
    <xf numFmtId="0" fontId="0" fillId="8" borderId="6" xfId="0" applyFill="1" applyBorder="1" applyAlignment="1" applyProtection="1">
      <alignment horizontal="center" wrapText="1"/>
      <protection locked="0"/>
    </xf>
    <xf numFmtId="0" fontId="0" fillId="0" borderId="6" xfId="0" applyBorder="1" applyAlignment="1" applyProtection="1">
      <alignment horizontal="center"/>
      <protection locked="0"/>
    </xf>
    <xf numFmtId="0" fontId="0" fillId="0" borderId="6" xfId="0" applyBorder="1" applyAlignment="1" applyProtection="1">
      <alignment horizontal="center" vertical="center"/>
      <protection locked="0"/>
    </xf>
    <xf numFmtId="0" fontId="0" fillId="0" borderId="8" xfId="0" applyBorder="1" applyAlignment="1" applyProtection="1">
      <alignment horizontal="center"/>
      <protection locked="0"/>
    </xf>
    <xf numFmtId="0" fontId="6" fillId="0" borderId="0" xfId="0" applyFont="1" applyAlignment="1" applyProtection="1">
      <alignment vertical="center"/>
      <protection locked="0"/>
    </xf>
    <xf numFmtId="0" fontId="6" fillId="0" borderId="6" xfId="0" applyFont="1" applyBorder="1" applyAlignment="1" applyProtection="1">
      <alignment horizontal="center"/>
      <protection locked="0"/>
    </xf>
    <xf numFmtId="0" fontId="0" fillId="0" borderId="6"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8" xfId="0" applyBorder="1" applyAlignment="1" applyProtection="1">
      <alignment horizontal="center" wrapText="1"/>
      <protection locked="0"/>
    </xf>
    <xf numFmtId="0" fontId="0" fillId="0" borderId="6" xfId="0" applyBorder="1" applyAlignment="1" applyProtection="1">
      <alignment horizontal="center" wrapText="1"/>
      <protection locked="0"/>
    </xf>
    <xf numFmtId="0" fontId="0" fillId="0" borderId="0" xfId="0" applyProtection="1">
      <protection locked="0"/>
    </xf>
    <xf numFmtId="0" fontId="0" fillId="2" borderId="0" xfId="0" applyFill="1" applyAlignment="1" applyProtection="1">
      <alignment horizontal="right" vertical="top" wrapText="1"/>
      <protection locked="0"/>
    </xf>
    <xf numFmtId="20" fontId="0" fillId="0" borderId="0" xfId="0" applyNumberFormat="1" applyAlignment="1" applyProtection="1">
      <alignment horizontal="center"/>
      <protection locked="0"/>
    </xf>
    <xf numFmtId="20" fontId="0" fillId="0" borderId="0" xfId="0" applyNumberFormat="1" applyAlignment="1" applyProtection="1">
      <alignment horizontal="center" vertical="center"/>
      <protection locked="0"/>
    </xf>
    <xf numFmtId="0" fontId="0" fillId="0" borderId="2" xfId="0" applyBorder="1" applyProtection="1">
      <protection locked="0"/>
    </xf>
    <xf numFmtId="164" fontId="0" fillId="0" borderId="6" xfId="0" applyNumberFormat="1" applyBorder="1" applyAlignment="1" applyProtection="1">
      <alignment horizontal="center"/>
      <protection locked="0"/>
    </xf>
    <xf numFmtId="164" fontId="0" fillId="0" borderId="8" xfId="0" applyNumberFormat="1" applyBorder="1" applyAlignment="1" applyProtection="1">
      <alignment horizontal="center"/>
      <protection locked="0"/>
    </xf>
    <xf numFmtId="164" fontId="0" fillId="0" borderId="6" xfId="0" applyNumberFormat="1" applyBorder="1" applyAlignment="1" applyProtection="1">
      <alignment horizontal="center" vertical="center"/>
      <protection locked="0"/>
    </xf>
    <xf numFmtId="0" fontId="0" fillId="3" borderId="0" xfId="0" applyFill="1" applyAlignment="1" applyProtection="1">
      <alignment horizontal="right" vertical="top" wrapText="1"/>
      <protection locked="0"/>
    </xf>
    <xf numFmtId="164" fontId="0" fillId="9" borderId="8" xfId="0" applyNumberFormat="1" applyFill="1" applyBorder="1" applyAlignment="1" applyProtection="1">
      <alignment horizontal="center"/>
      <protection locked="0"/>
    </xf>
    <xf numFmtId="0" fontId="0" fillId="0" borderId="0" xfId="0" applyAlignment="1" applyProtection="1">
      <alignment horizontal="right" vertical="top"/>
      <protection locked="0"/>
    </xf>
    <xf numFmtId="0" fontId="0" fillId="5" borderId="4" xfId="0" applyFill="1" applyBorder="1" applyAlignment="1" applyProtection="1">
      <alignment horizontal="center"/>
      <protection locked="0"/>
    </xf>
    <xf numFmtId="0" fontId="0" fillId="4" borderId="3" xfId="0" applyFill="1" applyBorder="1" applyAlignment="1" applyProtection="1">
      <alignment horizontal="center"/>
      <protection locked="0"/>
    </xf>
    <xf numFmtId="0" fontId="0" fillId="5" borderId="0" xfId="0" applyFill="1" applyAlignment="1" applyProtection="1">
      <alignment horizontal="center"/>
      <protection locked="0"/>
    </xf>
    <xf numFmtId="0" fontId="0" fillId="11" borderId="0" xfId="0" applyFill="1" applyAlignment="1">
      <alignment horizontal="center"/>
    </xf>
    <xf numFmtId="0" fontId="0" fillId="11" borderId="0" xfId="0" applyFill="1"/>
    <xf numFmtId="0" fontId="0" fillId="13" borderId="0" xfId="0" applyFill="1"/>
    <xf numFmtId="0" fontId="15" fillId="21" borderId="0" xfId="0" applyFont="1" applyFill="1" applyAlignment="1">
      <alignment horizontal="center"/>
    </xf>
    <xf numFmtId="0" fontId="0" fillId="14" borderId="9" xfId="0" applyFill="1" applyBorder="1"/>
    <xf numFmtId="0" fontId="0" fillId="14" borderId="10" xfId="0" applyFill="1" applyBorder="1"/>
    <xf numFmtId="0" fontId="0" fillId="20" borderId="11" xfId="0" applyFill="1" applyBorder="1"/>
    <xf numFmtId="0" fontId="0" fillId="20" borderId="12" xfId="0" applyFill="1" applyBorder="1"/>
    <xf numFmtId="0" fontId="0" fillId="19" borderId="11" xfId="0" applyFill="1" applyBorder="1"/>
    <xf numFmtId="0" fontId="0" fillId="19" borderId="12" xfId="0" applyFill="1" applyBorder="1"/>
    <xf numFmtId="0" fontId="0" fillId="17" borderId="11" xfId="0" applyFill="1" applyBorder="1"/>
    <xf numFmtId="0" fontId="0" fillId="17" borderId="12" xfId="0" applyFill="1" applyBorder="1"/>
    <xf numFmtId="0" fontId="0" fillId="15" borderId="11" xfId="0" applyFill="1" applyBorder="1"/>
    <xf numFmtId="0" fontId="0" fillId="15" borderId="12" xfId="0" applyFill="1" applyBorder="1"/>
    <xf numFmtId="0" fontId="0" fillId="16" borderId="11" xfId="0" applyFill="1" applyBorder="1"/>
    <xf numFmtId="0" fontId="0" fillId="16" borderId="12" xfId="0" applyFill="1" applyBorder="1"/>
    <xf numFmtId="0" fontId="12" fillId="18" borderId="11" xfId="0" applyFont="1" applyFill="1" applyBorder="1"/>
    <xf numFmtId="0" fontId="12" fillId="18" borderId="12" xfId="0" applyFont="1" applyFill="1" applyBorder="1"/>
    <xf numFmtId="2" fontId="0" fillId="0" borderId="0" xfId="0" applyNumberFormat="1" applyAlignment="1">
      <alignment horizontal="center"/>
    </xf>
    <xf numFmtId="0" fontId="7" fillId="4" borderId="4" xfId="0" applyFont="1" applyFill="1" applyBorder="1" applyAlignment="1">
      <alignment horizontal="center" vertical="center"/>
    </xf>
    <xf numFmtId="0" fontId="0" fillId="0" borderId="0" xfId="0"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0" fillId="4" borderId="3" xfId="0" applyFill="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0" fillId="5" borderId="4" xfId="0" applyFill="1" applyBorder="1" applyAlignment="1" applyProtection="1">
      <alignment horizontal="center" vertical="center"/>
      <protection locked="0"/>
    </xf>
    <xf numFmtId="0" fontId="0" fillId="4" borderId="3" xfId="0" applyFill="1" applyBorder="1" applyAlignment="1">
      <alignment horizontal="center" vertical="center"/>
    </xf>
    <xf numFmtId="164" fontId="0" fillId="0" borderId="8" xfId="0" applyNumberFormat="1" applyBorder="1" applyAlignment="1" applyProtection="1">
      <alignment horizontal="center" vertical="center"/>
      <protection locked="0"/>
    </xf>
    <xf numFmtId="166" fontId="0" fillId="0" borderId="0" xfId="0" applyNumberForma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vertical="center"/>
    </xf>
    <xf numFmtId="0" fontId="15" fillId="21" borderId="0" xfId="0" applyFont="1" applyFill="1" applyAlignment="1">
      <alignment horizontal="center"/>
    </xf>
    <xf numFmtId="0" fontId="13" fillId="15" borderId="11" xfId="0" applyFont="1" applyFill="1" applyBorder="1" applyAlignment="1">
      <alignment horizontal="center" vertical="center"/>
    </xf>
    <xf numFmtId="0" fontId="13" fillId="15" borderId="12" xfId="0" applyFont="1" applyFill="1" applyBorder="1" applyAlignment="1">
      <alignment horizontal="center" vertical="center"/>
    </xf>
    <xf numFmtId="0" fontId="13" fillId="17" borderId="11" xfId="0" applyFont="1" applyFill="1" applyBorder="1" applyAlignment="1">
      <alignment horizontal="center" vertical="center"/>
    </xf>
    <xf numFmtId="0" fontId="13" fillId="17" borderId="12" xfId="0" applyFont="1" applyFill="1" applyBorder="1" applyAlignment="1">
      <alignment horizontal="center" vertical="center"/>
    </xf>
    <xf numFmtId="0" fontId="13" fillId="16" borderId="11" xfId="0" applyFont="1" applyFill="1" applyBorder="1" applyAlignment="1">
      <alignment horizontal="center" vertical="center"/>
    </xf>
    <xf numFmtId="0" fontId="13" fillId="16" borderId="12" xfId="0" applyFont="1" applyFill="1" applyBorder="1" applyAlignment="1">
      <alignment horizontal="center" vertical="center"/>
    </xf>
    <xf numFmtId="0" fontId="14" fillId="18" borderId="13" xfId="0" applyFont="1" applyFill="1" applyBorder="1" applyAlignment="1">
      <alignment horizontal="center" vertical="center"/>
    </xf>
    <xf numFmtId="0" fontId="14" fillId="18" borderId="14" xfId="0" applyFont="1" applyFill="1" applyBorder="1" applyAlignment="1">
      <alignment horizontal="center" vertical="center"/>
    </xf>
    <xf numFmtId="0" fontId="13" fillId="19" borderId="11" xfId="0" applyFont="1" applyFill="1" applyBorder="1" applyAlignment="1">
      <alignment horizontal="center" vertical="center"/>
    </xf>
    <xf numFmtId="0" fontId="13" fillId="19" borderId="12" xfId="0" applyFont="1" applyFill="1" applyBorder="1" applyAlignment="1">
      <alignment horizontal="center" vertical="center"/>
    </xf>
    <xf numFmtId="0" fontId="13" fillId="20" borderId="11" xfId="0" applyFont="1" applyFill="1" applyBorder="1" applyAlignment="1">
      <alignment horizontal="center" vertical="center"/>
    </xf>
    <xf numFmtId="0" fontId="13" fillId="20" borderId="12" xfId="0" applyFont="1" applyFill="1" applyBorder="1" applyAlignment="1">
      <alignment horizontal="center" vertical="center"/>
    </xf>
    <xf numFmtId="0" fontId="13" fillId="14" borderId="11" xfId="0" applyFont="1" applyFill="1" applyBorder="1" applyAlignment="1">
      <alignment horizontal="center" vertical="center"/>
    </xf>
    <xf numFmtId="0" fontId="13" fillId="14" borderId="12" xfId="0" applyFont="1" applyFill="1" applyBorder="1" applyAlignment="1">
      <alignment horizontal="center" vertical="center"/>
    </xf>
    <xf numFmtId="0" fontId="11" fillId="12" borderId="0" xfId="0" applyFont="1" applyFill="1" applyAlignment="1">
      <alignment horizontal="center"/>
    </xf>
    <xf numFmtId="0" fontId="11" fillId="11" borderId="0" xfId="0" applyFont="1" applyFill="1" applyAlignment="1">
      <alignment horizontal="center"/>
    </xf>
    <xf numFmtId="0" fontId="0" fillId="11" borderId="0" xfId="0" applyFill="1" applyAlignment="1">
      <alignment horizontal="center"/>
    </xf>
    <xf numFmtId="0" fontId="4" fillId="10" borderId="7" xfId="0" applyFont="1" applyFill="1" applyBorder="1" applyAlignment="1">
      <alignment horizontal="center"/>
    </xf>
    <xf numFmtId="0" fontId="0" fillId="9" borderId="0" xfId="0" applyFill="1" applyAlignment="1">
      <alignment horizontal="center"/>
    </xf>
    <xf numFmtId="0" fontId="5" fillId="11" borderId="0" xfId="0" applyFont="1" applyFill="1" applyAlignment="1">
      <alignment horizontal="center" readingOrder="2"/>
    </xf>
    <xf numFmtId="0" fontId="10" fillId="0" borderId="0" xfId="0" applyFont="1" applyAlignment="1">
      <alignment horizontal="center"/>
    </xf>
    <xf numFmtId="20" fontId="0" fillId="0" borderId="0" xfId="0" applyNumberFormat="1" applyFill="1" applyAlignment="1" applyProtection="1">
      <alignment horizontal="center"/>
      <protection locked="0"/>
    </xf>
    <xf numFmtId="166" fontId="0" fillId="0" borderId="0" xfId="0" applyNumberFormat="1" applyFill="1" applyAlignment="1">
      <alignment horizontal="center"/>
    </xf>
    <xf numFmtId="0" fontId="0" fillId="0" borderId="0" xfId="0" applyNumberFormat="1" applyFill="1" applyAlignment="1">
      <alignment horizontal="center"/>
    </xf>
    <xf numFmtId="0" fontId="0" fillId="0" borderId="6" xfId="0" applyNumberFormat="1" applyFill="1" applyBorder="1" applyAlignment="1" applyProtection="1">
      <alignment horizontal="center"/>
      <protection locked="0"/>
    </xf>
    <xf numFmtId="0" fontId="0" fillId="0" borderId="0" xfId="0" applyNumberFormat="1" applyAlignment="1">
      <alignment horizontal="center"/>
    </xf>
    <xf numFmtId="0" fontId="0" fillId="0" borderId="0" xfId="0" applyNumberFormat="1"/>
    <xf numFmtId="0" fontId="0" fillId="0" borderId="0" xfId="0" applyFill="1"/>
    <xf numFmtId="0" fontId="0" fillId="0" borderId="0" xfId="0" applyFill="1" applyAlignment="1">
      <alignment horizontal="right"/>
    </xf>
    <xf numFmtId="0" fontId="0" fillId="0" borderId="0" xfId="0" applyNumberFormat="1" applyFill="1"/>
    <xf numFmtId="0" fontId="0" fillId="0" borderId="0" xfId="0" applyFill="1" applyAlignment="1">
      <alignment horizontal="right" indent="1"/>
    </xf>
    <xf numFmtId="0" fontId="0" fillId="0" borderId="0" xfId="0" applyFill="1" applyAlignment="1">
      <alignment horizontal="right" indent="2"/>
    </xf>
  </cellXfs>
  <cellStyles count="1">
    <cellStyle name="Normal" xfId="0" builtinId="0"/>
  </cellStyles>
  <dxfs count="2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general" vertical="bottom" textRotation="0" wrapText="1" indent="0" justifyLastLine="0" shrinkToFit="0" readingOrder="0"/>
    </dxf>
    <dxf>
      <numFmt numFmtId="165" formatCode="0000&quot;/&quot;00&quot;/&quot;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bottom/>
      </border>
      <protection locked="0" hidden="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25" formatCode="hh:mm"/>
      <fill>
        <patternFill patternType="none">
          <fgColor indexed="64"/>
          <bgColor auto="1"/>
        </patternFill>
      </fill>
      <alignment horizontal="center" vertical="bottom" textRotation="0" wrapText="0" indent="0" justifyLastLine="0" shrinkToFit="0" readingOrder="0"/>
      <protection locked="0" hidden="0"/>
    </dxf>
    <dxf>
      <numFmt numFmtId="164" formatCode="yyyy/mm/dd"/>
      <fill>
        <patternFill patternType="none">
          <fgColor indexed="64"/>
          <bgColor auto="1"/>
        </patternFill>
      </fill>
      <alignment horizontal="center" vertical="bottom" textRotation="0" wrapText="0" indent="0" justifyLastLine="0" shrinkToFit="0" readingOrder="0"/>
      <border diagonalUp="0" diagonalDown="0">
        <left style="thin">
          <color indexed="64"/>
        </left>
        <right/>
        <top/>
        <bottom/>
        <vertical/>
        <horizontal/>
      </border>
      <protection locked="0" hidden="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166" formatCode="[$-1010429]yyyy/mm/dd\ hh:mm\ ;@"/>
      <alignment horizontal="center" vertical="bottom" textRotation="0" wrapText="0" indent="0" justifyLastLine="0" shrinkToFit="0" readingOrder="0"/>
    </dxf>
    <dxf>
      <numFmt numFmtId="166" formatCode="[$-1010429]yyyy/mm/dd\ hh:mm\ ;@"/>
      <fill>
        <patternFill patternType="none">
          <fgColor indexed="64"/>
          <bgColor auto="1"/>
        </patternFill>
      </fill>
      <alignment horizontal="center" vertical="bottom" textRotation="0" wrapText="0" indent="0" justifyLastLine="0" shrinkToFit="0" readingOrder="0"/>
    </dxf>
    <dxf>
      <numFmt numFmtId="25" formatCode="hh:mm"/>
      <fill>
        <patternFill patternType="none">
          <fgColor indexed="64"/>
          <bgColor auto="1"/>
        </patternFill>
      </fill>
      <alignment horizontal="center" vertical="bottom" textRotation="0" wrapText="0" indent="0" justifyLastLine="0" shrinkToFit="0" readingOrder="0"/>
      <protection locked="0" hidden="0"/>
    </dxf>
    <dxf>
      <numFmt numFmtId="164" formatCode="yyyy/mm/dd"/>
      <fill>
        <patternFill patternType="none">
          <fgColor indexed="64"/>
          <bgColor auto="1"/>
        </patternFill>
      </fill>
      <alignment horizontal="center" vertical="bottom" textRotation="0" wrapText="0" indent="0" justifyLastLine="0" shrinkToFit="0" readingOrder="0"/>
      <border diagonalUp="0" diagonalDown="0">
        <left style="thin">
          <color indexed="64"/>
        </left>
        <right/>
        <top/>
        <bottom/>
        <vertical/>
        <horizontal/>
      </border>
      <protection locked="0" hidden="0"/>
    </dxf>
    <dxf>
      <alignment horizontal="center" vertical="bottom"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dxf>
    <dxf>
      <alignment horizontal="right"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alignment horizontal="center" vertical="bottom" textRotation="0" wrapText="0" indent="0" justifyLastLine="0" shrinkToFit="0" readingOrder="0"/>
    </dxf>
    <dxf>
      <alignment vertical="top" textRotation="0" indent="0" justifyLastLine="0" shrinkToFit="0" readingOrder="0"/>
    </dxf>
  </dxfs>
  <tableStyles count="0" defaultTableStyle="TableStyleMedium9" defaultPivotStyle="PivotStyleLight16"/>
  <colors>
    <mruColors>
      <color rgb="FFFF5050"/>
      <color rgb="FFFF3737"/>
      <color rgb="FFF60000"/>
      <color rgb="FF009A46"/>
      <color rgb="FFFFCC00"/>
      <color rgb="FFFCAEAE"/>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factory!PivotTable2</c:name>
    <c:fmtId val="171"/>
  </c:pivotSource>
  <c:chart>
    <c:title>
      <c:tx>
        <c:rich>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r>
              <a:rPr lang="en-US" sz="1260" b="1" i="0" u="none" strike="noStrike" kern="1200" spc="0" baseline="0">
                <a:solidFill>
                  <a:sysClr val="windowText" lastClr="000000"/>
                </a:solidFill>
                <a:latin typeface="+mn-lt"/>
                <a:ea typeface="+mn-ea"/>
                <a:cs typeface="+mn-cs"/>
              </a:rPr>
              <a:t>MTBF</a:t>
            </a:r>
          </a:p>
        </c:rich>
      </c:tx>
      <c:overlay val="1"/>
      <c:spPr>
        <a:noFill/>
        <a:ln>
          <a:noFill/>
        </a:ln>
        <a:effectLst/>
      </c:spPr>
      <c:txPr>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fa-I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factory'!$C$10</c:f>
              <c:strCache>
                <c:ptCount val="1"/>
                <c:pt idx="0">
                  <c:v>Average of هدف MTBF</c:v>
                </c:pt>
              </c:strCache>
            </c:strRef>
          </c:tx>
          <c:spPr>
            <a:ln w="28575" cap="rnd">
              <a:solidFill>
                <a:srgbClr val="92D050"/>
              </a:solidFill>
              <a:prstDash val="dash"/>
              <a:round/>
            </a:ln>
            <a:effectLst/>
          </c:spPr>
          <c:marker>
            <c:symbol val="none"/>
          </c:marker>
          <c:cat>
            <c:strRef>
              <c:f>'all of factory'!$B$11:$B$22</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factory'!$C$11:$C$22</c:f>
              <c:numCache>
                <c:formatCode>General</c:formatCode>
                <c:ptCount val="11"/>
                <c:pt idx="0">
                  <c:v>720</c:v>
                </c:pt>
                <c:pt idx="1">
                  <c:v>720</c:v>
                </c:pt>
                <c:pt idx="2">
                  <c:v>720</c:v>
                </c:pt>
                <c:pt idx="3">
                  <c:v>720</c:v>
                </c:pt>
                <c:pt idx="4">
                  <c:v>720</c:v>
                </c:pt>
                <c:pt idx="5">
                  <c:v>720</c:v>
                </c:pt>
                <c:pt idx="6">
                  <c:v>720</c:v>
                </c:pt>
                <c:pt idx="7">
                  <c:v>720</c:v>
                </c:pt>
                <c:pt idx="8">
                  <c:v>720</c:v>
                </c:pt>
                <c:pt idx="9">
                  <c:v>720</c:v>
                </c:pt>
                <c:pt idx="10">
                  <c:v>#N/A</c:v>
                </c:pt>
              </c:numCache>
            </c:numRef>
          </c:val>
          <c:smooth val="0"/>
          <c:extLst>
            <c:ext xmlns:c16="http://schemas.microsoft.com/office/drawing/2014/chart" uri="{C3380CC4-5D6E-409C-BE32-E72D297353CC}">
              <c16:uniqueId val="{00000000-E3E6-4705-8A1E-750157D18F9F}"/>
            </c:ext>
          </c:extLst>
        </c:ser>
        <c:ser>
          <c:idx val="1"/>
          <c:order val="1"/>
          <c:tx>
            <c:strRef>
              <c:f>'all of factory'!$D$10</c:f>
              <c:strCache>
                <c:ptCount val="1"/>
                <c:pt idx="0">
                  <c:v>Average of مبنا MTBF</c:v>
                </c:pt>
              </c:strCache>
            </c:strRef>
          </c:tx>
          <c:spPr>
            <a:ln w="28575" cap="rnd">
              <a:solidFill>
                <a:srgbClr val="FF0000"/>
              </a:solidFill>
              <a:prstDash val="dash"/>
              <a:round/>
            </a:ln>
            <a:effectLst/>
          </c:spPr>
          <c:marker>
            <c:symbol val="none"/>
          </c:marker>
          <c:cat>
            <c:strRef>
              <c:f>'all of factory'!$B$11:$B$22</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factory'!$D$11:$D$22</c:f>
              <c:numCache>
                <c:formatCode>General</c:formatCode>
                <c:ptCount val="11"/>
                <c:pt idx="0">
                  <c:v>360</c:v>
                </c:pt>
                <c:pt idx="1">
                  <c:v>360</c:v>
                </c:pt>
                <c:pt idx="2">
                  <c:v>360</c:v>
                </c:pt>
                <c:pt idx="3">
                  <c:v>360</c:v>
                </c:pt>
                <c:pt idx="4">
                  <c:v>360</c:v>
                </c:pt>
                <c:pt idx="5">
                  <c:v>360</c:v>
                </c:pt>
                <c:pt idx="6">
                  <c:v>360</c:v>
                </c:pt>
                <c:pt idx="7">
                  <c:v>360</c:v>
                </c:pt>
                <c:pt idx="8">
                  <c:v>360</c:v>
                </c:pt>
              </c:numCache>
            </c:numRef>
          </c:val>
          <c:smooth val="0"/>
          <c:extLst>
            <c:ext xmlns:c16="http://schemas.microsoft.com/office/drawing/2014/chart" uri="{C3380CC4-5D6E-409C-BE32-E72D297353CC}">
              <c16:uniqueId val="{00000001-E3E6-4705-8A1E-750157D18F9F}"/>
            </c:ext>
          </c:extLst>
        </c:ser>
        <c:ser>
          <c:idx val="2"/>
          <c:order val="2"/>
          <c:tx>
            <c:strRef>
              <c:f>'all of factory'!$E$10</c:f>
              <c:strCache>
                <c:ptCount val="1"/>
                <c:pt idx="0">
                  <c:v>Average of TBF(hours)</c:v>
                </c:pt>
              </c:strCache>
            </c:strRef>
          </c:tx>
          <c:spPr>
            <a:ln w="28575" cap="rnd">
              <a:solidFill>
                <a:schemeClr val="accent3"/>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solidFill>
                    <a:latin typeface="+mn-lt"/>
                    <a:ea typeface="+mn-ea"/>
                    <a:cs typeface="+mn-cs"/>
                  </a:defRPr>
                </a:pPr>
                <a:endParaRPr lang="fa-I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of factory'!$B$11:$B$22</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factory'!$E$11:$E$22</c:f>
              <c:numCache>
                <c:formatCode>General</c:formatCode>
                <c:ptCount val="11"/>
                <c:pt idx="0">
                  <c:v>944.42499999999995</c:v>
                </c:pt>
                <c:pt idx="1">
                  <c:v>260.8366666666667</c:v>
                </c:pt>
                <c:pt idx="2">
                  <c:v>236.78550724637685</c:v>
                </c:pt>
                <c:pt idx="3">
                  <c:v>372.68095238095242</c:v>
                </c:pt>
                <c:pt idx="4">
                  <c:v>518.86176470588248</c:v>
                </c:pt>
                <c:pt idx="5">
                  <c:v>717.63240740740753</c:v>
                </c:pt>
                <c:pt idx="6">
                  <c:v>371.67999999999995</c:v>
                </c:pt>
                <c:pt idx="7">
                  <c:v>150.91875000006215</c:v>
                </c:pt>
                <c:pt idx="8">
                  <c:v>217.03333333333336</c:v>
                </c:pt>
                <c:pt idx="9">
                  <c:v>352.22222222222223</c:v>
                </c:pt>
                <c:pt idx="10">
                  <c:v>741.13333333333333</c:v>
                </c:pt>
              </c:numCache>
            </c:numRef>
          </c:val>
          <c:smooth val="0"/>
          <c:extLst>
            <c:ext xmlns:c16="http://schemas.microsoft.com/office/drawing/2014/chart" uri="{C3380CC4-5D6E-409C-BE32-E72D297353CC}">
              <c16:uniqueId val="{00000002-E3E6-4705-8A1E-750157D18F9F}"/>
            </c:ext>
          </c:extLst>
        </c:ser>
        <c:dLbls>
          <c:showLegendKey val="0"/>
          <c:showVal val="0"/>
          <c:showCatName val="0"/>
          <c:showSerName val="0"/>
          <c:showPercent val="0"/>
          <c:showBubbleSize val="0"/>
        </c:dLbls>
        <c:smooth val="0"/>
        <c:axId val="720979520"/>
        <c:axId val="720981440"/>
      </c:lineChart>
      <c:catAx>
        <c:axId val="72097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fa-IR"/>
          </a:p>
        </c:txPr>
        <c:crossAx val="720981440"/>
        <c:crosses val="autoZero"/>
        <c:auto val="1"/>
        <c:lblAlgn val="ctr"/>
        <c:lblOffset val="100"/>
        <c:noMultiLvlLbl val="0"/>
      </c:catAx>
      <c:valAx>
        <c:axId val="72098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72097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factory!PivotTable3</c:name>
    <c:fmtId val="353"/>
  </c:pivotSource>
  <c:chart>
    <c:title>
      <c:tx>
        <c:rich>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r>
              <a:rPr lang="en-US"/>
              <a:t>MTTR</a:t>
            </a:r>
          </a:p>
        </c:rich>
      </c:tx>
      <c:overlay val="1"/>
      <c:spPr>
        <a:noFill/>
        <a:ln>
          <a:noFill/>
        </a:ln>
        <a:effectLst/>
      </c:spPr>
      <c:txPr>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fa-I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factory'!$H$10</c:f>
              <c:strCache>
                <c:ptCount val="1"/>
                <c:pt idx="0">
                  <c:v>Average of هدف MTTR</c:v>
                </c:pt>
              </c:strCache>
            </c:strRef>
          </c:tx>
          <c:spPr>
            <a:ln w="28575" cap="rnd">
              <a:solidFill>
                <a:srgbClr val="92D050"/>
              </a:solidFill>
              <a:prstDash val="dash"/>
              <a:round/>
            </a:ln>
            <a:effectLst/>
          </c:spPr>
          <c:marker>
            <c:symbol val="none"/>
          </c:marker>
          <c:cat>
            <c:strRef>
              <c:f>'all of factory'!$G$11:$G$22</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factory'!$H$11:$H$22</c:f>
              <c:numCache>
                <c:formatCode>General</c:formatCode>
                <c:ptCount val="11"/>
                <c:pt idx="0">
                  <c:v>0.19999999999999998</c:v>
                </c:pt>
                <c:pt idx="1">
                  <c:v>0.20000000000000007</c:v>
                </c:pt>
                <c:pt idx="2">
                  <c:v>0.20000000000000007</c:v>
                </c:pt>
                <c:pt idx="3">
                  <c:v>0.19999999999999998</c:v>
                </c:pt>
                <c:pt idx="4">
                  <c:v>0.20000000000000007</c:v>
                </c:pt>
                <c:pt idx="5">
                  <c:v>0.20000000000000007</c:v>
                </c:pt>
                <c:pt idx="6">
                  <c:v>0.20000000000000004</c:v>
                </c:pt>
                <c:pt idx="7">
                  <c:v>0.20000000000000009</c:v>
                </c:pt>
                <c:pt idx="8">
                  <c:v>0.2</c:v>
                </c:pt>
                <c:pt idx="9">
                  <c:v>0.20000000000000004</c:v>
                </c:pt>
                <c:pt idx="10">
                  <c:v>#N/A</c:v>
                </c:pt>
              </c:numCache>
            </c:numRef>
          </c:val>
          <c:smooth val="0"/>
          <c:extLst>
            <c:ext xmlns:c16="http://schemas.microsoft.com/office/drawing/2014/chart" uri="{C3380CC4-5D6E-409C-BE32-E72D297353CC}">
              <c16:uniqueId val="{00000000-98D3-4BB2-828F-5C39B55F132D}"/>
            </c:ext>
          </c:extLst>
        </c:ser>
        <c:ser>
          <c:idx val="1"/>
          <c:order val="1"/>
          <c:tx>
            <c:strRef>
              <c:f>'all of factory'!$I$10</c:f>
              <c:strCache>
                <c:ptCount val="1"/>
                <c:pt idx="0">
                  <c:v>Average of مبنا MTTR</c:v>
                </c:pt>
              </c:strCache>
            </c:strRef>
          </c:tx>
          <c:spPr>
            <a:ln w="28575" cap="rnd">
              <a:solidFill>
                <a:srgbClr val="FF0000"/>
              </a:solidFill>
              <a:prstDash val="dash"/>
              <a:round/>
            </a:ln>
            <a:effectLst/>
          </c:spPr>
          <c:marker>
            <c:symbol val="none"/>
          </c:marker>
          <c:cat>
            <c:strRef>
              <c:f>'all of factory'!$G$11:$G$22</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factory'!$I$11:$I$22</c:f>
              <c:numCache>
                <c:formatCode>General</c:formatCode>
                <c:ptCount val="11"/>
                <c:pt idx="0">
                  <c:v>24</c:v>
                </c:pt>
                <c:pt idx="1">
                  <c:v>24</c:v>
                </c:pt>
                <c:pt idx="2">
                  <c:v>24</c:v>
                </c:pt>
                <c:pt idx="3">
                  <c:v>24</c:v>
                </c:pt>
                <c:pt idx="4">
                  <c:v>24</c:v>
                </c:pt>
                <c:pt idx="5">
                  <c:v>24</c:v>
                </c:pt>
                <c:pt idx="6">
                  <c:v>24</c:v>
                </c:pt>
                <c:pt idx="7">
                  <c:v>24</c:v>
                </c:pt>
                <c:pt idx="8">
                  <c:v>24</c:v>
                </c:pt>
                <c:pt idx="9">
                  <c:v>24</c:v>
                </c:pt>
                <c:pt idx="10">
                  <c:v>#N/A</c:v>
                </c:pt>
              </c:numCache>
            </c:numRef>
          </c:val>
          <c:smooth val="0"/>
          <c:extLst>
            <c:ext xmlns:c16="http://schemas.microsoft.com/office/drawing/2014/chart" uri="{C3380CC4-5D6E-409C-BE32-E72D297353CC}">
              <c16:uniqueId val="{00000001-98D3-4BB2-828F-5C39B55F132D}"/>
            </c:ext>
          </c:extLst>
        </c:ser>
        <c:ser>
          <c:idx val="2"/>
          <c:order val="2"/>
          <c:tx>
            <c:strRef>
              <c:f>'all of factory'!$J$10</c:f>
              <c:strCache>
                <c:ptCount val="1"/>
                <c:pt idx="0">
                  <c:v>Average of TTR(mints)</c:v>
                </c:pt>
              </c:strCache>
            </c:strRef>
          </c:tx>
          <c:spPr>
            <a:ln w="28575" cap="rnd">
              <a:solidFill>
                <a:schemeClr val="accent3"/>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fa-I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of factory'!$G$11:$G$22</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factory'!$J$11:$J$22</c:f>
              <c:numCache>
                <c:formatCode>General</c:formatCode>
                <c:ptCount val="11"/>
                <c:pt idx="0">
                  <c:v>1.4916666666666669</c:v>
                </c:pt>
                <c:pt idx="1">
                  <c:v>11.618840579710144</c:v>
                </c:pt>
                <c:pt idx="2">
                  <c:v>11.028030303030301</c:v>
                </c:pt>
                <c:pt idx="3">
                  <c:v>15.312962962962956</c:v>
                </c:pt>
                <c:pt idx="4">
                  <c:v>8.3192982456140356</c:v>
                </c:pt>
                <c:pt idx="5">
                  <c:v>3.4175925925925923</c:v>
                </c:pt>
                <c:pt idx="6">
                  <c:v>38.776984126984125</c:v>
                </c:pt>
                <c:pt idx="7">
                  <c:v>13.7080808080206</c:v>
                </c:pt>
                <c:pt idx="8">
                  <c:v>3.0300000000000002</c:v>
                </c:pt>
                <c:pt idx="9">
                  <c:v>1.0444444444444445</c:v>
                </c:pt>
                <c:pt idx="10">
                  <c:v>4.5611111111111109</c:v>
                </c:pt>
              </c:numCache>
            </c:numRef>
          </c:val>
          <c:smooth val="0"/>
          <c:extLst>
            <c:ext xmlns:c16="http://schemas.microsoft.com/office/drawing/2014/chart" uri="{C3380CC4-5D6E-409C-BE32-E72D297353CC}">
              <c16:uniqueId val="{00000002-98D3-4BB2-828F-5C39B55F132D}"/>
            </c:ext>
          </c:extLst>
        </c:ser>
        <c:dLbls>
          <c:showLegendKey val="0"/>
          <c:showVal val="0"/>
          <c:showCatName val="0"/>
          <c:showSerName val="0"/>
          <c:showPercent val="0"/>
          <c:showBubbleSize val="0"/>
        </c:dLbls>
        <c:smooth val="0"/>
        <c:axId val="715807104"/>
        <c:axId val="715801824"/>
      </c:lineChart>
      <c:catAx>
        <c:axId val="71580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fa-IR"/>
          </a:p>
        </c:txPr>
        <c:crossAx val="715801824"/>
        <c:crosses val="autoZero"/>
        <c:auto val="1"/>
        <c:lblAlgn val="ctr"/>
        <c:lblOffset val="100"/>
        <c:noMultiLvlLbl val="0"/>
      </c:catAx>
      <c:valAx>
        <c:axId val="71580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fa-IR"/>
          </a:p>
        </c:txPr>
        <c:crossAx val="7158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50" b="1" i="0" u="none" strike="noStrike" kern="1200" baseline="0">
          <a:solidFill>
            <a:schemeClr val="tx1"/>
          </a:solidFill>
          <a:latin typeface="+mn-lt"/>
          <a:ea typeface="+mn-ea"/>
          <a:cs typeface="+mn-cs"/>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factory!PivotTable16</c:name>
    <c:fmtId val="9"/>
  </c:pivotSource>
  <c:chart>
    <c:title>
      <c:tx>
        <c:rich>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r>
              <a:rPr lang="en-US"/>
              <a:t>MTBF</a:t>
            </a:r>
          </a:p>
        </c:rich>
      </c:tx>
      <c:overlay val="1"/>
      <c:spPr>
        <a:noFill/>
        <a:ln>
          <a:noFill/>
        </a:ln>
        <a:effectLst/>
      </c:spPr>
      <c:txPr>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factory'!$W$9</c:f>
              <c:strCache>
                <c:ptCount val="1"/>
                <c:pt idx="0">
                  <c:v>Average of مبنا MTBF</c:v>
                </c:pt>
              </c:strCache>
            </c:strRef>
          </c:tx>
          <c:spPr>
            <a:ln w="28575" cap="rnd">
              <a:solidFill>
                <a:srgbClr val="FF0000"/>
              </a:solidFill>
              <a:prstDash val="dash"/>
              <a:round/>
            </a:ln>
            <a:effectLst/>
          </c:spPr>
          <c:marker>
            <c:symbol val="none"/>
          </c:marker>
          <c:cat>
            <c:strRef>
              <c:f>'all of factory'!$V$10:$V$17</c:f>
              <c:strCache>
                <c:ptCount val="7"/>
                <c:pt idx="0">
                  <c:v>1</c:v>
                </c:pt>
                <c:pt idx="1">
                  <c:v>3</c:v>
                </c:pt>
                <c:pt idx="2">
                  <c:v>5</c:v>
                </c:pt>
                <c:pt idx="3">
                  <c:v>6</c:v>
                </c:pt>
                <c:pt idx="4">
                  <c:v>7</c:v>
                </c:pt>
                <c:pt idx="5">
                  <c:v>8</c:v>
                </c:pt>
                <c:pt idx="6">
                  <c:v>9</c:v>
                </c:pt>
              </c:strCache>
            </c:strRef>
          </c:cat>
          <c:val>
            <c:numRef>
              <c:f>'all of factory'!$W$10:$W$17</c:f>
              <c:numCache>
                <c:formatCode>General</c:formatCode>
                <c:ptCount val="7"/>
                <c:pt idx="0">
                  <c:v>360</c:v>
                </c:pt>
                <c:pt idx="1">
                  <c:v>360</c:v>
                </c:pt>
                <c:pt idx="2">
                  <c:v>360</c:v>
                </c:pt>
                <c:pt idx="3">
                  <c:v>360</c:v>
                </c:pt>
                <c:pt idx="4">
                  <c:v>360</c:v>
                </c:pt>
                <c:pt idx="5">
                  <c:v>360</c:v>
                </c:pt>
                <c:pt idx="6">
                  <c:v>360</c:v>
                </c:pt>
              </c:numCache>
            </c:numRef>
          </c:val>
          <c:smooth val="0"/>
          <c:extLst>
            <c:ext xmlns:c16="http://schemas.microsoft.com/office/drawing/2014/chart" uri="{C3380CC4-5D6E-409C-BE32-E72D297353CC}">
              <c16:uniqueId val="{00000000-B0B0-46CB-9C77-406B5D2A1E16}"/>
            </c:ext>
          </c:extLst>
        </c:ser>
        <c:ser>
          <c:idx val="1"/>
          <c:order val="1"/>
          <c:tx>
            <c:strRef>
              <c:f>'all of factory'!$X$9</c:f>
              <c:strCache>
                <c:ptCount val="1"/>
                <c:pt idx="0">
                  <c:v>Average of هدف MTBF</c:v>
                </c:pt>
              </c:strCache>
            </c:strRef>
          </c:tx>
          <c:spPr>
            <a:ln w="28575" cap="rnd">
              <a:solidFill>
                <a:srgbClr val="92D050"/>
              </a:solidFill>
              <a:prstDash val="dash"/>
              <a:round/>
            </a:ln>
            <a:effectLst/>
          </c:spPr>
          <c:marker>
            <c:symbol val="none"/>
          </c:marker>
          <c:cat>
            <c:strRef>
              <c:f>'all of factory'!$V$10:$V$17</c:f>
              <c:strCache>
                <c:ptCount val="7"/>
                <c:pt idx="0">
                  <c:v>1</c:v>
                </c:pt>
                <c:pt idx="1">
                  <c:v>3</c:v>
                </c:pt>
                <c:pt idx="2">
                  <c:v>5</c:v>
                </c:pt>
                <c:pt idx="3">
                  <c:v>6</c:v>
                </c:pt>
                <c:pt idx="4">
                  <c:v>7</c:v>
                </c:pt>
                <c:pt idx="5">
                  <c:v>8</c:v>
                </c:pt>
                <c:pt idx="6">
                  <c:v>9</c:v>
                </c:pt>
              </c:strCache>
            </c:strRef>
          </c:cat>
          <c:val>
            <c:numRef>
              <c:f>'all of factory'!$X$10:$X$17</c:f>
              <c:numCache>
                <c:formatCode>General</c:formatCode>
                <c:ptCount val="7"/>
                <c:pt idx="0">
                  <c:v>720</c:v>
                </c:pt>
                <c:pt idx="1">
                  <c:v>720</c:v>
                </c:pt>
                <c:pt idx="2">
                  <c:v>720</c:v>
                </c:pt>
                <c:pt idx="3">
                  <c:v>720</c:v>
                </c:pt>
                <c:pt idx="4">
                  <c:v>720</c:v>
                </c:pt>
                <c:pt idx="5">
                  <c:v>720</c:v>
                </c:pt>
                <c:pt idx="6">
                  <c:v>720</c:v>
                </c:pt>
              </c:numCache>
            </c:numRef>
          </c:val>
          <c:smooth val="0"/>
          <c:extLst>
            <c:ext xmlns:c16="http://schemas.microsoft.com/office/drawing/2014/chart" uri="{C3380CC4-5D6E-409C-BE32-E72D297353CC}">
              <c16:uniqueId val="{00000001-B0B0-46CB-9C77-406B5D2A1E16}"/>
            </c:ext>
          </c:extLst>
        </c:ser>
        <c:ser>
          <c:idx val="2"/>
          <c:order val="2"/>
          <c:tx>
            <c:strRef>
              <c:f>'all of factory'!$Y$9</c:f>
              <c:strCache>
                <c:ptCount val="1"/>
                <c:pt idx="0">
                  <c:v>Average of TBF(hours)</c:v>
                </c:pt>
              </c:strCache>
            </c:strRef>
          </c:tx>
          <c:spPr>
            <a:ln w="28575" cap="rnd">
              <a:solidFill>
                <a:schemeClr val="accent3"/>
              </a:solidFill>
              <a:round/>
            </a:ln>
            <a:effectLst/>
          </c:spPr>
          <c:marker>
            <c:symbol val="none"/>
          </c:marker>
          <c:cat>
            <c:strRef>
              <c:f>'all of factory'!$V$10:$V$17</c:f>
              <c:strCache>
                <c:ptCount val="7"/>
                <c:pt idx="0">
                  <c:v>1</c:v>
                </c:pt>
                <c:pt idx="1">
                  <c:v>3</c:v>
                </c:pt>
                <c:pt idx="2">
                  <c:v>5</c:v>
                </c:pt>
                <c:pt idx="3">
                  <c:v>6</c:v>
                </c:pt>
                <c:pt idx="4">
                  <c:v>7</c:v>
                </c:pt>
                <c:pt idx="5">
                  <c:v>8</c:v>
                </c:pt>
                <c:pt idx="6">
                  <c:v>9</c:v>
                </c:pt>
              </c:strCache>
            </c:strRef>
          </c:cat>
          <c:val>
            <c:numRef>
              <c:f>'all of factory'!$Y$10:$Y$17</c:f>
              <c:numCache>
                <c:formatCode>General</c:formatCode>
                <c:ptCount val="7"/>
                <c:pt idx="0">
                  <c:v>#N/A</c:v>
                </c:pt>
                <c:pt idx="1">
                  <c:v>#N/A</c:v>
                </c:pt>
                <c:pt idx="2">
                  <c:v>385.79999999999995</c:v>
                </c:pt>
                <c:pt idx="3">
                  <c:v>248.875</c:v>
                </c:pt>
                <c:pt idx="4">
                  <c:v>115.30555555555556</c:v>
                </c:pt>
                <c:pt idx="5">
                  <c:v>#N/A</c:v>
                </c:pt>
                <c:pt idx="6">
                  <c:v>#N/A</c:v>
                </c:pt>
              </c:numCache>
            </c:numRef>
          </c:val>
          <c:smooth val="0"/>
          <c:extLst>
            <c:ext xmlns:c16="http://schemas.microsoft.com/office/drawing/2014/chart" uri="{C3380CC4-5D6E-409C-BE32-E72D297353CC}">
              <c16:uniqueId val="{00000002-B0B0-46CB-9C77-406B5D2A1E16}"/>
            </c:ext>
          </c:extLst>
        </c:ser>
        <c:dLbls>
          <c:showLegendKey val="0"/>
          <c:showVal val="0"/>
          <c:showCatName val="0"/>
          <c:showSerName val="0"/>
          <c:showPercent val="0"/>
          <c:showBubbleSize val="0"/>
        </c:dLbls>
        <c:smooth val="0"/>
        <c:axId val="1630857904"/>
        <c:axId val="1630843984"/>
      </c:lineChart>
      <c:catAx>
        <c:axId val="163085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fa-IR"/>
          </a:p>
        </c:txPr>
        <c:crossAx val="1630843984"/>
        <c:crosses val="autoZero"/>
        <c:auto val="1"/>
        <c:lblAlgn val="ctr"/>
        <c:lblOffset val="100"/>
        <c:noMultiLvlLbl val="0"/>
      </c:catAx>
      <c:valAx>
        <c:axId val="1630843984"/>
        <c:scaling>
          <c:orientation val="minMax"/>
          <c:max val="85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fa-IR"/>
          </a:p>
        </c:txPr>
        <c:crossAx val="163085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50" b="1" i="0" u="none" strike="noStrike" kern="1200" baseline="0">
          <a:solidFill>
            <a:schemeClr val="tx1"/>
          </a:solidFill>
          <a:latin typeface="+mn-lt"/>
          <a:ea typeface="+mn-ea"/>
          <a:cs typeface="+mn-cs"/>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factory!PivotTable17</c:name>
    <c:fmtId val="7"/>
  </c:pivotSource>
  <c:chart>
    <c:title>
      <c:tx>
        <c:rich>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r>
              <a:rPr lang="en-US" sz="1260" b="1" i="0" u="none" strike="noStrike" kern="1200" spc="0" baseline="0">
                <a:solidFill>
                  <a:sysClr val="windowText" lastClr="000000"/>
                </a:solidFill>
                <a:latin typeface="+mn-lt"/>
                <a:ea typeface="+mn-ea"/>
                <a:cs typeface="+mn-cs"/>
              </a:rPr>
              <a:t>MTTR</a:t>
            </a:r>
          </a:p>
        </c:rich>
      </c:tx>
      <c:overlay val="1"/>
      <c:spPr>
        <a:noFill/>
        <a:ln>
          <a:noFill/>
        </a:ln>
        <a:effectLst/>
      </c:spPr>
      <c:txPr>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6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60000"/>
            </a:solidFill>
            <a:prstDash val="dash"/>
            <a:round/>
          </a:ln>
          <a:effectLst/>
        </c:spPr>
        <c:marker>
          <c:symbol val="none"/>
        </c:marker>
      </c:pivotFmt>
    </c:pivotFmts>
    <c:plotArea>
      <c:layout/>
      <c:lineChart>
        <c:grouping val="standard"/>
        <c:varyColors val="0"/>
        <c:ser>
          <c:idx val="0"/>
          <c:order val="0"/>
          <c:tx>
            <c:strRef>
              <c:f>'all of factory'!$AB$9</c:f>
              <c:strCache>
                <c:ptCount val="1"/>
                <c:pt idx="0">
                  <c:v>Average of هدف MTTR</c:v>
                </c:pt>
              </c:strCache>
            </c:strRef>
          </c:tx>
          <c:spPr>
            <a:ln w="28575" cap="rnd">
              <a:solidFill>
                <a:srgbClr val="92D050"/>
              </a:solidFill>
              <a:prstDash val="dash"/>
              <a:round/>
            </a:ln>
            <a:effectLst/>
          </c:spPr>
          <c:marker>
            <c:symbol val="none"/>
          </c:marker>
          <c:cat>
            <c:strRef>
              <c:f>'all of factory'!$AA$10:$AA$18</c:f>
              <c:strCache>
                <c:ptCount val="8"/>
                <c:pt idx="0">
                  <c:v>1</c:v>
                </c:pt>
                <c:pt idx="1">
                  <c:v>3</c:v>
                </c:pt>
                <c:pt idx="2">
                  <c:v>5</c:v>
                </c:pt>
                <c:pt idx="3">
                  <c:v>6</c:v>
                </c:pt>
                <c:pt idx="4">
                  <c:v>7</c:v>
                </c:pt>
                <c:pt idx="5">
                  <c:v>8</c:v>
                </c:pt>
                <c:pt idx="6">
                  <c:v>9</c:v>
                </c:pt>
                <c:pt idx="7">
                  <c:v>10</c:v>
                </c:pt>
              </c:strCache>
            </c:strRef>
          </c:cat>
          <c:val>
            <c:numRef>
              <c:f>'all of factory'!$AB$10:$AB$18</c:f>
              <c:numCache>
                <c:formatCode>General</c:formatCode>
                <c:ptCount val="8"/>
                <c:pt idx="0">
                  <c:v>0.2</c:v>
                </c:pt>
                <c:pt idx="1">
                  <c:v>0.2</c:v>
                </c:pt>
                <c:pt idx="2">
                  <c:v>0.19999999999999998</c:v>
                </c:pt>
                <c:pt idx="3">
                  <c:v>0.20000000000000004</c:v>
                </c:pt>
                <c:pt idx="4">
                  <c:v>0.2</c:v>
                </c:pt>
                <c:pt idx="5">
                  <c:v>0.2</c:v>
                </c:pt>
                <c:pt idx="6">
                  <c:v>0.2</c:v>
                </c:pt>
                <c:pt idx="7">
                  <c:v>0.2</c:v>
                </c:pt>
              </c:numCache>
            </c:numRef>
          </c:val>
          <c:smooth val="0"/>
          <c:extLst>
            <c:ext xmlns:c16="http://schemas.microsoft.com/office/drawing/2014/chart" uri="{C3380CC4-5D6E-409C-BE32-E72D297353CC}">
              <c16:uniqueId val="{00000000-CE78-48F9-879F-AE5E52858CCF}"/>
            </c:ext>
          </c:extLst>
        </c:ser>
        <c:ser>
          <c:idx val="1"/>
          <c:order val="1"/>
          <c:tx>
            <c:strRef>
              <c:f>'all of factory'!$AC$9</c:f>
              <c:strCache>
                <c:ptCount val="1"/>
                <c:pt idx="0">
                  <c:v>Average of مبنا MTTR</c:v>
                </c:pt>
              </c:strCache>
            </c:strRef>
          </c:tx>
          <c:spPr>
            <a:ln w="28575" cap="rnd">
              <a:solidFill>
                <a:srgbClr val="F60000"/>
              </a:solidFill>
              <a:prstDash val="dash"/>
              <a:round/>
            </a:ln>
            <a:effectLst/>
          </c:spPr>
          <c:marker>
            <c:symbol val="none"/>
          </c:marker>
          <c:cat>
            <c:strRef>
              <c:f>'all of factory'!$AA$10:$AA$18</c:f>
              <c:strCache>
                <c:ptCount val="8"/>
                <c:pt idx="0">
                  <c:v>1</c:v>
                </c:pt>
                <c:pt idx="1">
                  <c:v>3</c:v>
                </c:pt>
                <c:pt idx="2">
                  <c:v>5</c:v>
                </c:pt>
                <c:pt idx="3">
                  <c:v>6</c:v>
                </c:pt>
                <c:pt idx="4">
                  <c:v>7</c:v>
                </c:pt>
                <c:pt idx="5">
                  <c:v>8</c:v>
                </c:pt>
                <c:pt idx="6">
                  <c:v>9</c:v>
                </c:pt>
                <c:pt idx="7">
                  <c:v>10</c:v>
                </c:pt>
              </c:strCache>
            </c:strRef>
          </c:cat>
          <c:val>
            <c:numRef>
              <c:f>'all of factory'!$AC$10:$AC$18</c:f>
              <c:numCache>
                <c:formatCode>General</c:formatCode>
                <c:ptCount val="8"/>
                <c:pt idx="0">
                  <c:v>24</c:v>
                </c:pt>
                <c:pt idx="1">
                  <c:v>24</c:v>
                </c:pt>
                <c:pt idx="2">
                  <c:v>24</c:v>
                </c:pt>
                <c:pt idx="3">
                  <c:v>24</c:v>
                </c:pt>
                <c:pt idx="4">
                  <c:v>24</c:v>
                </c:pt>
                <c:pt idx="5">
                  <c:v>24</c:v>
                </c:pt>
                <c:pt idx="6">
                  <c:v>24</c:v>
                </c:pt>
                <c:pt idx="7">
                  <c:v>24</c:v>
                </c:pt>
              </c:numCache>
            </c:numRef>
          </c:val>
          <c:smooth val="0"/>
          <c:extLst>
            <c:ext xmlns:c16="http://schemas.microsoft.com/office/drawing/2014/chart" uri="{C3380CC4-5D6E-409C-BE32-E72D297353CC}">
              <c16:uniqueId val="{00000001-CE78-48F9-879F-AE5E52858CCF}"/>
            </c:ext>
          </c:extLst>
        </c:ser>
        <c:ser>
          <c:idx val="2"/>
          <c:order val="2"/>
          <c:tx>
            <c:strRef>
              <c:f>'all of factory'!$AD$9</c:f>
              <c:strCache>
                <c:ptCount val="1"/>
                <c:pt idx="0">
                  <c:v>Average of TTR(mints)</c:v>
                </c:pt>
              </c:strCache>
            </c:strRef>
          </c:tx>
          <c:spPr>
            <a:ln w="28575" cap="rnd">
              <a:solidFill>
                <a:schemeClr val="accent3"/>
              </a:solidFill>
              <a:round/>
            </a:ln>
            <a:effectLst/>
          </c:spPr>
          <c:marker>
            <c:symbol val="none"/>
          </c:marker>
          <c:cat>
            <c:strRef>
              <c:f>'all of factory'!$AA$10:$AA$18</c:f>
              <c:strCache>
                <c:ptCount val="8"/>
                <c:pt idx="0">
                  <c:v>1</c:v>
                </c:pt>
                <c:pt idx="1">
                  <c:v>3</c:v>
                </c:pt>
                <c:pt idx="2">
                  <c:v>5</c:v>
                </c:pt>
                <c:pt idx="3">
                  <c:v>6</c:v>
                </c:pt>
                <c:pt idx="4">
                  <c:v>7</c:v>
                </c:pt>
                <c:pt idx="5">
                  <c:v>8</c:v>
                </c:pt>
                <c:pt idx="6">
                  <c:v>9</c:v>
                </c:pt>
                <c:pt idx="7">
                  <c:v>10</c:v>
                </c:pt>
              </c:strCache>
            </c:strRef>
          </c:cat>
          <c:val>
            <c:numRef>
              <c:f>'all of factory'!$AD$10:$AD$18</c:f>
              <c:numCache>
                <c:formatCode>General</c:formatCode>
                <c:ptCount val="8"/>
                <c:pt idx="0">
                  <c:v>267.83333333333331</c:v>
                </c:pt>
                <c:pt idx="1">
                  <c:v>7</c:v>
                </c:pt>
                <c:pt idx="2">
                  <c:v>8.6222222222222218</c:v>
                </c:pt>
                <c:pt idx="3">
                  <c:v>1.3888888888888891</c:v>
                </c:pt>
                <c:pt idx="4">
                  <c:v>13.958333333333334</c:v>
                </c:pt>
                <c:pt idx="5">
                  <c:v>5.25</c:v>
                </c:pt>
                <c:pt idx="6">
                  <c:v>1.25</c:v>
                </c:pt>
                <c:pt idx="7">
                  <c:v>2001.75</c:v>
                </c:pt>
              </c:numCache>
            </c:numRef>
          </c:val>
          <c:smooth val="0"/>
          <c:extLst>
            <c:ext xmlns:c16="http://schemas.microsoft.com/office/drawing/2014/chart" uri="{C3380CC4-5D6E-409C-BE32-E72D297353CC}">
              <c16:uniqueId val="{00000002-CE78-48F9-879F-AE5E52858CCF}"/>
            </c:ext>
          </c:extLst>
        </c:ser>
        <c:dLbls>
          <c:showLegendKey val="0"/>
          <c:showVal val="0"/>
          <c:showCatName val="0"/>
          <c:showSerName val="0"/>
          <c:showPercent val="0"/>
          <c:showBubbleSize val="0"/>
        </c:dLbls>
        <c:smooth val="0"/>
        <c:axId val="717266032"/>
        <c:axId val="717268432"/>
      </c:lineChart>
      <c:catAx>
        <c:axId val="71726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717268432"/>
        <c:crosses val="autoZero"/>
        <c:auto val="1"/>
        <c:lblAlgn val="ctr"/>
        <c:lblOffset val="100"/>
        <c:noMultiLvlLbl val="0"/>
      </c:catAx>
      <c:valAx>
        <c:axId val="71726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71726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factory!PivotTable18</c:name>
    <c:fmtId val="5"/>
  </c:pivotSource>
  <c:chart>
    <c:title>
      <c:tx>
        <c:rich>
          <a:bodyPr rot="0" spcFirstLastPara="1" vertOverflow="ellipsis" vert="horz" wrap="square" anchor="ctr" anchorCtr="1"/>
          <a:lstStyle/>
          <a:p>
            <a:pPr algn="ctr" rtl="0">
              <a:defRPr lang="en-US" sz="1260" b="1" i="0" u="none" strike="noStrike" kern="1200" spc="0" baseline="0">
                <a:solidFill>
                  <a:schemeClr val="tx1"/>
                </a:solidFill>
                <a:latin typeface="+mn-lt"/>
                <a:ea typeface="+mn-ea"/>
                <a:cs typeface="+mn-cs"/>
              </a:defRPr>
            </a:pPr>
            <a:r>
              <a:rPr lang="en-US"/>
              <a:t>MTBF</a:t>
            </a:r>
          </a:p>
        </c:rich>
      </c:tx>
      <c:overlay val="1"/>
      <c:spPr>
        <a:noFill/>
        <a:ln>
          <a:noFill/>
        </a:ln>
        <a:effectLst/>
      </c:spPr>
      <c:txPr>
        <a:bodyPr rot="0" spcFirstLastPara="1" vertOverflow="ellipsis" vert="horz" wrap="square" anchor="ctr" anchorCtr="1"/>
        <a:lstStyle/>
        <a:p>
          <a:pPr algn="ctr" rtl="0">
            <a:defRPr lang="en-US" sz="1260" b="1" i="0" u="none" strike="noStrike" kern="1200" spc="0" baseline="0">
              <a:solidFill>
                <a:schemeClr val="tx1"/>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factory'!$AG$9</c:f>
              <c:strCache>
                <c:ptCount val="1"/>
                <c:pt idx="0">
                  <c:v>Average of هدف MTBF</c:v>
                </c:pt>
              </c:strCache>
            </c:strRef>
          </c:tx>
          <c:spPr>
            <a:ln w="28575" cap="rnd">
              <a:solidFill>
                <a:srgbClr val="92D050"/>
              </a:solidFill>
              <a:prstDash val="dash"/>
              <a:round/>
            </a:ln>
            <a:effectLst/>
          </c:spPr>
          <c:marker>
            <c:symbol val="none"/>
          </c:marker>
          <c:cat>
            <c:strRef>
              <c:f>'all of factory'!$AF$10:$AF$21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factory'!$AG$10:$AG$21</c:f>
              <c:numCache>
                <c:formatCode>General</c:formatCode>
                <c:ptCount val="11"/>
                <c:pt idx="0">
                  <c:v>720</c:v>
                </c:pt>
                <c:pt idx="1">
                  <c:v>720</c:v>
                </c:pt>
                <c:pt idx="2">
                  <c:v>720</c:v>
                </c:pt>
                <c:pt idx="3">
                  <c:v>720</c:v>
                </c:pt>
                <c:pt idx="4">
                  <c:v>720</c:v>
                </c:pt>
                <c:pt idx="5">
                  <c:v>720</c:v>
                </c:pt>
                <c:pt idx="6">
                  <c:v>720</c:v>
                </c:pt>
                <c:pt idx="7">
                  <c:v>720</c:v>
                </c:pt>
                <c:pt idx="8">
                  <c:v>720</c:v>
                </c:pt>
                <c:pt idx="9">
                  <c:v>720</c:v>
                </c:pt>
                <c:pt idx="10">
                  <c:v>#N/A</c:v>
                </c:pt>
              </c:numCache>
            </c:numRef>
          </c:val>
          <c:smooth val="0"/>
          <c:extLst>
            <c:ext xmlns:c16="http://schemas.microsoft.com/office/drawing/2014/chart" uri="{C3380CC4-5D6E-409C-BE32-E72D297353CC}">
              <c16:uniqueId val="{00000000-2E46-4F5A-BD04-5BEBF3353060}"/>
            </c:ext>
          </c:extLst>
        </c:ser>
        <c:ser>
          <c:idx val="1"/>
          <c:order val="1"/>
          <c:tx>
            <c:strRef>
              <c:f>'all of factory'!$AH$9</c:f>
              <c:strCache>
                <c:ptCount val="1"/>
                <c:pt idx="0">
                  <c:v>Average of مبنا MTBF</c:v>
                </c:pt>
              </c:strCache>
            </c:strRef>
          </c:tx>
          <c:spPr>
            <a:ln w="28575" cap="rnd">
              <a:solidFill>
                <a:srgbClr val="FF0000"/>
              </a:solidFill>
              <a:prstDash val="dash"/>
              <a:round/>
            </a:ln>
            <a:effectLst/>
          </c:spPr>
          <c:marker>
            <c:symbol val="none"/>
          </c:marker>
          <c:cat>
            <c:strRef>
              <c:f>'all of factory'!$AF$10:$AF$21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factory'!$AH$10:$AH$21</c:f>
              <c:numCache>
                <c:formatCode>General</c:formatCode>
                <c:ptCount val="11"/>
                <c:pt idx="0">
                  <c:v>360</c:v>
                </c:pt>
                <c:pt idx="1">
                  <c:v>360</c:v>
                </c:pt>
                <c:pt idx="2">
                  <c:v>360</c:v>
                </c:pt>
                <c:pt idx="3">
                  <c:v>360</c:v>
                </c:pt>
                <c:pt idx="4">
                  <c:v>360</c:v>
                </c:pt>
                <c:pt idx="5">
                  <c:v>360</c:v>
                </c:pt>
                <c:pt idx="6">
                  <c:v>360</c:v>
                </c:pt>
                <c:pt idx="7">
                  <c:v>360</c:v>
                </c:pt>
                <c:pt idx="8">
                  <c:v>360</c:v>
                </c:pt>
              </c:numCache>
            </c:numRef>
          </c:val>
          <c:smooth val="0"/>
          <c:extLst>
            <c:ext xmlns:c16="http://schemas.microsoft.com/office/drawing/2014/chart" uri="{C3380CC4-5D6E-409C-BE32-E72D297353CC}">
              <c16:uniqueId val="{00000001-2E46-4F5A-BD04-5BEBF3353060}"/>
            </c:ext>
          </c:extLst>
        </c:ser>
        <c:ser>
          <c:idx val="2"/>
          <c:order val="2"/>
          <c:tx>
            <c:strRef>
              <c:f>'all of factory'!$AI$9</c:f>
              <c:strCache>
                <c:ptCount val="1"/>
                <c:pt idx="0">
                  <c:v>Average of TBF(hours)</c:v>
                </c:pt>
              </c:strCache>
            </c:strRef>
          </c:tx>
          <c:spPr>
            <a:ln w="28575" cap="rnd">
              <a:solidFill>
                <a:schemeClr val="accent3"/>
              </a:solidFill>
              <a:round/>
            </a:ln>
            <a:effectLst/>
          </c:spPr>
          <c:marker>
            <c:symbol val="none"/>
          </c:marker>
          <c:cat>
            <c:strRef>
              <c:f>'all of factory'!$AF$10:$AF$21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factory'!$AI$10:$AI$21</c:f>
              <c:numCache>
                <c:formatCode>General</c:formatCode>
                <c:ptCount val="11"/>
                <c:pt idx="0">
                  <c:v>944.42499999999995</c:v>
                </c:pt>
                <c:pt idx="1">
                  <c:v>260.8366666666667</c:v>
                </c:pt>
                <c:pt idx="2">
                  <c:v>236.78550724637685</c:v>
                </c:pt>
                <c:pt idx="3">
                  <c:v>372.68095238095242</c:v>
                </c:pt>
                <c:pt idx="4">
                  <c:v>518.86176470588248</c:v>
                </c:pt>
                <c:pt idx="5">
                  <c:v>717.63240740740753</c:v>
                </c:pt>
                <c:pt idx="6">
                  <c:v>371.67999999999995</c:v>
                </c:pt>
                <c:pt idx="7">
                  <c:v>150.91875000006215</c:v>
                </c:pt>
                <c:pt idx="8">
                  <c:v>217.03333333333336</c:v>
                </c:pt>
                <c:pt idx="9">
                  <c:v>352.22222222222223</c:v>
                </c:pt>
                <c:pt idx="10">
                  <c:v>741.13333333333333</c:v>
                </c:pt>
              </c:numCache>
            </c:numRef>
          </c:val>
          <c:smooth val="0"/>
          <c:extLst>
            <c:ext xmlns:c16="http://schemas.microsoft.com/office/drawing/2014/chart" uri="{C3380CC4-5D6E-409C-BE32-E72D297353CC}">
              <c16:uniqueId val="{00000002-2E46-4F5A-BD04-5BEBF3353060}"/>
            </c:ext>
          </c:extLst>
        </c:ser>
        <c:dLbls>
          <c:showLegendKey val="0"/>
          <c:showVal val="0"/>
          <c:showCatName val="0"/>
          <c:showSerName val="0"/>
          <c:showPercent val="0"/>
          <c:showBubbleSize val="0"/>
        </c:dLbls>
        <c:smooth val="0"/>
        <c:axId val="1630857904"/>
        <c:axId val="1630843024"/>
      </c:lineChart>
      <c:catAx>
        <c:axId val="163085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1630843024"/>
        <c:crosses val="autoZero"/>
        <c:auto val="1"/>
        <c:lblAlgn val="ctr"/>
        <c:lblOffset val="100"/>
        <c:noMultiLvlLbl val="0"/>
      </c:catAx>
      <c:valAx>
        <c:axId val="163084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fa-IR"/>
          </a:p>
        </c:txPr>
        <c:crossAx val="163085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50" b="1" i="0" u="none" strike="noStrike" kern="1200" baseline="0">
          <a:solidFill>
            <a:schemeClr val="tx1"/>
          </a:solidFill>
          <a:latin typeface="+mn-lt"/>
          <a:ea typeface="+mn-ea"/>
          <a:cs typeface="+mn-cs"/>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factory!PivotTable19</c:name>
    <c:fmtId val="7"/>
  </c:pivotSource>
  <c:chart>
    <c:title>
      <c:tx>
        <c:rich>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r>
              <a:rPr lang="en-US" sz="1260" b="1" i="0" u="none" strike="noStrike" kern="1200" spc="0" baseline="0">
                <a:solidFill>
                  <a:sysClr val="windowText" lastClr="000000"/>
                </a:solidFill>
                <a:latin typeface="+mn-lt"/>
                <a:ea typeface="+mn-ea"/>
                <a:cs typeface="+mn-cs"/>
              </a:rPr>
              <a:t>MTTR</a:t>
            </a:r>
          </a:p>
        </c:rich>
      </c:tx>
      <c:overlay val="1"/>
      <c:spPr>
        <a:noFill/>
        <a:ln>
          <a:noFill/>
        </a:ln>
        <a:effectLst/>
      </c:spPr>
      <c:txPr>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6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factory'!$AL$9</c:f>
              <c:strCache>
                <c:ptCount val="1"/>
                <c:pt idx="0">
                  <c:v>Average of هدف MTTR</c:v>
                </c:pt>
              </c:strCache>
            </c:strRef>
          </c:tx>
          <c:spPr>
            <a:ln w="28575" cap="rnd">
              <a:solidFill>
                <a:srgbClr val="92D050"/>
              </a:solidFill>
              <a:prstDash val="dash"/>
              <a:round/>
            </a:ln>
            <a:effectLst/>
          </c:spPr>
          <c:marker>
            <c:symbol val="none"/>
          </c:marker>
          <c:cat>
            <c:strRef>
              <c:f>'all of factory'!$AK$10:$AK$21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factory'!$AL$10:$AL$21</c:f>
              <c:numCache>
                <c:formatCode>General</c:formatCode>
                <c:ptCount val="11"/>
                <c:pt idx="0">
                  <c:v>0.19999999999999998</c:v>
                </c:pt>
                <c:pt idx="1">
                  <c:v>0.20000000000000007</c:v>
                </c:pt>
                <c:pt idx="2">
                  <c:v>0.20000000000000007</c:v>
                </c:pt>
                <c:pt idx="3">
                  <c:v>0.19999999999999998</c:v>
                </c:pt>
                <c:pt idx="4">
                  <c:v>0.20000000000000007</c:v>
                </c:pt>
                <c:pt idx="5">
                  <c:v>0.20000000000000007</c:v>
                </c:pt>
                <c:pt idx="6">
                  <c:v>0.20000000000000004</c:v>
                </c:pt>
                <c:pt idx="7">
                  <c:v>0.20000000000000009</c:v>
                </c:pt>
                <c:pt idx="8">
                  <c:v>0.2</c:v>
                </c:pt>
                <c:pt idx="9">
                  <c:v>0.20000000000000004</c:v>
                </c:pt>
                <c:pt idx="10">
                  <c:v>#N/A</c:v>
                </c:pt>
              </c:numCache>
            </c:numRef>
          </c:val>
          <c:smooth val="0"/>
          <c:extLst>
            <c:ext xmlns:c16="http://schemas.microsoft.com/office/drawing/2014/chart" uri="{C3380CC4-5D6E-409C-BE32-E72D297353CC}">
              <c16:uniqueId val="{00000000-597E-463B-8087-42125CFAF19A}"/>
            </c:ext>
          </c:extLst>
        </c:ser>
        <c:ser>
          <c:idx val="1"/>
          <c:order val="1"/>
          <c:tx>
            <c:strRef>
              <c:f>'all of factory'!$AM$9</c:f>
              <c:strCache>
                <c:ptCount val="1"/>
                <c:pt idx="0">
                  <c:v>Average of مبنا MTTR</c:v>
                </c:pt>
              </c:strCache>
            </c:strRef>
          </c:tx>
          <c:spPr>
            <a:ln w="28575" cap="rnd">
              <a:solidFill>
                <a:srgbClr val="F60000"/>
              </a:solidFill>
              <a:prstDash val="dash"/>
              <a:round/>
            </a:ln>
            <a:effectLst/>
          </c:spPr>
          <c:marker>
            <c:symbol val="none"/>
          </c:marker>
          <c:cat>
            <c:strRef>
              <c:f>'all of factory'!$AK$10:$AK$21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factory'!$AM$10:$AM$21</c:f>
              <c:numCache>
                <c:formatCode>General</c:formatCode>
                <c:ptCount val="11"/>
                <c:pt idx="0">
                  <c:v>24</c:v>
                </c:pt>
                <c:pt idx="1">
                  <c:v>24</c:v>
                </c:pt>
                <c:pt idx="2">
                  <c:v>24</c:v>
                </c:pt>
                <c:pt idx="3">
                  <c:v>24</c:v>
                </c:pt>
                <c:pt idx="4">
                  <c:v>24</c:v>
                </c:pt>
                <c:pt idx="5">
                  <c:v>24</c:v>
                </c:pt>
                <c:pt idx="6">
                  <c:v>24</c:v>
                </c:pt>
                <c:pt idx="7">
                  <c:v>24</c:v>
                </c:pt>
                <c:pt idx="8">
                  <c:v>24</c:v>
                </c:pt>
                <c:pt idx="9">
                  <c:v>24</c:v>
                </c:pt>
                <c:pt idx="10">
                  <c:v>#N/A</c:v>
                </c:pt>
              </c:numCache>
            </c:numRef>
          </c:val>
          <c:smooth val="0"/>
          <c:extLst>
            <c:ext xmlns:c16="http://schemas.microsoft.com/office/drawing/2014/chart" uri="{C3380CC4-5D6E-409C-BE32-E72D297353CC}">
              <c16:uniqueId val="{00000001-597E-463B-8087-42125CFAF19A}"/>
            </c:ext>
          </c:extLst>
        </c:ser>
        <c:ser>
          <c:idx val="2"/>
          <c:order val="2"/>
          <c:tx>
            <c:strRef>
              <c:f>'all of factory'!$AN$9</c:f>
              <c:strCache>
                <c:ptCount val="1"/>
                <c:pt idx="0">
                  <c:v>Average of TTR(mints)</c:v>
                </c:pt>
              </c:strCache>
            </c:strRef>
          </c:tx>
          <c:spPr>
            <a:ln w="28575" cap="rnd">
              <a:solidFill>
                <a:schemeClr val="accent3"/>
              </a:solidFill>
              <a:round/>
            </a:ln>
            <a:effectLst/>
          </c:spPr>
          <c:marker>
            <c:symbol val="none"/>
          </c:marker>
          <c:cat>
            <c:strRef>
              <c:f>'all of factory'!$AK$10:$AK$21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'all of factory'!$AN$10:$AN$21</c:f>
              <c:numCache>
                <c:formatCode>General</c:formatCode>
                <c:ptCount val="11"/>
                <c:pt idx="0">
                  <c:v>1.4916666666666669</c:v>
                </c:pt>
                <c:pt idx="1">
                  <c:v>11.618840579710144</c:v>
                </c:pt>
                <c:pt idx="2">
                  <c:v>11.028030303030301</c:v>
                </c:pt>
                <c:pt idx="3">
                  <c:v>15.312962962962956</c:v>
                </c:pt>
                <c:pt idx="4">
                  <c:v>8.3192982456140356</c:v>
                </c:pt>
                <c:pt idx="5">
                  <c:v>3.4175925925925923</c:v>
                </c:pt>
                <c:pt idx="6">
                  <c:v>38.776984126984125</c:v>
                </c:pt>
                <c:pt idx="7">
                  <c:v>13.7080808080206</c:v>
                </c:pt>
                <c:pt idx="8">
                  <c:v>3.0300000000000002</c:v>
                </c:pt>
                <c:pt idx="9">
                  <c:v>1.0444444444444445</c:v>
                </c:pt>
                <c:pt idx="10">
                  <c:v>4.5611111111111109</c:v>
                </c:pt>
              </c:numCache>
            </c:numRef>
          </c:val>
          <c:smooth val="0"/>
          <c:extLst>
            <c:ext xmlns:c16="http://schemas.microsoft.com/office/drawing/2014/chart" uri="{C3380CC4-5D6E-409C-BE32-E72D297353CC}">
              <c16:uniqueId val="{00000002-597E-463B-8087-42125CFAF19A}"/>
            </c:ext>
          </c:extLst>
        </c:ser>
        <c:dLbls>
          <c:showLegendKey val="0"/>
          <c:showVal val="0"/>
          <c:showCatName val="0"/>
          <c:showSerName val="0"/>
          <c:showPercent val="0"/>
          <c:showBubbleSize val="0"/>
        </c:dLbls>
        <c:smooth val="0"/>
        <c:axId val="1649013904"/>
        <c:axId val="1649017264"/>
      </c:lineChart>
      <c:catAx>
        <c:axId val="164901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1649017264"/>
        <c:crosses val="autoZero"/>
        <c:auto val="1"/>
        <c:lblAlgn val="ctr"/>
        <c:lblOffset val="100"/>
        <c:noMultiLvlLbl val="0"/>
      </c:catAx>
      <c:valAx>
        <c:axId val="164901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164901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factory!PivotTable20</c:name>
    <c:fmtId val="5"/>
  </c:pivotSource>
  <c:chart>
    <c:title>
      <c:tx>
        <c:rich>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r>
              <a:rPr lang="en-US" sz="1260" b="1" i="0" u="none" strike="noStrike" kern="1200" spc="0" baseline="0">
                <a:solidFill>
                  <a:sysClr val="windowText" lastClr="000000"/>
                </a:solidFill>
                <a:latin typeface="+mn-lt"/>
                <a:ea typeface="+mn-ea"/>
                <a:cs typeface="+mn-cs"/>
              </a:rPr>
              <a:t>MTBF</a:t>
            </a:r>
          </a:p>
        </c:rich>
      </c:tx>
      <c:overlay val="0"/>
      <c:spPr>
        <a:noFill/>
        <a:ln>
          <a:noFill/>
        </a:ln>
        <a:effectLst/>
      </c:spPr>
      <c:txPr>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3737"/>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factory'!$AQ$9</c:f>
              <c:strCache>
                <c:ptCount val="1"/>
                <c:pt idx="0">
                  <c:v>Average of هدف MTBF</c:v>
                </c:pt>
              </c:strCache>
            </c:strRef>
          </c:tx>
          <c:spPr>
            <a:ln w="28575" cap="rnd">
              <a:solidFill>
                <a:srgbClr val="92D050"/>
              </a:solidFill>
              <a:prstDash val="dash"/>
              <a:round/>
            </a:ln>
            <a:effectLst/>
          </c:spPr>
          <c:marker>
            <c:symbol val="none"/>
          </c:marker>
          <c:cat>
            <c:strRef>
              <c:f>'all of factory'!$AP$10:$AP$17</c:f>
              <c:strCache>
                <c:ptCount val="7"/>
                <c:pt idx="0">
                  <c:v>2</c:v>
                </c:pt>
                <c:pt idx="1">
                  <c:v>3</c:v>
                </c:pt>
                <c:pt idx="2">
                  <c:v>4</c:v>
                </c:pt>
                <c:pt idx="3">
                  <c:v>5</c:v>
                </c:pt>
                <c:pt idx="4">
                  <c:v>6</c:v>
                </c:pt>
                <c:pt idx="5">
                  <c:v>8</c:v>
                </c:pt>
                <c:pt idx="6">
                  <c:v>9</c:v>
                </c:pt>
              </c:strCache>
            </c:strRef>
          </c:cat>
          <c:val>
            <c:numRef>
              <c:f>'all of factory'!$AQ$10:$AQ$17</c:f>
              <c:numCache>
                <c:formatCode>General</c:formatCode>
                <c:ptCount val="7"/>
                <c:pt idx="0">
                  <c:v>720</c:v>
                </c:pt>
                <c:pt idx="1">
                  <c:v>720</c:v>
                </c:pt>
                <c:pt idx="2">
                  <c:v>720</c:v>
                </c:pt>
                <c:pt idx="3">
                  <c:v>720</c:v>
                </c:pt>
                <c:pt idx="4">
                  <c:v>720</c:v>
                </c:pt>
                <c:pt idx="5">
                  <c:v>720</c:v>
                </c:pt>
                <c:pt idx="6">
                  <c:v>720</c:v>
                </c:pt>
              </c:numCache>
            </c:numRef>
          </c:val>
          <c:smooth val="0"/>
          <c:extLst>
            <c:ext xmlns:c16="http://schemas.microsoft.com/office/drawing/2014/chart" uri="{C3380CC4-5D6E-409C-BE32-E72D297353CC}">
              <c16:uniqueId val="{00000000-6C3A-4321-AB1A-77B8E5560BE6}"/>
            </c:ext>
          </c:extLst>
        </c:ser>
        <c:ser>
          <c:idx val="1"/>
          <c:order val="1"/>
          <c:tx>
            <c:strRef>
              <c:f>'all of factory'!$AR$9</c:f>
              <c:strCache>
                <c:ptCount val="1"/>
                <c:pt idx="0">
                  <c:v>Average of مبنا MTBF</c:v>
                </c:pt>
              </c:strCache>
            </c:strRef>
          </c:tx>
          <c:spPr>
            <a:ln w="28575" cap="rnd">
              <a:solidFill>
                <a:srgbClr val="FF3737"/>
              </a:solidFill>
              <a:prstDash val="dash"/>
              <a:round/>
            </a:ln>
            <a:effectLst/>
          </c:spPr>
          <c:marker>
            <c:symbol val="none"/>
          </c:marker>
          <c:cat>
            <c:strRef>
              <c:f>'all of factory'!$AP$10:$AP$17</c:f>
              <c:strCache>
                <c:ptCount val="7"/>
                <c:pt idx="0">
                  <c:v>2</c:v>
                </c:pt>
                <c:pt idx="1">
                  <c:v>3</c:v>
                </c:pt>
                <c:pt idx="2">
                  <c:v>4</c:v>
                </c:pt>
                <c:pt idx="3">
                  <c:v>5</c:v>
                </c:pt>
                <c:pt idx="4">
                  <c:v>6</c:v>
                </c:pt>
                <c:pt idx="5">
                  <c:v>8</c:v>
                </c:pt>
                <c:pt idx="6">
                  <c:v>9</c:v>
                </c:pt>
              </c:strCache>
            </c:strRef>
          </c:cat>
          <c:val>
            <c:numRef>
              <c:f>'all of factory'!$AR$10:$AR$17</c:f>
              <c:numCache>
                <c:formatCode>General</c:formatCode>
                <c:ptCount val="7"/>
                <c:pt idx="0">
                  <c:v>360</c:v>
                </c:pt>
                <c:pt idx="1">
                  <c:v>360</c:v>
                </c:pt>
                <c:pt idx="2">
                  <c:v>360</c:v>
                </c:pt>
                <c:pt idx="3">
                  <c:v>360</c:v>
                </c:pt>
                <c:pt idx="4">
                  <c:v>360</c:v>
                </c:pt>
                <c:pt idx="5">
                  <c:v>360</c:v>
                </c:pt>
                <c:pt idx="6">
                  <c:v>360</c:v>
                </c:pt>
              </c:numCache>
            </c:numRef>
          </c:val>
          <c:smooth val="0"/>
          <c:extLst>
            <c:ext xmlns:c16="http://schemas.microsoft.com/office/drawing/2014/chart" uri="{C3380CC4-5D6E-409C-BE32-E72D297353CC}">
              <c16:uniqueId val="{00000001-6C3A-4321-AB1A-77B8E5560BE6}"/>
            </c:ext>
          </c:extLst>
        </c:ser>
        <c:ser>
          <c:idx val="2"/>
          <c:order val="2"/>
          <c:tx>
            <c:strRef>
              <c:f>'all of factory'!$AS$9</c:f>
              <c:strCache>
                <c:ptCount val="1"/>
                <c:pt idx="0">
                  <c:v>Average of TBF(hours)</c:v>
                </c:pt>
              </c:strCache>
            </c:strRef>
          </c:tx>
          <c:spPr>
            <a:ln w="28575" cap="rnd">
              <a:solidFill>
                <a:schemeClr val="accent3"/>
              </a:solidFill>
              <a:round/>
            </a:ln>
            <a:effectLst/>
          </c:spPr>
          <c:marker>
            <c:symbol val="none"/>
          </c:marker>
          <c:cat>
            <c:strRef>
              <c:f>'all of factory'!$AP$10:$AP$17</c:f>
              <c:strCache>
                <c:ptCount val="7"/>
                <c:pt idx="0">
                  <c:v>2</c:v>
                </c:pt>
                <c:pt idx="1">
                  <c:v>3</c:v>
                </c:pt>
                <c:pt idx="2">
                  <c:v>4</c:v>
                </c:pt>
                <c:pt idx="3">
                  <c:v>5</c:v>
                </c:pt>
                <c:pt idx="4">
                  <c:v>6</c:v>
                </c:pt>
                <c:pt idx="5">
                  <c:v>8</c:v>
                </c:pt>
                <c:pt idx="6">
                  <c:v>9</c:v>
                </c:pt>
              </c:strCache>
            </c:strRef>
          </c:cat>
          <c:val>
            <c:numRef>
              <c:f>'all of factory'!$AS$10:$AS$17</c:f>
              <c:numCache>
                <c:formatCode>General</c:formatCode>
                <c:ptCount val="7"/>
                <c:pt idx="0">
                  <c:v>#N/A</c:v>
                </c:pt>
                <c:pt idx="1">
                  <c:v>4005.8583333333331</c:v>
                </c:pt>
                <c:pt idx="2">
                  <c:v>1459.5958333333333</c:v>
                </c:pt>
                <c:pt idx="3">
                  <c:v>76.454166666666666</c:v>
                </c:pt>
                <c:pt idx="4">
                  <c:v>2642.2944444444443</c:v>
                </c:pt>
                <c:pt idx="5">
                  <c:v>752.09666666666669</c:v>
                </c:pt>
                <c:pt idx="6">
                  <c:v>455.75</c:v>
                </c:pt>
              </c:numCache>
            </c:numRef>
          </c:val>
          <c:smooth val="0"/>
          <c:extLst>
            <c:ext xmlns:c16="http://schemas.microsoft.com/office/drawing/2014/chart" uri="{C3380CC4-5D6E-409C-BE32-E72D297353CC}">
              <c16:uniqueId val="{00000002-6C3A-4321-AB1A-77B8E5560BE6}"/>
            </c:ext>
          </c:extLst>
        </c:ser>
        <c:dLbls>
          <c:showLegendKey val="0"/>
          <c:showVal val="0"/>
          <c:showCatName val="0"/>
          <c:showSerName val="0"/>
          <c:showPercent val="0"/>
          <c:showBubbleSize val="0"/>
        </c:dLbls>
        <c:smooth val="0"/>
        <c:axId val="389096896"/>
        <c:axId val="389098816"/>
      </c:lineChart>
      <c:catAx>
        <c:axId val="38909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389098816"/>
        <c:crosses val="autoZero"/>
        <c:auto val="1"/>
        <c:lblAlgn val="ctr"/>
        <c:lblOffset val="100"/>
        <c:noMultiLvlLbl val="0"/>
      </c:catAx>
      <c:valAx>
        <c:axId val="389098816"/>
        <c:scaling>
          <c:orientation val="minMax"/>
          <c:max val="4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38909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factory!PivotTable21</c:name>
    <c:fmtId val="14"/>
  </c:pivotSource>
  <c:chart>
    <c:title>
      <c:tx>
        <c:rich>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r>
              <a:rPr lang="en-US" sz="1260" b="1" i="0" u="none" strike="noStrike" kern="1200" spc="0" baseline="0">
                <a:solidFill>
                  <a:sysClr val="windowText" lastClr="000000"/>
                </a:solidFill>
                <a:latin typeface="+mn-lt"/>
                <a:ea typeface="+mn-ea"/>
                <a:cs typeface="+mn-cs"/>
              </a:rPr>
              <a:t>MTTR</a:t>
            </a:r>
          </a:p>
        </c:rich>
      </c:tx>
      <c:overlay val="1"/>
      <c:spPr>
        <a:noFill/>
        <a:ln>
          <a:noFill/>
        </a:ln>
        <a:effectLst/>
      </c:spPr>
      <c:txPr>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6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factory'!$AV$9</c:f>
              <c:strCache>
                <c:ptCount val="1"/>
                <c:pt idx="0">
                  <c:v>Average of هدف MTTR</c:v>
                </c:pt>
              </c:strCache>
            </c:strRef>
          </c:tx>
          <c:spPr>
            <a:ln w="28575" cap="rnd">
              <a:solidFill>
                <a:srgbClr val="92D050"/>
              </a:solidFill>
              <a:prstDash val="dash"/>
              <a:round/>
            </a:ln>
            <a:effectLst/>
          </c:spPr>
          <c:marker>
            <c:symbol val="none"/>
          </c:marker>
          <c:cat>
            <c:strRef>
              <c:f>'all of factory'!$AU$10:$AU$17</c:f>
              <c:strCache>
                <c:ptCount val="7"/>
                <c:pt idx="0">
                  <c:v>2</c:v>
                </c:pt>
                <c:pt idx="1">
                  <c:v>3</c:v>
                </c:pt>
                <c:pt idx="2">
                  <c:v>4</c:v>
                </c:pt>
                <c:pt idx="3">
                  <c:v>5</c:v>
                </c:pt>
                <c:pt idx="4">
                  <c:v>6</c:v>
                </c:pt>
                <c:pt idx="5">
                  <c:v>8</c:v>
                </c:pt>
                <c:pt idx="6">
                  <c:v>9</c:v>
                </c:pt>
              </c:strCache>
            </c:strRef>
          </c:cat>
          <c:val>
            <c:numRef>
              <c:f>'all of factory'!$AV$10:$AV$17</c:f>
              <c:numCache>
                <c:formatCode>General</c:formatCode>
                <c:ptCount val="7"/>
                <c:pt idx="0">
                  <c:v>0.2</c:v>
                </c:pt>
                <c:pt idx="1">
                  <c:v>0.2</c:v>
                </c:pt>
                <c:pt idx="2">
                  <c:v>0.2</c:v>
                </c:pt>
                <c:pt idx="3">
                  <c:v>0.19999999999999998</c:v>
                </c:pt>
                <c:pt idx="4">
                  <c:v>0.20000000000000004</c:v>
                </c:pt>
                <c:pt idx="5">
                  <c:v>0.19999999999999998</c:v>
                </c:pt>
                <c:pt idx="6">
                  <c:v>0.2</c:v>
                </c:pt>
              </c:numCache>
            </c:numRef>
          </c:val>
          <c:smooth val="0"/>
          <c:extLst>
            <c:ext xmlns:c16="http://schemas.microsoft.com/office/drawing/2014/chart" uri="{C3380CC4-5D6E-409C-BE32-E72D297353CC}">
              <c16:uniqueId val="{00000000-01B4-4919-9442-F8EC4462C10A}"/>
            </c:ext>
          </c:extLst>
        </c:ser>
        <c:ser>
          <c:idx val="1"/>
          <c:order val="1"/>
          <c:tx>
            <c:strRef>
              <c:f>'all of factory'!$AW$9</c:f>
              <c:strCache>
                <c:ptCount val="1"/>
                <c:pt idx="0">
                  <c:v>Average of مبنا MTTR</c:v>
                </c:pt>
              </c:strCache>
            </c:strRef>
          </c:tx>
          <c:spPr>
            <a:ln w="28575" cap="rnd">
              <a:solidFill>
                <a:srgbClr val="F60000"/>
              </a:solidFill>
              <a:prstDash val="dash"/>
              <a:round/>
            </a:ln>
            <a:effectLst/>
          </c:spPr>
          <c:marker>
            <c:symbol val="none"/>
          </c:marker>
          <c:cat>
            <c:strRef>
              <c:f>'all of factory'!$AU$10:$AU$17</c:f>
              <c:strCache>
                <c:ptCount val="7"/>
                <c:pt idx="0">
                  <c:v>2</c:v>
                </c:pt>
                <c:pt idx="1">
                  <c:v>3</c:v>
                </c:pt>
                <c:pt idx="2">
                  <c:v>4</c:v>
                </c:pt>
                <c:pt idx="3">
                  <c:v>5</c:v>
                </c:pt>
                <c:pt idx="4">
                  <c:v>6</c:v>
                </c:pt>
                <c:pt idx="5">
                  <c:v>8</c:v>
                </c:pt>
                <c:pt idx="6">
                  <c:v>9</c:v>
                </c:pt>
              </c:strCache>
            </c:strRef>
          </c:cat>
          <c:val>
            <c:numRef>
              <c:f>'all of factory'!$AW$10:$AW$17</c:f>
              <c:numCache>
                <c:formatCode>General</c:formatCode>
                <c:ptCount val="7"/>
                <c:pt idx="0">
                  <c:v>24</c:v>
                </c:pt>
                <c:pt idx="1">
                  <c:v>24</c:v>
                </c:pt>
                <c:pt idx="2">
                  <c:v>24</c:v>
                </c:pt>
                <c:pt idx="3">
                  <c:v>24</c:v>
                </c:pt>
                <c:pt idx="4">
                  <c:v>24</c:v>
                </c:pt>
                <c:pt idx="5">
                  <c:v>24</c:v>
                </c:pt>
                <c:pt idx="6">
                  <c:v>24</c:v>
                </c:pt>
              </c:numCache>
            </c:numRef>
          </c:val>
          <c:smooth val="0"/>
          <c:extLst>
            <c:ext xmlns:c16="http://schemas.microsoft.com/office/drawing/2014/chart" uri="{C3380CC4-5D6E-409C-BE32-E72D297353CC}">
              <c16:uniqueId val="{00000001-01B4-4919-9442-F8EC4462C10A}"/>
            </c:ext>
          </c:extLst>
        </c:ser>
        <c:ser>
          <c:idx val="2"/>
          <c:order val="2"/>
          <c:tx>
            <c:strRef>
              <c:f>'all of factory'!$AX$9</c:f>
              <c:strCache>
                <c:ptCount val="1"/>
                <c:pt idx="0">
                  <c:v>Average of TTR(mints)</c:v>
                </c:pt>
              </c:strCache>
            </c:strRef>
          </c:tx>
          <c:spPr>
            <a:ln w="28575" cap="rnd">
              <a:solidFill>
                <a:schemeClr val="accent3"/>
              </a:solidFill>
              <a:round/>
            </a:ln>
            <a:effectLst/>
          </c:spPr>
          <c:marker>
            <c:symbol val="none"/>
          </c:marker>
          <c:cat>
            <c:strRef>
              <c:f>'all of factory'!$AU$10:$AU$17</c:f>
              <c:strCache>
                <c:ptCount val="7"/>
                <c:pt idx="0">
                  <c:v>2</c:v>
                </c:pt>
                <c:pt idx="1">
                  <c:v>3</c:v>
                </c:pt>
                <c:pt idx="2">
                  <c:v>4</c:v>
                </c:pt>
                <c:pt idx="3">
                  <c:v>5</c:v>
                </c:pt>
                <c:pt idx="4">
                  <c:v>6</c:v>
                </c:pt>
                <c:pt idx="5">
                  <c:v>8</c:v>
                </c:pt>
                <c:pt idx="6">
                  <c:v>9</c:v>
                </c:pt>
              </c:strCache>
            </c:strRef>
          </c:cat>
          <c:val>
            <c:numRef>
              <c:f>'all of factory'!$AX$10:$AX$17</c:f>
              <c:numCache>
                <c:formatCode>General</c:formatCode>
                <c:ptCount val="7"/>
                <c:pt idx="0">
                  <c:v>3.5</c:v>
                </c:pt>
                <c:pt idx="1">
                  <c:v>11.954166666666666</c:v>
                </c:pt>
                <c:pt idx="2">
                  <c:v>0.46666666666666667</c:v>
                </c:pt>
                <c:pt idx="3">
                  <c:v>0.41666666666666663</c:v>
                </c:pt>
                <c:pt idx="4">
                  <c:v>1.1444444444444444</c:v>
                </c:pt>
                <c:pt idx="5">
                  <c:v>3.0166666666666671</c:v>
                </c:pt>
                <c:pt idx="6">
                  <c:v>0.5</c:v>
                </c:pt>
              </c:numCache>
            </c:numRef>
          </c:val>
          <c:smooth val="0"/>
          <c:extLst>
            <c:ext xmlns:c16="http://schemas.microsoft.com/office/drawing/2014/chart" uri="{C3380CC4-5D6E-409C-BE32-E72D297353CC}">
              <c16:uniqueId val="{00000002-01B4-4919-9442-F8EC4462C10A}"/>
            </c:ext>
          </c:extLst>
        </c:ser>
        <c:dLbls>
          <c:showLegendKey val="0"/>
          <c:showVal val="0"/>
          <c:showCatName val="0"/>
          <c:showSerName val="0"/>
          <c:showPercent val="0"/>
          <c:showBubbleSize val="0"/>
        </c:dLbls>
        <c:smooth val="0"/>
        <c:axId val="1649032624"/>
        <c:axId val="1649010544"/>
      </c:lineChart>
      <c:catAx>
        <c:axId val="16490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1649010544"/>
        <c:crosses val="autoZero"/>
        <c:auto val="1"/>
        <c:lblAlgn val="ctr"/>
        <c:lblOffset val="100"/>
        <c:noMultiLvlLbl val="0"/>
      </c:catAx>
      <c:valAx>
        <c:axId val="164901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164903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factory!PivotTable26</c:name>
    <c:fmtId val="8"/>
  </c:pivotSource>
  <c:chart>
    <c:title>
      <c:tx>
        <c:rich>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r>
              <a:rPr lang="en-US"/>
              <a:t>MTBF</a:t>
            </a:r>
          </a:p>
        </c:rich>
      </c:tx>
      <c:overlay val="1"/>
      <c:spPr>
        <a:noFill/>
        <a:ln>
          <a:noFill/>
        </a:ln>
        <a:effectLst/>
      </c:spPr>
      <c:txPr>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5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factory'!$M$9</c:f>
              <c:strCache>
                <c:ptCount val="1"/>
                <c:pt idx="0">
                  <c:v>Average of هدف MTBF</c:v>
                </c:pt>
              </c:strCache>
            </c:strRef>
          </c:tx>
          <c:spPr>
            <a:ln w="28575" cap="rnd">
              <a:solidFill>
                <a:srgbClr val="92D050"/>
              </a:solidFill>
              <a:prstDash val="dash"/>
              <a:round/>
            </a:ln>
            <a:effectLst/>
          </c:spPr>
          <c:marker>
            <c:symbol val="none"/>
          </c:marker>
          <c:cat>
            <c:strRef>
              <c:f>'all of factory'!$L$10:$L$14</c:f>
              <c:strCache>
                <c:ptCount val="4"/>
                <c:pt idx="0">
                  <c:v>1</c:v>
                </c:pt>
                <c:pt idx="1">
                  <c:v>2</c:v>
                </c:pt>
                <c:pt idx="2">
                  <c:v>3</c:v>
                </c:pt>
                <c:pt idx="3">
                  <c:v>7</c:v>
                </c:pt>
              </c:strCache>
            </c:strRef>
          </c:cat>
          <c:val>
            <c:numRef>
              <c:f>'all of factory'!$M$10:$M$14</c:f>
              <c:numCache>
                <c:formatCode>General</c:formatCode>
                <c:ptCount val="4"/>
                <c:pt idx="0">
                  <c:v>720</c:v>
                </c:pt>
                <c:pt idx="1">
                  <c:v>720</c:v>
                </c:pt>
                <c:pt idx="2">
                  <c:v>720</c:v>
                </c:pt>
                <c:pt idx="3">
                  <c:v>720</c:v>
                </c:pt>
              </c:numCache>
            </c:numRef>
          </c:val>
          <c:smooth val="0"/>
          <c:extLst>
            <c:ext xmlns:c16="http://schemas.microsoft.com/office/drawing/2014/chart" uri="{C3380CC4-5D6E-409C-BE32-E72D297353CC}">
              <c16:uniqueId val="{00000000-1796-489F-94FF-9DEEF8B27324}"/>
            </c:ext>
          </c:extLst>
        </c:ser>
        <c:ser>
          <c:idx val="1"/>
          <c:order val="1"/>
          <c:tx>
            <c:strRef>
              <c:f>'all of factory'!$N$9</c:f>
              <c:strCache>
                <c:ptCount val="1"/>
                <c:pt idx="0">
                  <c:v>Average of مبنا MTBF</c:v>
                </c:pt>
              </c:strCache>
            </c:strRef>
          </c:tx>
          <c:spPr>
            <a:ln w="28575" cap="rnd">
              <a:solidFill>
                <a:srgbClr val="FF5050"/>
              </a:solidFill>
              <a:prstDash val="dash"/>
              <a:round/>
            </a:ln>
            <a:effectLst/>
          </c:spPr>
          <c:marker>
            <c:symbol val="none"/>
          </c:marker>
          <c:cat>
            <c:strRef>
              <c:f>'all of factory'!$L$10:$L$14</c:f>
              <c:strCache>
                <c:ptCount val="4"/>
                <c:pt idx="0">
                  <c:v>1</c:v>
                </c:pt>
                <c:pt idx="1">
                  <c:v>2</c:v>
                </c:pt>
                <c:pt idx="2">
                  <c:v>3</c:v>
                </c:pt>
                <c:pt idx="3">
                  <c:v>7</c:v>
                </c:pt>
              </c:strCache>
            </c:strRef>
          </c:cat>
          <c:val>
            <c:numRef>
              <c:f>'all of factory'!$N$10:$N$14</c:f>
              <c:numCache>
                <c:formatCode>General</c:formatCode>
                <c:ptCount val="4"/>
                <c:pt idx="0">
                  <c:v>360</c:v>
                </c:pt>
                <c:pt idx="1">
                  <c:v>360</c:v>
                </c:pt>
                <c:pt idx="2">
                  <c:v>360</c:v>
                </c:pt>
                <c:pt idx="3">
                  <c:v>360</c:v>
                </c:pt>
              </c:numCache>
            </c:numRef>
          </c:val>
          <c:smooth val="0"/>
          <c:extLst>
            <c:ext xmlns:c16="http://schemas.microsoft.com/office/drawing/2014/chart" uri="{C3380CC4-5D6E-409C-BE32-E72D297353CC}">
              <c16:uniqueId val="{00000001-1796-489F-94FF-9DEEF8B27324}"/>
            </c:ext>
          </c:extLst>
        </c:ser>
        <c:ser>
          <c:idx val="2"/>
          <c:order val="2"/>
          <c:tx>
            <c:strRef>
              <c:f>'all of factory'!$O$9</c:f>
              <c:strCache>
                <c:ptCount val="1"/>
                <c:pt idx="0">
                  <c:v>Average of TBF(hours)</c:v>
                </c:pt>
              </c:strCache>
            </c:strRef>
          </c:tx>
          <c:spPr>
            <a:ln w="28575" cap="rnd">
              <a:solidFill>
                <a:schemeClr val="accent3"/>
              </a:solidFill>
              <a:round/>
            </a:ln>
            <a:effectLst/>
          </c:spPr>
          <c:marker>
            <c:symbol val="none"/>
          </c:marker>
          <c:cat>
            <c:strRef>
              <c:f>'all of factory'!$L$10:$L$14</c:f>
              <c:strCache>
                <c:ptCount val="4"/>
                <c:pt idx="0">
                  <c:v>1</c:v>
                </c:pt>
                <c:pt idx="1">
                  <c:v>2</c:v>
                </c:pt>
                <c:pt idx="2">
                  <c:v>3</c:v>
                </c:pt>
                <c:pt idx="3">
                  <c:v>7</c:v>
                </c:pt>
              </c:strCache>
            </c:strRef>
          </c:cat>
          <c:val>
            <c:numRef>
              <c:f>'all of factory'!$O$10:$O$14</c:f>
              <c:numCache>
                <c:formatCode>General</c:formatCode>
                <c:ptCount val="4"/>
                <c:pt idx="0">
                  <c:v>#N/A</c:v>
                </c:pt>
                <c:pt idx="1">
                  <c:v>#N/A</c:v>
                </c:pt>
                <c:pt idx="2">
                  <c:v>4324.6499999999996</c:v>
                </c:pt>
                <c:pt idx="3">
                  <c:v>143.03333333333333</c:v>
                </c:pt>
              </c:numCache>
            </c:numRef>
          </c:val>
          <c:smooth val="0"/>
          <c:extLst>
            <c:ext xmlns:c16="http://schemas.microsoft.com/office/drawing/2014/chart" uri="{C3380CC4-5D6E-409C-BE32-E72D297353CC}">
              <c16:uniqueId val="{00000002-1796-489F-94FF-9DEEF8B27324}"/>
            </c:ext>
          </c:extLst>
        </c:ser>
        <c:dLbls>
          <c:showLegendKey val="0"/>
          <c:showVal val="0"/>
          <c:showCatName val="0"/>
          <c:showSerName val="0"/>
          <c:showPercent val="0"/>
          <c:showBubbleSize val="0"/>
        </c:dLbls>
        <c:smooth val="0"/>
        <c:axId val="567619072"/>
        <c:axId val="567618592"/>
      </c:lineChart>
      <c:catAx>
        <c:axId val="56761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567618592"/>
        <c:crosses val="autoZero"/>
        <c:auto val="1"/>
        <c:lblAlgn val="ctr"/>
        <c:lblOffset val="100"/>
        <c:noMultiLvlLbl val="0"/>
      </c:catAx>
      <c:valAx>
        <c:axId val="56761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fa-IR"/>
          </a:p>
        </c:txPr>
        <c:crossAx val="56761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50" b="1" i="0" u="none" strike="noStrike" kern="1200" baseline="0">
          <a:solidFill>
            <a:schemeClr val="tx1"/>
          </a:solidFill>
          <a:latin typeface="+mn-lt"/>
          <a:ea typeface="+mn-ea"/>
          <a:cs typeface="+mn-cs"/>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(041115).xlsx]all of factory!PivotTable27</c:name>
    <c:fmtId val="12"/>
  </c:pivotSource>
  <c:chart>
    <c:title>
      <c:tx>
        <c:rich>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r>
              <a:rPr lang="en-US" sz="1260" b="1" i="0" u="none" strike="noStrike" kern="1200" spc="0" baseline="0">
                <a:solidFill>
                  <a:sysClr val="windowText" lastClr="000000"/>
                </a:solidFill>
                <a:latin typeface="+mn-lt"/>
                <a:ea typeface="+mn-ea"/>
                <a:cs typeface="+mn-cs"/>
              </a:rPr>
              <a:t>MTTR</a:t>
            </a:r>
          </a:p>
        </c:rich>
      </c:tx>
      <c:overlay val="1"/>
      <c:spPr>
        <a:noFill/>
        <a:ln>
          <a:noFill/>
        </a:ln>
        <a:effectLst/>
      </c:spPr>
      <c:txPr>
        <a:bodyPr rot="0" spcFirstLastPara="1" vertOverflow="ellipsis" vert="horz" wrap="square" anchor="ctr" anchorCtr="1"/>
        <a:lstStyle/>
        <a:p>
          <a:pPr algn="ctr" rtl="0">
            <a:defRPr lang="en-US" sz="1260" b="1" i="0" u="none" strike="noStrike" kern="1200" spc="0" baseline="0">
              <a:solidFill>
                <a:sysClr val="windowText" lastClr="000000"/>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92D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of factory'!$R$9</c:f>
              <c:strCache>
                <c:ptCount val="1"/>
                <c:pt idx="0">
                  <c:v>Average of هدف MTTR</c:v>
                </c:pt>
              </c:strCache>
            </c:strRef>
          </c:tx>
          <c:spPr>
            <a:ln w="28575" cap="rnd">
              <a:solidFill>
                <a:srgbClr val="92D050"/>
              </a:solidFill>
              <a:prstDash val="dash"/>
              <a:round/>
            </a:ln>
            <a:effectLst/>
          </c:spPr>
          <c:marker>
            <c:symbol val="none"/>
          </c:marker>
          <c:cat>
            <c:strRef>
              <c:f>'all of factory'!$Q$10:$Q$14</c:f>
              <c:strCache>
                <c:ptCount val="4"/>
                <c:pt idx="0">
                  <c:v>1</c:v>
                </c:pt>
                <c:pt idx="1">
                  <c:v>2</c:v>
                </c:pt>
                <c:pt idx="2">
                  <c:v>3</c:v>
                </c:pt>
                <c:pt idx="3">
                  <c:v>7</c:v>
                </c:pt>
              </c:strCache>
            </c:strRef>
          </c:cat>
          <c:val>
            <c:numRef>
              <c:f>'all of factory'!$R$10:$R$14</c:f>
              <c:numCache>
                <c:formatCode>General</c:formatCode>
                <c:ptCount val="4"/>
                <c:pt idx="0">
                  <c:v>0.2</c:v>
                </c:pt>
                <c:pt idx="1">
                  <c:v>0.2</c:v>
                </c:pt>
                <c:pt idx="2">
                  <c:v>0.2</c:v>
                </c:pt>
                <c:pt idx="3">
                  <c:v>0.2</c:v>
                </c:pt>
              </c:numCache>
            </c:numRef>
          </c:val>
          <c:smooth val="0"/>
          <c:extLst>
            <c:ext xmlns:c16="http://schemas.microsoft.com/office/drawing/2014/chart" uri="{C3380CC4-5D6E-409C-BE32-E72D297353CC}">
              <c16:uniqueId val="{00000000-C31C-4901-87CE-46EDF17429DB}"/>
            </c:ext>
          </c:extLst>
        </c:ser>
        <c:ser>
          <c:idx val="1"/>
          <c:order val="1"/>
          <c:tx>
            <c:strRef>
              <c:f>'all of factory'!$S$9</c:f>
              <c:strCache>
                <c:ptCount val="1"/>
                <c:pt idx="0">
                  <c:v>Average of مبنا MTTR</c:v>
                </c:pt>
              </c:strCache>
            </c:strRef>
          </c:tx>
          <c:spPr>
            <a:ln w="28575" cap="rnd">
              <a:solidFill>
                <a:srgbClr val="92D050"/>
              </a:solidFill>
              <a:prstDash val="dash"/>
              <a:round/>
            </a:ln>
            <a:effectLst/>
          </c:spPr>
          <c:marker>
            <c:symbol val="none"/>
          </c:marker>
          <c:cat>
            <c:strRef>
              <c:f>'all of factory'!$Q$10:$Q$14</c:f>
              <c:strCache>
                <c:ptCount val="4"/>
                <c:pt idx="0">
                  <c:v>1</c:v>
                </c:pt>
                <c:pt idx="1">
                  <c:v>2</c:v>
                </c:pt>
                <c:pt idx="2">
                  <c:v>3</c:v>
                </c:pt>
                <c:pt idx="3">
                  <c:v>7</c:v>
                </c:pt>
              </c:strCache>
            </c:strRef>
          </c:cat>
          <c:val>
            <c:numRef>
              <c:f>'all of factory'!$S$10:$S$14</c:f>
              <c:numCache>
                <c:formatCode>General</c:formatCode>
                <c:ptCount val="4"/>
                <c:pt idx="0">
                  <c:v>24</c:v>
                </c:pt>
                <c:pt idx="1">
                  <c:v>24</c:v>
                </c:pt>
                <c:pt idx="2">
                  <c:v>24</c:v>
                </c:pt>
                <c:pt idx="3">
                  <c:v>24</c:v>
                </c:pt>
              </c:numCache>
            </c:numRef>
          </c:val>
          <c:smooth val="0"/>
          <c:extLst>
            <c:ext xmlns:c16="http://schemas.microsoft.com/office/drawing/2014/chart" uri="{C3380CC4-5D6E-409C-BE32-E72D297353CC}">
              <c16:uniqueId val="{00000001-C31C-4901-87CE-46EDF17429DB}"/>
            </c:ext>
          </c:extLst>
        </c:ser>
        <c:ser>
          <c:idx val="2"/>
          <c:order val="2"/>
          <c:tx>
            <c:strRef>
              <c:f>'all of factory'!$T$9</c:f>
              <c:strCache>
                <c:ptCount val="1"/>
                <c:pt idx="0">
                  <c:v>Average of TTR(mints)</c:v>
                </c:pt>
              </c:strCache>
            </c:strRef>
          </c:tx>
          <c:spPr>
            <a:ln w="28575" cap="rnd">
              <a:solidFill>
                <a:schemeClr val="accent3"/>
              </a:solidFill>
              <a:round/>
            </a:ln>
            <a:effectLst/>
          </c:spPr>
          <c:marker>
            <c:symbol val="none"/>
          </c:marker>
          <c:cat>
            <c:strRef>
              <c:f>'all of factory'!$Q$10:$Q$14</c:f>
              <c:strCache>
                <c:ptCount val="4"/>
                <c:pt idx="0">
                  <c:v>1</c:v>
                </c:pt>
                <c:pt idx="1">
                  <c:v>2</c:v>
                </c:pt>
                <c:pt idx="2">
                  <c:v>3</c:v>
                </c:pt>
                <c:pt idx="3">
                  <c:v>7</c:v>
                </c:pt>
              </c:strCache>
            </c:strRef>
          </c:cat>
          <c:val>
            <c:numRef>
              <c:f>'all of factory'!$T$10:$T$14</c:f>
              <c:numCache>
                <c:formatCode>General</c:formatCode>
                <c:ptCount val="4"/>
                <c:pt idx="0">
                  <c:v>0.16666666666666666</c:v>
                </c:pt>
                <c:pt idx="1">
                  <c:v>0.16666666666666666</c:v>
                </c:pt>
                <c:pt idx="2">
                  <c:v>0.45</c:v>
                </c:pt>
                <c:pt idx="3">
                  <c:v>0.66666666666666663</c:v>
                </c:pt>
              </c:numCache>
            </c:numRef>
          </c:val>
          <c:smooth val="0"/>
          <c:extLst>
            <c:ext xmlns:c16="http://schemas.microsoft.com/office/drawing/2014/chart" uri="{C3380CC4-5D6E-409C-BE32-E72D297353CC}">
              <c16:uniqueId val="{00000002-C31C-4901-87CE-46EDF17429DB}"/>
            </c:ext>
          </c:extLst>
        </c:ser>
        <c:dLbls>
          <c:showLegendKey val="0"/>
          <c:showVal val="0"/>
          <c:showCatName val="0"/>
          <c:showSerName val="0"/>
          <c:showPercent val="0"/>
          <c:showBubbleSize val="0"/>
        </c:dLbls>
        <c:smooth val="0"/>
        <c:axId val="1660671728"/>
        <c:axId val="1660666928"/>
      </c:lineChart>
      <c:catAx>
        <c:axId val="166067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1660666928"/>
        <c:crosses val="autoZero"/>
        <c:auto val="1"/>
        <c:lblAlgn val="ctr"/>
        <c:lblOffset val="100"/>
        <c:noMultiLvlLbl val="0"/>
      </c:catAx>
      <c:valAx>
        <c:axId val="1660666928"/>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solidFill>
                <a:latin typeface="+mn-lt"/>
                <a:ea typeface="+mn-ea"/>
                <a:cs typeface="+mn-cs"/>
              </a:defRPr>
            </a:pPr>
            <a:endParaRPr lang="fa-IR"/>
          </a:p>
        </c:txPr>
        <c:crossAx val="166067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(041115).xlsx]MTBF!PivotTable6</c:name>
    <c:fmtId val="0"/>
  </c:pivotSource>
  <c:chart>
    <c:title>
      <c:tx>
        <c:rich>
          <a:bodyPr rot="0" spcFirstLastPara="1" vertOverflow="ellipsis" vert="horz" wrap="square" anchor="ctr" anchorCtr="1"/>
          <a:lstStyle/>
          <a:p>
            <a:pPr algn="ctr" rtl="0">
              <a:defRPr lang="en-US" sz="2160" b="0" i="0" u="none" strike="noStrike" kern="1200" cap="all" spc="150" baseline="0">
                <a:solidFill>
                  <a:sysClr val="windowText" lastClr="000000">
                    <a:lumMod val="65000"/>
                    <a:lumOff val="35000"/>
                  </a:sysClr>
                </a:solidFill>
                <a:latin typeface="+mn-lt"/>
                <a:ea typeface="+mn-ea"/>
                <a:cs typeface="B Elham" panose="00000400000000000000" pitchFamily="2" charset="-78"/>
              </a:defRPr>
            </a:pPr>
            <a:r>
              <a:rPr lang="en-US" sz="2160" b="0" i="0" u="none" strike="noStrike" kern="1200" cap="all" spc="150" baseline="0">
                <a:solidFill>
                  <a:sysClr val="windowText" lastClr="000000">
                    <a:lumMod val="65000"/>
                    <a:lumOff val="35000"/>
                  </a:sysClr>
                </a:solidFill>
                <a:latin typeface="+mn-lt"/>
                <a:ea typeface="+mn-ea"/>
                <a:cs typeface="B Elham" panose="00000400000000000000" pitchFamily="2" charset="-78"/>
              </a:rPr>
              <a:t>MTBF </a:t>
            </a:r>
          </a:p>
        </c:rich>
      </c:tx>
      <c:layout>
        <c:manualLayout>
          <c:xMode val="edge"/>
          <c:yMode val="edge"/>
          <c:x val="0.49670606649082633"/>
          <c:y val="1.8584523271409623E-2"/>
        </c:manualLayout>
      </c:layout>
      <c:overlay val="0"/>
      <c:spPr>
        <a:noFill/>
        <a:ln>
          <a:noFill/>
        </a:ln>
        <a:effectLst/>
      </c:spPr>
      <c:txPr>
        <a:bodyPr rot="0" spcFirstLastPara="1" vertOverflow="ellipsis" vert="horz" wrap="square" anchor="ctr" anchorCtr="1"/>
        <a:lstStyle/>
        <a:p>
          <a:pPr algn="ctr" rtl="0">
            <a:defRPr lang="en-US" sz="2160" b="0" i="0" u="none" strike="noStrike" kern="1200" cap="all" spc="150" baseline="0">
              <a:solidFill>
                <a:sysClr val="windowText" lastClr="000000">
                  <a:lumMod val="65000"/>
                  <a:lumOff val="35000"/>
                </a:sysClr>
              </a:solidFill>
              <a:latin typeface="+mn-lt"/>
              <a:ea typeface="+mn-ea"/>
              <a:cs typeface="B Elham" panose="00000400000000000000" pitchFamily="2" charset="-78"/>
            </a:defRPr>
          </a:pPr>
          <a:endParaRPr lang="fa-IR"/>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ln w="38100" cap="flat" cmpd="dbl" algn="ctr">
            <a:solidFill>
              <a:schemeClr val="accent1"/>
            </a:solidFill>
            <a:prstDash val="dash"/>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prstDash val="dash"/>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2"/>
            </a:solidFill>
            <a:prstDash val="dash"/>
            <a:miter lim="800000"/>
          </a:ln>
          <a:effectLst/>
        </c:spPr>
        <c:marker>
          <c:symbol val="circle"/>
          <c:size val="6"/>
          <c:spPr>
            <a:solidFill>
              <a:schemeClr val="accent2"/>
            </a:solidFill>
            <a:ln w="9525" cap="flat" cmpd="sng" algn="ctr">
              <a:solidFill>
                <a:schemeClr val="lt1"/>
              </a:solidFill>
              <a:round/>
            </a:ln>
            <a:effectLst/>
          </c:spPr>
        </c:marker>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pivotFmt>
      <c:pivotFmt>
        <c:idx val="4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6"/>
      </c:pivotFmt>
      <c:pivotFmt>
        <c:idx val="4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8623228312224"/>
          <c:y val="0.14134361991555133"/>
          <c:w val="0.84532343990029268"/>
          <c:h val="0.51969974286963416"/>
        </c:manualLayout>
      </c:layout>
      <c:lineChart>
        <c:grouping val="standard"/>
        <c:varyColors val="0"/>
        <c:ser>
          <c:idx val="0"/>
          <c:order val="0"/>
          <c:tx>
            <c:strRef>
              <c:f>MTBF!$B$9</c:f>
              <c:strCache>
                <c:ptCount val="1"/>
                <c:pt idx="0">
                  <c:v>Average of هدف MTBF</c:v>
                </c:pt>
              </c:strCache>
            </c:strRef>
          </c:tx>
          <c:spPr>
            <a:ln w="38100" cap="flat" cmpd="dbl" algn="ctr">
              <a:solidFill>
                <a:schemeClr val="accent1"/>
              </a:solidFill>
              <a:prstDash val="dash"/>
              <a:miter lim="800000"/>
            </a:ln>
            <a:effectLst/>
          </c:spPr>
          <c:marker>
            <c:symbol val="circle"/>
            <c:size val="6"/>
            <c:spPr>
              <a:solidFill>
                <a:schemeClr val="accent1"/>
              </a:solidFill>
              <a:ln w="9525" cap="flat" cmpd="sng" algn="ctr">
                <a:solidFill>
                  <a:schemeClr val="lt1"/>
                </a:solidFill>
                <a:round/>
              </a:ln>
              <a:effectLst/>
            </c:spPr>
          </c:marker>
          <c:cat>
            <c:multiLvlStrRef>
              <c:f>MTBF!$A$10:$A$24</c:f>
              <c:multiLvlStrCache>
                <c:ptCount val="10"/>
                <c:lvl>
                  <c:pt idx="0">
                    <c:v>1</c:v>
                  </c:pt>
                  <c:pt idx="1">
                    <c:v>2</c:v>
                  </c:pt>
                  <c:pt idx="2">
                    <c:v>3</c:v>
                  </c:pt>
                  <c:pt idx="3">
                    <c:v>4</c:v>
                  </c:pt>
                  <c:pt idx="4">
                    <c:v>5</c:v>
                  </c:pt>
                  <c:pt idx="5">
                    <c:v>6</c:v>
                  </c:pt>
                  <c:pt idx="6">
                    <c:v>7</c:v>
                  </c:pt>
                  <c:pt idx="7">
                    <c:v>8</c:v>
                  </c:pt>
                  <c:pt idx="8">
                    <c:v>9</c:v>
                  </c:pt>
                </c:lvl>
                <c:lvl>
                  <c:pt idx="0">
                    <c:v>بهار</c:v>
                  </c:pt>
                  <c:pt idx="3">
                    <c:v>تابستان</c:v>
                  </c:pt>
                  <c:pt idx="6">
                    <c:v>پاییز</c:v>
                  </c:pt>
                  <c:pt idx="9">
                    <c:v>زمستان</c:v>
                  </c:pt>
                </c:lvl>
                <c:lvl>
                  <c:pt idx="0">
                    <c:v>1404</c:v>
                  </c:pt>
                </c:lvl>
              </c:multiLvlStrCache>
            </c:multiLvlStrRef>
          </c:cat>
          <c:val>
            <c:numRef>
              <c:f>MTBF!$B$10:$B$24</c:f>
              <c:numCache>
                <c:formatCode>General</c:formatCode>
                <c:ptCount val="10"/>
                <c:pt idx="0">
                  <c:v>720</c:v>
                </c:pt>
                <c:pt idx="1">
                  <c:v>720</c:v>
                </c:pt>
                <c:pt idx="2">
                  <c:v>720</c:v>
                </c:pt>
                <c:pt idx="3">
                  <c:v>720</c:v>
                </c:pt>
                <c:pt idx="4">
                  <c:v>720</c:v>
                </c:pt>
                <c:pt idx="5">
                  <c:v>720</c:v>
                </c:pt>
                <c:pt idx="6">
                  <c:v>720</c:v>
                </c:pt>
                <c:pt idx="7">
                  <c:v>720</c:v>
                </c:pt>
                <c:pt idx="8">
                  <c:v>720</c:v>
                </c:pt>
                <c:pt idx="9">
                  <c:v>#N/A</c:v>
                </c:pt>
              </c:numCache>
            </c:numRef>
          </c:val>
          <c:smooth val="0"/>
          <c:extLst>
            <c:ext xmlns:c16="http://schemas.microsoft.com/office/drawing/2014/chart" uri="{C3380CC4-5D6E-409C-BE32-E72D297353CC}">
              <c16:uniqueId val="{00000000-BB11-473B-8487-ECD556ABA2DE}"/>
            </c:ext>
          </c:extLst>
        </c:ser>
        <c:ser>
          <c:idx val="1"/>
          <c:order val="1"/>
          <c:tx>
            <c:strRef>
              <c:f>MTBF!$C$9</c:f>
              <c:strCache>
                <c:ptCount val="1"/>
                <c:pt idx="0">
                  <c:v>Average of مبنا MTBF</c:v>
                </c:pt>
              </c:strCache>
            </c:strRef>
          </c:tx>
          <c:spPr>
            <a:ln w="38100" cap="flat" cmpd="dbl" algn="ctr">
              <a:solidFill>
                <a:schemeClr val="accent2"/>
              </a:solidFill>
              <a:prstDash val="dash"/>
              <a:miter lim="800000"/>
            </a:ln>
            <a:effectLst/>
          </c:spPr>
          <c:marker>
            <c:symbol val="circle"/>
            <c:size val="6"/>
            <c:spPr>
              <a:solidFill>
                <a:schemeClr val="accent2"/>
              </a:solidFill>
              <a:ln w="9525" cap="flat" cmpd="sng" algn="ctr">
                <a:solidFill>
                  <a:schemeClr val="lt1"/>
                </a:solidFill>
                <a:round/>
              </a:ln>
              <a:effectLst/>
            </c:spPr>
          </c:marker>
          <c:cat>
            <c:multiLvlStrRef>
              <c:f>MTBF!$A$10:$A$24</c:f>
              <c:multiLvlStrCache>
                <c:ptCount val="10"/>
                <c:lvl>
                  <c:pt idx="0">
                    <c:v>1</c:v>
                  </c:pt>
                  <c:pt idx="1">
                    <c:v>2</c:v>
                  </c:pt>
                  <c:pt idx="2">
                    <c:v>3</c:v>
                  </c:pt>
                  <c:pt idx="3">
                    <c:v>4</c:v>
                  </c:pt>
                  <c:pt idx="4">
                    <c:v>5</c:v>
                  </c:pt>
                  <c:pt idx="5">
                    <c:v>6</c:v>
                  </c:pt>
                  <c:pt idx="6">
                    <c:v>7</c:v>
                  </c:pt>
                  <c:pt idx="7">
                    <c:v>8</c:v>
                  </c:pt>
                  <c:pt idx="8">
                    <c:v>9</c:v>
                  </c:pt>
                </c:lvl>
                <c:lvl>
                  <c:pt idx="0">
                    <c:v>بهار</c:v>
                  </c:pt>
                  <c:pt idx="3">
                    <c:v>تابستان</c:v>
                  </c:pt>
                  <c:pt idx="6">
                    <c:v>پاییز</c:v>
                  </c:pt>
                  <c:pt idx="9">
                    <c:v>زمستان</c:v>
                  </c:pt>
                </c:lvl>
                <c:lvl>
                  <c:pt idx="0">
                    <c:v>1404</c:v>
                  </c:pt>
                </c:lvl>
              </c:multiLvlStrCache>
            </c:multiLvlStrRef>
          </c:cat>
          <c:val>
            <c:numRef>
              <c:f>MTBF!$C$10:$C$24</c:f>
              <c:numCache>
                <c:formatCode>General</c:formatCode>
                <c:ptCount val="10"/>
                <c:pt idx="0">
                  <c:v>360</c:v>
                </c:pt>
                <c:pt idx="1">
                  <c:v>360</c:v>
                </c:pt>
                <c:pt idx="2">
                  <c:v>360</c:v>
                </c:pt>
                <c:pt idx="3">
                  <c:v>360</c:v>
                </c:pt>
                <c:pt idx="4">
                  <c:v>360</c:v>
                </c:pt>
                <c:pt idx="5">
                  <c:v>360</c:v>
                </c:pt>
                <c:pt idx="6">
                  <c:v>360</c:v>
                </c:pt>
                <c:pt idx="7">
                  <c:v>360</c:v>
                </c:pt>
                <c:pt idx="8">
                  <c:v>360</c:v>
                </c:pt>
              </c:numCache>
            </c:numRef>
          </c:val>
          <c:smooth val="0"/>
          <c:extLst>
            <c:ext xmlns:c16="http://schemas.microsoft.com/office/drawing/2014/chart" uri="{C3380CC4-5D6E-409C-BE32-E72D297353CC}">
              <c16:uniqueId val="{00000002-BB11-473B-8487-ECD556ABA2DE}"/>
            </c:ext>
          </c:extLst>
        </c:ser>
        <c:ser>
          <c:idx val="2"/>
          <c:order val="2"/>
          <c:tx>
            <c:strRef>
              <c:f>MTBF!$D$9</c:f>
              <c:strCache>
                <c:ptCount val="1"/>
                <c:pt idx="0">
                  <c:v>Average of TBF(hours)</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s>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MTBF!$A$10:$A$24</c:f>
              <c:multiLvlStrCache>
                <c:ptCount val="10"/>
                <c:lvl>
                  <c:pt idx="0">
                    <c:v>1</c:v>
                  </c:pt>
                  <c:pt idx="1">
                    <c:v>2</c:v>
                  </c:pt>
                  <c:pt idx="2">
                    <c:v>3</c:v>
                  </c:pt>
                  <c:pt idx="3">
                    <c:v>4</c:v>
                  </c:pt>
                  <c:pt idx="4">
                    <c:v>5</c:v>
                  </c:pt>
                  <c:pt idx="5">
                    <c:v>6</c:v>
                  </c:pt>
                  <c:pt idx="6">
                    <c:v>7</c:v>
                  </c:pt>
                  <c:pt idx="7">
                    <c:v>8</c:v>
                  </c:pt>
                  <c:pt idx="8">
                    <c:v>9</c:v>
                  </c:pt>
                </c:lvl>
                <c:lvl>
                  <c:pt idx="0">
                    <c:v>بهار</c:v>
                  </c:pt>
                  <c:pt idx="3">
                    <c:v>تابستان</c:v>
                  </c:pt>
                  <c:pt idx="6">
                    <c:v>پاییز</c:v>
                  </c:pt>
                  <c:pt idx="9">
                    <c:v>زمستان</c:v>
                  </c:pt>
                </c:lvl>
                <c:lvl>
                  <c:pt idx="0">
                    <c:v>1404</c:v>
                  </c:pt>
                </c:lvl>
              </c:multiLvlStrCache>
            </c:multiLvlStrRef>
          </c:cat>
          <c:val>
            <c:numRef>
              <c:f>MTBF!$D$10:$D$24</c:f>
              <c:numCache>
                <c:formatCode>General</c:formatCode>
                <c:ptCount val="10"/>
                <c:pt idx="0">
                  <c:v>944.42499999999995</c:v>
                </c:pt>
                <c:pt idx="1">
                  <c:v>260.8366666666667</c:v>
                </c:pt>
                <c:pt idx="2">
                  <c:v>236.78550724637685</c:v>
                </c:pt>
                <c:pt idx="3">
                  <c:v>372.68095238095242</c:v>
                </c:pt>
                <c:pt idx="4">
                  <c:v>518.86176470588248</c:v>
                </c:pt>
                <c:pt idx="5">
                  <c:v>717.63240740740753</c:v>
                </c:pt>
                <c:pt idx="6">
                  <c:v>371.67999999999995</c:v>
                </c:pt>
                <c:pt idx="7">
                  <c:v>150.91875000006215</c:v>
                </c:pt>
                <c:pt idx="8">
                  <c:v>217.03333333333336</c:v>
                </c:pt>
                <c:pt idx="9">
                  <c:v>657.79523809523812</c:v>
                </c:pt>
              </c:numCache>
            </c:numRef>
          </c:val>
          <c:smooth val="0"/>
          <c:extLst>
            <c:ext xmlns:c16="http://schemas.microsoft.com/office/drawing/2014/chart" uri="{C3380CC4-5D6E-409C-BE32-E72D297353CC}">
              <c16:uniqueId val="{00000003-BF67-41B3-A96C-8F3546AEF08E}"/>
            </c:ext>
          </c:extLst>
        </c:ser>
        <c:dLbls>
          <c:showLegendKey val="0"/>
          <c:showVal val="0"/>
          <c:showCatName val="0"/>
          <c:showSerName val="0"/>
          <c:showPercent val="0"/>
          <c:showBubbleSize val="0"/>
        </c:dLbls>
        <c:marker val="1"/>
        <c:smooth val="0"/>
        <c:axId val="1715623392"/>
        <c:axId val="1715616864"/>
      </c:lineChart>
      <c:catAx>
        <c:axId val="17156233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lgn="ct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crossAx val="1715616864"/>
        <c:crosses val="autoZero"/>
        <c:auto val="1"/>
        <c:lblAlgn val="ctr"/>
        <c:lblOffset val="100"/>
        <c:noMultiLvlLbl val="0"/>
      </c:catAx>
      <c:valAx>
        <c:axId val="1715616864"/>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lgn="ctr">
                  <a:defRPr lang="fa-IR" sz="1800" b="0" i="0" u="none" strike="noStrike" kern="1200" cap="all" baseline="0">
                    <a:solidFill>
                      <a:schemeClr val="dk1">
                        <a:lumMod val="65000"/>
                        <a:lumOff val="35000"/>
                      </a:schemeClr>
                    </a:solidFill>
                    <a:latin typeface="+mn-lt"/>
                    <a:ea typeface="+mn-ea"/>
                    <a:cs typeface="B Elham" panose="00000400000000000000" pitchFamily="2" charset="-78"/>
                  </a:defRPr>
                </a:pPr>
                <a:r>
                  <a:rPr lang="fa-IR" sz="1800" b="0" i="0" u="none" strike="noStrike" kern="1200" baseline="0">
                    <a:solidFill>
                      <a:schemeClr val="dk1">
                        <a:lumMod val="65000"/>
                        <a:lumOff val="35000"/>
                      </a:schemeClr>
                    </a:solidFill>
                    <a:latin typeface="+mn-lt"/>
                    <a:ea typeface="+mn-ea"/>
                    <a:cs typeface="B Elham" panose="00000400000000000000" pitchFamily="2" charset="-78"/>
                  </a:rPr>
                  <a:t>(ساعت)</a:t>
                </a:r>
              </a:p>
            </c:rich>
          </c:tx>
          <c:layout>
            <c:manualLayout>
              <c:xMode val="edge"/>
              <c:yMode val="edge"/>
              <c:x val="1.8815686501840526E-2"/>
              <c:y val="0.30664921080287527"/>
            </c:manualLayout>
          </c:layout>
          <c:overlay val="0"/>
          <c:spPr>
            <a:noFill/>
            <a:ln>
              <a:noFill/>
            </a:ln>
            <a:effectLst/>
          </c:spPr>
          <c:txPr>
            <a:bodyPr rot="-5400000" spcFirstLastPara="1" vertOverflow="ellipsis" vert="horz" wrap="square" anchor="ctr" anchorCtr="1"/>
            <a:lstStyle/>
            <a:p>
              <a:pPr algn="ctr">
                <a:defRPr lang="fa-IR" sz="1800" b="0" i="0" u="none" strike="noStrike" kern="1200" cap="all" baseline="0">
                  <a:solidFill>
                    <a:schemeClr val="dk1">
                      <a:lumMod val="65000"/>
                      <a:lumOff val="35000"/>
                    </a:schemeClr>
                  </a:solidFill>
                  <a:latin typeface="+mn-lt"/>
                  <a:ea typeface="+mn-ea"/>
                  <a:cs typeface="B Elham" panose="00000400000000000000" pitchFamily="2" charset="-78"/>
                </a:defRPr>
              </a:pPr>
              <a:endParaRPr lang="fa-IR"/>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lgn="ct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crossAx val="1715623392"/>
        <c:crosses val="autoZero"/>
        <c:crossBetween val="between"/>
      </c:valAx>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(041115).xlsx]MTTR!PivotTable5</c:name>
    <c:fmtId val="263"/>
  </c:pivotSource>
  <c:chart>
    <c:title>
      <c:tx>
        <c:rich>
          <a:bodyPr rot="0" spcFirstLastPara="1" vertOverflow="ellipsis" vert="horz" wrap="square" anchor="ctr" anchorCtr="1"/>
          <a:lstStyle/>
          <a:p>
            <a:pPr>
              <a:defRPr lang="en-US" sz="2160" b="0" i="0" u="none" strike="noStrike" kern="1200" cap="all" spc="150" baseline="0">
                <a:solidFill>
                  <a:schemeClr val="dk1">
                    <a:lumMod val="65000"/>
                    <a:lumOff val="35000"/>
                  </a:schemeClr>
                </a:solidFill>
                <a:latin typeface="+mn-lt"/>
                <a:ea typeface="+mn-ea"/>
                <a:cs typeface="B Elham" panose="00000400000000000000" pitchFamily="2" charset="-78"/>
              </a:defRPr>
            </a:pPr>
            <a:r>
              <a:rPr lang="en-US"/>
              <a:t> MTTR</a:t>
            </a:r>
          </a:p>
        </c:rich>
      </c:tx>
      <c:overlay val="0"/>
      <c:spPr>
        <a:noFill/>
        <a:ln>
          <a:noFill/>
        </a:ln>
        <a:effectLst/>
      </c:spPr>
      <c:txPr>
        <a:bodyPr rot="0" spcFirstLastPara="1" vertOverflow="ellipsis" vert="horz" wrap="square" anchor="ctr" anchorCtr="1"/>
        <a:lstStyle/>
        <a:p>
          <a:pPr>
            <a:defRPr lang="en-US" sz="2160" b="0" i="0" u="none" strike="noStrike" kern="1200" cap="all" spc="150" baseline="0">
              <a:solidFill>
                <a:schemeClr val="dk1">
                  <a:lumMod val="65000"/>
                  <a:lumOff val="35000"/>
                </a:schemeClr>
              </a:solidFill>
              <a:latin typeface="+mn-lt"/>
              <a:ea typeface="+mn-ea"/>
              <a:cs typeface="B Elham" panose="00000400000000000000" pitchFamily="2" charset="-78"/>
            </a:defRPr>
          </a:pPr>
          <a:endParaRPr lang="fa-IR"/>
        </a:p>
      </c:txPr>
    </c:title>
    <c:autoTitleDeleted val="0"/>
    <c:pivotFmts>
      <c:pivotFmt>
        <c:idx val="0"/>
      </c:pivotFmt>
      <c:pivotFmt>
        <c:idx val="1"/>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ln w="38100" cap="flat" cmpd="dbl" algn="ctr">
            <a:solidFill>
              <a:schemeClr val="accent1"/>
            </a:solidFill>
            <a:prstDash val="dash"/>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spPr>
          <a:ln w="38100" cap="flat" cmpd="dbl" algn="ctr">
            <a:solidFill>
              <a:schemeClr val="accent2"/>
            </a:solidFill>
            <a:prstDash val="dash"/>
            <a:miter lim="800000"/>
          </a:ln>
          <a:effectLst/>
        </c:spPr>
        <c:marker>
          <c:symbol val="none"/>
        </c:marker>
      </c:pivotFmt>
      <c:pivotFmt>
        <c:idx val="34"/>
        <c:spPr>
          <a:ln w="38100" cap="flat" cmpd="dbl" algn="ctr">
            <a:solidFill>
              <a:schemeClr val="accent2"/>
            </a:solidFill>
            <a:prstDash val="dash"/>
            <a:miter lim="800000"/>
          </a:ln>
          <a:effectLst/>
        </c:spPr>
        <c:marker>
          <c:symbol val="none"/>
        </c:marker>
      </c:pivotFmt>
      <c:pivotFmt>
        <c:idx val="35"/>
        <c:spPr>
          <a:ln w="38100" cap="flat" cmpd="dbl" algn="ctr">
            <a:solidFill>
              <a:schemeClr val="accent2"/>
            </a:solidFill>
            <a:prstDash val="dash"/>
            <a:miter lim="800000"/>
          </a:ln>
          <a:effectLst/>
        </c:spPr>
        <c:marker>
          <c:symbol val="none"/>
        </c:marker>
      </c:pivotFmt>
      <c:pivotFmt>
        <c:idx val="36"/>
        <c:spPr>
          <a:ln w="38100" cap="flat" cmpd="dbl" algn="ctr">
            <a:solidFill>
              <a:schemeClr val="accent2"/>
            </a:solidFill>
            <a:prstDash val="dash"/>
            <a:miter lim="800000"/>
          </a:ln>
          <a:effectLst/>
        </c:spPr>
        <c:marker>
          <c:symbol val="none"/>
        </c:marker>
      </c:pivotFmt>
      <c:pivotFmt>
        <c:idx val="37"/>
        <c:spPr>
          <a:ln w="38100" cap="flat" cmpd="dbl" algn="ctr">
            <a:solidFill>
              <a:schemeClr val="accent1"/>
            </a:solidFill>
            <a:prstDash val="dash"/>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spPr>
          <a:ln w="38100" cap="flat" cmpd="dbl" algn="ctr">
            <a:solidFill>
              <a:schemeClr val="accent3"/>
            </a:solidFill>
            <a:prstDash val="dash"/>
            <a:miter lim="800000"/>
          </a:ln>
          <a:effectLst/>
        </c:spPr>
        <c:marker>
          <c:symbol val="none"/>
        </c:marker>
      </c:pivotFmt>
      <c:pivotFmt>
        <c:idx val="42"/>
        <c:spPr>
          <a:ln w="38100" cap="flat" cmpd="dbl" algn="ctr">
            <a:solidFill>
              <a:schemeClr val="accent3"/>
            </a:solidFill>
            <a:prstDash val="dash"/>
            <a:miter lim="800000"/>
          </a:ln>
          <a:effectLst/>
        </c:spPr>
        <c:marker>
          <c:symbol val="none"/>
        </c:marker>
      </c:pivotFmt>
      <c:pivotFmt>
        <c:idx val="43"/>
        <c:spPr>
          <a:ln w="38100" cap="flat" cmpd="dbl" algn="ctr">
            <a:solidFill>
              <a:schemeClr val="accent3"/>
            </a:solidFill>
            <a:prstDash val="dash"/>
            <a:miter lim="800000"/>
          </a:ln>
          <a:effectLst/>
        </c:spPr>
        <c:marker>
          <c:symbol val="none"/>
        </c:marker>
      </c:pivotFmt>
      <c:pivotFmt>
        <c:idx val="44"/>
        <c:spPr>
          <a:ln w="38100" cap="flat" cmpd="dbl" algn="ctr">
            <a:solidFill>
              <a:schemeClr val="accent3"/>
            </a:solidFill>
            <a:prstDash val="dash"/>
            <a:miter lim="800000"/>
          </a:ln>
          <a:effectLst/>
        </c:spPr>
        <c:marker>
          <c:symbol val="none"/>
        </c:marker>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spPr>
          <a:ln w="38100" cap="flat" cmpd="dbl" algn="ctr">
            <a:solidFill>
              <a:schemeClr val="accent1"/>
            </a:solidFill>
            <a:miter lim="800000"/>
          </a:ln>
          <a:effectLst/>
        </c:spPr>
        <c:marker>
          <c:symbol val="none"/>
        </c:marker>
        <c:dLbl>
          <c:idx val="0"/>
          <c:numFmt formatCode="#,##0.0" sourceLinked="0"/>
          <c:spPr>
            <a:noFill/>
            <a:ln>
              <a:noFill/>
            </a:ln>
            <a:effectLst/>
          </c:spPr>
          <c:txPr>
            <a:bodyPr rot="0" spcFirstLastPara="1" vertOverflow="ellipsis" vert="horz" wrap="square" anchor="ctr" anchorCtr="1"/>
            <a:lstStyle/>
            <a:p>
              <a:pPr algn="ct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ln w="38100" cap="flat" cmpd="dbl" algn="ctr">
            <a:solidFill>
              <a:schemeClr val="accent3"/>
            </a:solidFill>
            <a:prstDash val="dash"/>
            <a:miter lim="800000"/>
          </a:ln>
          <a:effectLst/>
        </c:spPr>
        <c:marker>
          <c:symbol val="none"/>
        </c:marker>
      </c:pivotFmt>
      <c:pivotFmt>
        <c:idx val="55"/>
        <c:spPr>
          <a:ln w="38100" cap="flat" cmpd="dbl" algn="ctr">
            <a:solidFill>
              <a:schemeClr val="accent3"/>
            </a:solidFill>
            <a:prstDash val="dash"/>
            <a:miter lim="800000"/>
          </a:ln>
          <a:effectLst/>
        </c:spPr>
        <c:marker>
          <c:symbol val="none"/>
        </c:marker>
      </c:pivotFmt>
      <c:pivotFmt>
        <c:idx val="56"/>
        <c:spPr>
          <a:ln w="38100" cap="flat" cmpd="dbl" algn="ctr">
            <a:solidFill>
              <a:schemeClr val="accent3"/>
            </a:solidFill>
            <a:prstDash val="dash"/>
            <a:miter lim="800000"/>
          </a:ln>
          <a:effectLst/>
        </c:spPr>
        <c:marker>
          <c:symbol val="none"/>
        </c:marker>
      </c:pivotFmt>
      <c:pivotFmt>
        <c:idx val="57"/>
        <c:spPr>
          <a:ln w="38100" cap="flat" cmpd="dbl" algn="ctr">
            <a:solidFill>
              <a:schemeClr val="accent3"/>
            </a:solidFill>
            <a:prstDash val="dash"/>
            <a:miter lim="800000"/>
          </a:ln>
          <a:effectLst/>
        </c:spPr>
        <c:marker>
          <c:symbol val="none"/>
        </c:marker>
      </c:pivotFmt>
      <c:pivotFmt>
        <c:idx val="58"/>
        <c:spPr>
          <a:ln w="38100" cap="flat" cmpd="dbl" algn="ctr">
            <a:solidFill>
              <a:schemeClr val="accent3"/>
            </a:solidFill>
            <a:prstDash val="dash"/>
            <a:miter lim="800000"/>
          </a:ln>
          <a:effectLst/>
        </c:spPr>
        <c:marker>
          <c:symbol val="none"/>
        </c:marker>
      </c:pivotFmt>
      <c:pivotFmt>
        <c:idx val="59"/>
        <c:spPr>
          <a:ln w="38100" cap="flat" cmpd="dbl" algn="ctr">
            <a:solidFill>
              <a:schemeClr val="accent1"/>
            </a:solidFill>
            <a:prstDash val="dash"/>
            <a:miter lim="800000"/>
          </a:ln>
          <a:effectLst/>
        </c:spPr>
        <c:marker>
          <c:symbol val="none"/>
        </c:marker>
      </c:pivotFmt>
    </c:pivotFmts>
    <c:plotArea>
      <c:layout>
        <c:manualLayout>
          <c:layoutTarget val="inner"/>
          <c:xMode val="edge"/>
          <c:yMode val="edge"/>
          <c:x val="0.13874612330077388"/>
          <c:y val="0.14712064899291583"/>
          <c:w val="0.84518164690878517"/>
          <c:h val="0.51555553715139313"/>
        </c:manualLayout>
      </c:layout>
      <c:lineChart>
        <c:grouping val="standard"/>
        <c:varyColors val="0"/>
        <c:ser>
          <c:idx val="1"/>
          <c:order val="0"/>
          <c:tx>
            <c:strRef>
              <c:f>MTTR!$D$9</c:f>
              <c:strCache>
                <c:ptCount val="1"/>
                <c:pt idx="0">
                  <c:v>Average of هدف MTTR</c:v>
                </c:pt>
              </c:strCache>
            </c:strRef>
          </c:tx>
          <c:spPr>
            <a:ln w="38100" cap="flat" cmpd="dbl" algn="ctr">
              <a:solidFill>
                <a:schemeClr val="accent2"/>
              </a:solidFill>
              <a:prstDash val="dash"/>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MTTR!$C$10:$C$26</c:f>
              <c:multiLvlStrCache>
                <c:ptCount val="11"/>
                <c:lvl>
                  <c:pt idx="0">
                    <c:v>10</c:v>
                  </c:pt>
                  <c:pt idx="1">
                    <c:v>11</c:v>
                  </c:pt>
                  <c:pt idx="2">
                    <c:v>1</c:v>
                  </c:pt>
                  <c:pt idx="3">
                    <c:v>2</c:v>
                  </c:pt>
                  <c:pt idx="4">
                    <c:v>3</c:v>
                  </c:pt>
                  <c:pt idx="5">
                    <c:v>4</c:v>
                  </c:pt>
                  <c:pt idx="6">
                    <c:v>5</c:v>
                  </c:pt>
                  <c:pt idx="7">
                    <c:v>6</c:v>
                  </c:pt>
                  <c:pt idx="8">
                    <c:v>7</c:v>
                  </c:pt>
                  <c:pt idx="9">
                    <c:v>8</c:v>
                  </c:pt>
                  <c:pt idx="10">
                    <c:v>9</c:v>
                  </c:pt>
                </c:lvl>
                <c:lvl>
                  <c:pt idx="0">
                    <c:v>زمستان</c:v>
                  </c:pt>
                  <c:pt idx="2">
                    <c:v>بهار</c:v>
                  </c:pt>
                  <c:pt idx="5">
                    <c:v>تابستان</c:v>
                  </c:pt>
                  <c:pt idx="8">
                    <c:v>پاییز</c:v>
                  </c:pt>
                </c:lvl>
                <c:lvl>
                  <c:pt idx="0">
                    <c:v>1404</c:v>
                  </c:pt>
                </c:lvl>
              </c:multiLvlStrCache>
            </c:multiLvlStrRef>
          </c:cat>
          <c:val>
            <c:numRef>
              <c:f>MTTR!$D$10:$D$26</c:f>
              <c:numCache>
                <c:formatCode>General</c:formatCode>
                <c:ptCount val="11"/>
                <c:pt idx="0">
                  <c:v>0.19999999999999998</c:v>
                </c:pt>
                <c:pt idx="1">
                  <c:v>#N/A</c:v>
                </c:pt>
                <c:pt idx="2">
                  <c:v>0.19999999999999998</c:v>
                </c:pt>
                <c:pt idx="3">
                  <c:v>0.20000000000000007</c:v>
                </c:pt>
                <c:pt idx="4">
                  <c:v>0.20000000000000007</c:v>
                </c:pt>
                <c:pt idx="5">
                  <c:v>0.19999999999999998</c:v>
                </c:pt>
                <c:pt idx="6">
                  <c:v>0.20000000000000007</c:v>
                </c:pt>
                <c:pt idx="7">
                  <c:v>0.20000000000000007</c:v>
                </c:pt>
                <c:pt idx="8">
                  <c:v>0.20000000000000004</c:v>
                </c:pt>
                <c:pt idx="9">
                  <c:v>0.20000000000000009</c:v>
                </c:pt>
                <c:pt idx="10">
                  <c:v>0.19999999999999998</c:v>
                </c:pt>
              </c:numCache>
            </c:numRef>
          </c:val>
          <c:smooth val="0"/>
          <c:extLst>
            <c:ext xmlns:c16="http://schemas.microsoft.com/office/drawing/2014/chart" uri="{C3380CC4-5D6E-409C-BE32-E72D297353CC}">
              <c16:uniqueId val="{00000006-424C-4BF3-A854-B26D0DE56E24}"/>
            </c:ext>
          </c:extLst>
        </c:ser>
        <c:ser>
          <c:idx val="2"/>
          <c:order val="1"/>
          <c:tx>
            <c:strRef>
              <c:f>MTTR!$E$9</c:f>
              <c:strCache>
                <c:ptCount val="1"/>
                <c:pt idx="0">
                  <c:v>Average of مبنا MTTR</c:v>
                </c:pt>
              </c:strCache>
            </c:strRef>
          </c:tx>
          <c:spPr>
            <a:ln w="38100" cap="flat" cmpd="dbl" algn="ctr">
              <a:solidFill>
                <a:schemeClr val="accent3"/>
              </a:solidFill>
              <a:prstDash val="dash"/>
              <a:miter lim="800000"/>
            </a:ln>
            <a:effectLst/>
          </c:spPr>
          <c:marker>
            <c:symbol val="none"/>
          </c:marker>
          <c:dPt>
            <c:idx val="0"/>
            <c:marker>
              <c:symbol val="none"/>
            </c:marker>
            <c:bubble3D val="0"/>
            <c:spPr>
              <a:ln w="38100" cap="flat" cmpd="dbl" algn="ctr">
                <a:solidFill>
                  <a:schemeClr val="accent3"/>
                </a:solidFill>
                <a:prstDash val="dash"/>
                <a:miter lim="800000"/>
              </a:ln>
              <a:effectLst/>
            </c:spPr>
            <c:extLst>
              <c:ext xmlns:c16="http://schemas.microsoft.com/office/drawing/2014/chart" uri="{C3380CC4-5D6E-409C-BE32-E72D297353CC}">
                <c16:uniqueId val="{00000001-87C8-486C-A25A-72AA0C34C732}"/>
              </c:ext>
            </c:extLst>
          </c:dPt>
          <c:dPt>
            <c:idx val="1"/>
            <c:marker>
              <c:symbol val="none"/>
            </c:marker>
            <c:bubble3D val="0"/>
            <c:extLst>
              <c:ext xmlns:c16="http://schemas.microsoft.com/office/drawing/2014/chart" uri="{C3380CC4-5D6E-409C-BE32-E72D297353CC}">
                <c16:uniqueId val="{00000022-AA06-4E5C-BBD0-EFB65D5E9E1D}"/>
              </c:ext>
            </c:extLst>
          </c:dPt>
          <c:dPt>
            <c:idx val="2"/>
            <c:marker>
              <c:symbol val="none"/>
            </c:marker>
            <c:bubble3D val="0"/>
            <c:spPr>
              <a:ln w="38100" cap="flat" cmpd="dbl" algn="ctr">
                <a:solidFill>
                  <a:schemeClr val="accent3"/>
                </a:solidFill>
                <a:prstDash val="dash"/>
                <a:miter lim="800000"/>
              </a:ln>
              <a:effectLst/>
            </c:spPr>
            <c:extLst>
              <c:ext xmlns:c16="http://schemas.microsoft.com/office/drawing/2014/chart" uri="{C3380CC4-5D6E-409C-BE32-E72D297353CC}">
                <c16:uniqueId val="{00000004-9F7B-43F5-B3D3-96D12AAA2F98}"/>
              </c:ext>
            </c:extLst>
          </c:dPt>
          <c:dPt>
            <c:idx val="3"/>
            <c:marker>
              <c:symbol val="none"/>
            </c:marker>
            <c:bubble3D val="0"/>
            <c:spPr>
              <a:ln w="38100" cap="flat" cmpd="dbl" algn="ctr">
                <a:solidFill>
                  <a:schemeClr val="accent3"/>
                </a:solidFill>
                <a:prstDash val="dash"/>
                <a:miter lim="800000"/>
              </a:ln>
              <a:effectLst/>
            </c:spPr>
            <c:extLst>
              <c:ext xmlns:c16="http://schemas.microsoft.com/office/drawing/2014/chart" uri="{C3380CC4-5D6E-409C-BE32-E72D297353CC}">
                <c16:uniqueId val="{00000005-63B5-4112-A500-FF14369969DC}"/>
              </c:ext>
            </c:extLst>
          </c:dPt>
          <c:dPt>
            <c:idx val="4"/>
            <c:marker>
              <c:symbol val="none"/>
            </c:marker>
            <c:bubble3D val="0"/>
            <c:spPr>
              <a:ln w="38100" cap="flat" cmpd="dbl" algn="ctr">
                <a:solidFill>
                  <a:schemeClr val="accent3"/>
                </a:solidFill>
                <a:prstDash val="dash"/>
                <a:miter lim="800000"/>
              </a:ln>
              <a:effectLst/>
            </c:spPr>
            <c:extLst>
              <c:ext xmlns:c16="http://schemas.microsoft.com/office/drawing/2014/chart" uri="{C3380CC4-5D6E-409C-BE32-E72D297353CC}">
                <c16:uniqueId val="{00000007-63B5-4112-A500-FF14369969DC}"/>
              </c:ext>
            </c:extLst>
          </c:dPt>
          <c:dPt>
            <c:idx val="5"/>
            <c:marker>
              <c:symbol val="none"/>
            </c:marker>
            <c:bubble3D val="0"/>
            <c:spPr>
              <a:ln w="38100" cap="flat" cmpd="dbl" algn="ctr">
                <a:solidFill>
                  <a:schemeClr val="accent3"/>
                </a:solidFill>
                <a:prstDash val="dash"/>
                <a:miter lim="800000"/>
              </a:ln>
              <a:effectLst/>
            </c:spPr>
            <c:extLst>
              <c:ext xmlns:c16="http://schemas.microsoft.com/office/drawing/2014/chart" uri="{C3380CC4-5D6E-409C-BE32-E72D297353CC}">
                <c16:uniqueId val="{00000009-9F7B-43F5-B3D3-96D12AAA2F98}"/>
              </c:ext>
            </c:extLst>
          </c:dPt>
          <c:dPt>
            <c:idx val="6"/>
            <c:marker>
              <c:symbol val="none"/>
            </c:marker>
            <c:bubble3D val="0"/>
            <c:spPr>
              <a:ln w="38100" cap="flat" cmpd="dbl" algn="ctr">
                <a:solidFill>
                  <a:schemeClr val="accent3"/>
                </a:solidFill>
                <a:prstDash val="dash"/>
                <a:miter lim="800000"/>
              </a:ln>
              <a:effectLst/>
            </c:spPr>
            <c:extLst>
              <c:ext xmlns:c16="http://schemas.microsoft.com/office/drawing/2014/chart" uri="{C3380CC4-5D6E-409C-BE32-E72D297353CC}">
                <c16:uniqueId val="{00000003-015C-4422-AEB1-958E8907A6F3}"/>
              </c:ext>
            </c:extLst>
          </c:dPt>
          <c:dPt>
            <c:idx val="7"/>
            <c:marker>
              <c:symbol val="none"/>
            </c:marker>
            <c:bubble3D val="0"/>
            <c:spPr>
              <a:ln w="38100" cap="flat" cmpd="dbl" algn="ctr">
                <a:solidFill>
                  <a:schemeClr val="accent3"/>
                </a:solidFill>
                <a:prstDash val="dash"/>
                <a:miter lim="800000"/>
              </a:ln>
              <a:effectLst/>
            </c:spPr>
            <c:extLst>
              <c:ext xmlns:c16="http://schemas.microsoft.com/office/drawing/2014/chart" uri="{C3380CC4-5D6E-409C-BE32-E72D297353CC}">
                <c16:uniqueId val="{00000005-015C-4422-AEB1-958E8907A6F3}"/>
              </c:ext>
            </c:extLst>
          </c:dPt>
          <c:dPt>
            <c:idx val="8"/>
            <c:marker>
              <c:symbol val="none"/>
            </c:marker>
            <c:bubble3D val="0"/>
            <c:spPr>
              <a:ln w="38100" cap="flat" cmpd="dbl" algn="ctr">
                <a:solidFill>
                  <a:schemeClr val="accent3"/>
                </a:solidFill>
                <a:prstDash val="dash"/>
                <a:miter lim="800000"/>
              </a:ln>
              <a:effectLst/>
            </c:spPr>
          </c:dPt>
          <c:dPt>
            <c:idx val="9"/>
            <c:marker>
              <c:symbol val="none"/>
            </c:marker>
            <c:bubble3D val="0"/>
            <c:spPr>
              <a:ln w="38100" cap="flat" cmpd="dbl" algn="ctr">
                <a:solidFill>
                  <a:schemeClr val="accent3"/>
                </a:solidFill>
                <a:prstDash val="dash"/>
                <a:miter lim="800000"/>
              </a:ln>
              <a:effectLst/>
            </c:spPr>
          </c:dPt>
          <c:dPt>
            <c:idx val="10"/>
            <c:marker>
              <c:symbol val="none"/>
            </c:marker>
            <c:bubble3D val="0"/>
            <c:spPr>
              <a:ln w="38100" cap="flat" cmpd="dbl" algn="ctr">
                <a:solidFill>
                  <a:schemeClr val="accent3"/>
                </a:solidFill>
                <a:prstDash val="dash"/>
                <a:miter lim="800000"/>
              </a:ln>
              <a:effectLst/>
            </c:spPr>
          </c:dPt>
          <c:dLbls>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MTTR!$C$10:$C$26</c:f>
              <c:multiLvlStrCache>
                <c:ptCount val="11"/>
                <c:lvl>
                  <c:pt idx="0">
                    <c:v>10</c:v>
                  </c:pt>
                  <c:pt idx="1">
                    <c:v>11</c:v>
                  </c:pt>
                  <c:pt idx="2">
                    <c:v>1</c:v>
                  </c:pt>
                  <c:pt idx="3">
                    <c:v>2</c:v>
                  </c:pt>
                  <c:pt idx="4">
                    <c:v>3</c:v>
                  </c:pt>
                  <c:pt idx="5">
                    <c:v>4</c:v>
                  </c:pt>
                  <c:pt idx="6">
                    <c:v>5</c:v>
                  </c:pt>
                  <c:pt idx="7">
                    <c:v>6</c:v>
                  </c:pt>
                  <c:pt idx="8">
                    <c:v>7</c:v>
                  </c:pt>
                  <c:pt idx="9">
                    <c:v>8</c:v>
                  </c:pt>
                  <c:pt idx="10">
                    <c:v>9</c:v>
                  </c:pt>
                </c:lvl>
                <c:lvl>
                  <c:pt idx="0">
                    <c:v>زمستان</c:v>
                  </c:pt>
                  <c:pt idx="2">
                    <c:v>بهار</c:v>
                  </c:pt>
                  <c:pt idx="5">
                    <c:v>تابستان</c:v>
                  </c:pt>
                  <c:pt idx="8">
                    <c:v>پاییز</c:v>
                  </c:pt>
                </c:lvl>
                <c:lvl>
                  <c:pt idx="0">
                    <c:v>1404</c:v>
                  </c:pt>
                </c:lvl>
              </c:multiLvlStrCache>
            </c:multiLvlStrRef>
          </c:cat>
          <c:val>
            <c:numRef>
              <c:f>MTTR!$E$10:$E$26</c:f>
              <c:numCache>
                <c:formatCode>General</c:formatCode>
                <c:ptCount val="11"/>
                <c:pt idx="0">
                  <c:v>24</c:v>
                </c:pt>
                <c:pt idx="1">
                  <c:v>#N/A</c:v>
                </c:pt>
                <c:pt idx="2">
                  <c:v>24</c:v>
                </c:pt>
                <c:pt idx="3">
                  <c:v>24</c:v>
                </c:pt>
                <c:pt idx="4">
                  <c:v>24</c:v>
                </c:pt>
                <c:pt idx="5">
                  <c:v>24</c:v>
                </c:pt>
                <c:pt idx="6">
                  <c:v>24</c:v>
                </c:pt>
                <c:pt idx="7">
                  <c:v>24</c:v>
                </c:pt>
                <c:pt idx="8">
                  <c:v>24</c:v>
                </c:pt>
                <c:pt idx="9">
                  <c:v>24</c:v>
                </c:pt>
                <c:pt idx="10">
                  <c:v>24</c:v>
                </c:pt>
              </c:numCache>
            </c:numRef>
          </c:val>
          <c:smooth val="0"/>
          <c:extLst>
            <c:ext xmlns:c16="http://schemas.microsoft.com/office/drawing/2014/chart" uri="{C3380CC4-5D6E-409C-BE32-E72D297353CC}">
              <c16:uniqueId val="{0000001F-AA06-4E5C-BBD0-EFB65D5E9E1D}"/>
            </c:ext>
          </c:extLst>
        </c:ser>
        <c:ser>
          <c:idx val="0"/>
          <c:order val="2"/>
          <c:tx>
            <c:strRef>
              <c:f>MTTR!$F$9</c:f>
              <c:strCache>
                <c:ptCount val="1"/>
                <c:pt idx="0">
                  <c:v>Average of TTR(mints)</c:v>
                </c:pt>
              </c:strCache>
            </c:strRef>
          </c:tx>
          <c:spPr>
            <a:ln w="38100" cap="flat" cmpd="dbl" algn="ctr">
              <a:solidFill>
                <a:schemeClr val="accent1"/>
              </a:solidFill>
              <a:miter lim="800000"/>
            </a:ln>
            <a:effectLst/>
          </c:spPr>
          <c:marker>
            <c:symbol val="none"/>
          </c:marker>
          <c:dLbls>
            <c:numFmt formatCode="#,##0.0" sourceLinked="0"/>
            <c:spPr>
              <a:noFill/>
              <a:ln>
                <a:noFill/>
              </a:ln>
              <a:effectLst/>
            </c:spPr>
            <c:txPr>
              <a:bodyPr rot="0" spcFirstLastPara="1" vertOverflow="ellipsis" vert="horz" wrap="square" anchor="ctr" anchorCtr="1"/>
              <a:lstStyle/>
              <a:p>
                <a:pPr algn="ct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MTTR!$C$10:$C$26</c:f>
              <c:multiLvlStrCache>
                <c:ptCount val="11"/>
                <c:lvl>
                  <c:pt idx="0">
                    <c:v>10</c:v>
                  </c:pt>
                  <c:pt idx="1">
                    <c:v>11</c:v>
                  </c:pt>
                  <c:pt idx="2">
                    <c:v>1</c:v>
                  </c:pt>
                  <c:pt idx="3">
                    <c:v>2</c:v>
                  </c:pt>
                  <c:pt idx="4">
                    <c:v>3</c:v>
                  </c:pt>
                  <c:pt idx="5">
                    <c:v>4</c:v>
                  </c:pt>
                  <c:pt idx="6">
                    <c:v>5</c:v>
                  </c:pt>
                  <c:pt idx="7">
                    <c:v>6</c:v>
                  </c:pt>
                  <c:pt idx="8">
                    <c:v>7</c:v>
                  </c:pt>
                  <c:pt idx="9">
                    <c:v>8</c:v>
                  </c:pt>
                  <c:pt idx="10">
                    <c:v>9</c:v>
                  </c:pt>
                </c:lvl>
                <c:lvl>
                  <c:pt idx="0">
                    <c:v>زمستان</c:v>
                  </c:pt>
                  <c:pt idx="2">
                    <c:v>بهار</c:v>
                  </c:pt>
                  <c:pt idx="5">
                    <c:v>تابستان</c:v>
                  </c:pt>
                  <c:pt idx="8">
                    <c:v>پاییز</c:v>
                  </c:pt>
                </c:lvl>
                <c:lvl>
                  <c:pt idx="0">
                    <c:v>1404</c:v>
                  </c:pt>
                </c:lvl>
              </c:multiLvlStrCache>
            </c:multiLvlStrRef>
          </c:cat>
          <c:val>
            <c:numRef>
              <c:f>MTTR!$F$10:$F$26</c:f>
              <c:numCache>
                <c:formatCode>General</c:formatCode>
                <c:ptCount val="11"/>
                <c:pt idx="0">
                  <c:v>7691246.958333333</c:v>
                </c:pt>
                <c:pt idx="1">
                  <c:v>4.5611111111111109</c:v>
                </c:pt>
                <c:pt idx="2">
                  <c:v>65.80952380952381</c:v>
                </c:pt>
                <c:pt idx="3">
                  <c:v>11.618840579710144</c:v>
                </c:pt>
                <c:pt idx="4">
                  <c:v>11.028030303030301</c:v>
                </c:pt>
                <c:pt idx="5">
                  <c:v>15.312962962962956</c:v>
                </c:pt>
                <c:pt idx="6">
                  <c:v>8.3192982456140356</c:v>
                </c:pt>
                <c:pt idx="7">
                  <c:v>3.4175925925925923</c:v>
                </c:pt>
                <c:pt idx="8">
                  <c:v>38.776984126984125</c:v>
                </c:pt>
                <c:pt idx="9">
                  <c:v>13.7080808080206</c:v>
                </c:pt>
                <c:pt idx="10">
                  <c:v>2050925.5222222221</c:v>
                </c:pt>
              </c:numCache>
            </c:numRef>
          </c:val>
          <c:smooth val="0"/>
          <c:extLst>
            <c:ext xmlns:c16="http://schemas.microsoft.com/office/drawing/2014/chart" uri="{C3380CC4-5D6E-409C-BE32-E72D297353CC}">
              <c16:uniqueId val="{00000020-AA06-4E5C-BBD0-EFB65D5E9E1D}"/>
            </c:ext>
          </c:extLst>
        </c:ser>
        <c:dLbls>
          <c:dLblPos val="ctr"/>
          <c:showLegendKey val="0"/>
          <c:showVal val="1"/>
          <c:showCatName val="0"/>
          <c:showSerName val="0"/>
          <c:showPercent val="0"/>
          <c:showBubbleSize val="0"/>
        </c:dLbls>
        <c:smooth val="0"/>
        <c:axId val="1582252224"/>
        <c:axId val="1715614144"/>
      </c:lineChart>
      <c:catAx>
        <c:axId val="158225222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low"/>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crossAx val="1715614144"/>
        <c:crosses val="autoZero"/>
        <c:auto val="1"/>
        <c:lblAlgn val="ctr"/>
        <c:lblOffset val="100"/>
        <c:noMultiLvlLbl val="0"/>
      </c:catAx>
      <c:valAx>
        <c:axId val="1715614144"/>
        <c:scaling>
          <c:logBase val="10"/>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lang="en-US" sz="1800" b="0" i="0" u="none" strike="noStrike" kern="1200" cap="all" baseline="0">
                    <a:solidFill>
                      <a:schemeClr val="dk1">
                        <a:lumMod val="65000"/>
                        <a:lumOff val="35000"/>
                      </a:schemeClr>
                    </a:solidFill>
                    <a:latin typeface="+mn-lt"/>
                    <a:ea typeface="+mn-ea"/>
                    <a:cs typeface="B Elham" panose="00000400000000000000" pitchFamily="2" charset="-78"/>
                  </a:defRPr>
                </a:pPr>
                <a:r>
                  <a:rPr lang="fa-IR"/>
                  <a:t> (ساعت)</a:t>
                </a:r>
                <a:endParaRPr lang="en-US"/>
              </a:p>
            </c:rich>
          </c:tx>
          <c:layout>
            <c:manualLayout>
              <c:xMode val="edge"/>
              <c:yMode val="edge"/>
              <c:x val="1.4099568494013037E-2"/>
              <c:y val="0.3813088601767432"/>
            </c:manualLayout>
          </c:layout>
          <c:overlay val="0"/>
          <c:spPr>
            <a:noFill/>
            <a:ln>
              <a:noFill/>
            </a:ln>
            <a:effectLst/>
          </c:spPr>
          <c:txPr>
            <a:bodyPr rot="-5400000" spcFirstLastPara="1" vertOverflow="ellipsis" vert="horz" wrap="square" anchor="ctr" anchorCtr="1"/>
            <a:lstStyle/>
            <a:p>
              <a:pPr>
                <a:defRPr lang="en-US" sz="1800" b="0" i="0" u="none" strike="noStrike" kern="1200" cap="all" baseline="0">
                  <a:solidFill>
                    <a:schemeClr val="dk1">
                      <a:lumMod val="65000"/>
                      <a:lumOff val="35000"/>
                    </a:schemeClr>
                  </a:solidFill>
                  <a:latin typeface="+mn-lt"/>
                  <a:ea typeface="+mn-ea"/>
                  <a:cs typeface="B Elham" panose="00000400000000000000" pitchFamily="2" charset="-78"/>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crossAx val="158225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800" b="0" i="0" u="none" strike="noStrike" kern="1200" baseline="0">
          <a:solidFill>
            <a:schemeClr val="dk1">
              <a:lumMod val="65000"/>
              <a:lumOff val="35000"/>
            </a:schemeClr>
          </a:solidFill>
          <a:latin typeface="+mn-lt"/>
          <a:ea typeface="+mn-ea"/>
          <a:cs typeface="B Elham" panose="00000400000000000000" pitchFamily="2" charset="-78"/>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(041115).xlsx]pareto!PivotTable2</c:name>
    <c:fmtId val="3"/>
  </c:pivotSource>
  <c:chart>
    <c:title>
      <c:tx>
        <c:rich>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r>
              <a:rPr lang="fa-IR" sz="2400" b="1" i="0" u="none" strike="noStrike" kern="1200" cap="all" spc="120" normalizeH="0" baseline="0">
                <a:solidFill>
                  <a:sysClr val="windowText" lastClr="000000">
                    <a:lumMod val="65000"/>
                    <a:lumOff val="35000"/>
                  </a:sysClr>
                </a:solidFill>
                <a:latin typeface="+mn-lt"/>
                <a:ea typeface="+mn-ea"/>
                <a:cs typeface="+mn-cs"/>
              </a:rPr>
              <a:t>پارتو </a:t>
            </a:r>
            <a:r>
              <a:rPr lang="en-US" sz="2400" b="1" i="0" u="none" strike="noStrike" kern="1200" cap="all" spc="120" normalizeH="0" baseline="0">
                <a:solidFill>
                  <a:sysClr val="windowText" lastClr="000000">
                    <a:lumMod val="65000"/>
                    <a:lumOff val="35000"/>
                  </a:sysClr>
                </a:solidFill>
                <a:latin typeface="+mn-lt"/>
                <a:ea typeface="+mn-ea"/>
                <a:cs typeface="+mn-cs"/>
              </a:rPr>
              <a:t>MTBF</a:t>
            </a:r>
            <a:r>
              <a:rPr lang="fa-IR" sz="2400" b="1" i="0" u="none" strike="noStrike" kern="1200" cap="all" spc="120" normalizeH="0" baseline="0">
                <a:solidFill>
                  <a:sysClr val="windowText" lastClr="000000">
                    <a:lumMod val="65000"/>
                    <a:lumOff val="35000"/>
                  </a:sysClr>
                </a:solidFill>
                <a:latin typeface="+mn-lt"/>
                <a:ea typeface="+mn-ea"/>
                <a:cs typeface="+mn-cs"/>
              </a:rPr>
              <a:t> (تجهیزات)</a:t>
            </a:r>
          </a:p>
        </c:rich>
      </c:tx>
      <c:overlay val="0"/>
      <c:spPr>
        <a:noFill/>
        <a:ln>
          <a:noFill/>
        </a:ln>
        <a:effectLst/>
      </c:spPr>
      <c:txPr>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endParaRPr lang="fa-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6981654876003"/>
          <c:y val="0.12436489924458521"/>
          <c:w val="0.87509084491199574"/>
          <c:h val="0.44405384112527552"/>
        </c:manualLayout>
      </c:layout>
      <c:barChart>
        <c:barDir val="col"/>
        <c:grouping val="clustered"/>
        <c:varyColors val="0"/>
        <c:ser>
          <c:idx val="0"/>
          <c:order val="0"/>
          <c:tx>
            <c:strRef>
              <c:f>pareto!$B$8</c:f>
              <c:strCache>
                <c:ptCount val="1"/>
                <c:pt idx="0">
                  <c:v>Total</c:v>
                </c:pt>
              </c:strCache>
            </c:strRef>
          </c:tx>
          <c:spPr>
            <a:solidFill>
              <a:schemeClr val="accent1"/>
            </a:solidFill>
            <a:ln>
              <a:noFill/>
            </a:ln>
            <a:effectLst/>
          </c:spPr>
          <c:invertIfNegative val="0"/>
          <c:cat>
            <c:strRef>
              <c:f>pareto!$A$9:$A$29</c:f>
              <c:strCache>
                <c:ptCount val="20"/>
                <c:pt idx="0">
                  <c:v>ماشین  برش4</c:v>
                </c:pt>
                <c:pt idx="1">
                  <c:v> شرینک 2</c:v>
                </c:pt>
                <c:pt idx="2">
                  <c:v>دستگاه شیرینک 2</c:v>
                </c:pt>
                <c:pt idx="3">
                  <c:v>ماشین برش4</c:v>
                </c:pt>
                <c:pt idx="4">
                  <c:v>دستگاه چاپ 2</c:v>
                </c:pt>
                <c:pt idx="5">
                  <c:v>دستگاه شرینک 1 </c:v>
                </c:pt>
                <c:pt idx="6">
                  <c:v>ماشین برش 4</c:v>
                </c:pt>
                <c:pt idx="7">
                  <c:v>ماشین برش 2</c:v>
                </c:pt>
                <c:pt idx="8">
                  <c:v>ماشین برش2</c:v>
                </c:pt>
                <c:pt idx="9">
                  <c:v>دستگاه برش 4</c:v>
                </c:pt>
                <c:pt idx="10">
                  <c:v>ماشین برش 3</c:v>
                </c:pt>
                <c:pt idx="11">
                  <c:v>دستگاه مغزی پر کن3</c:v>
                </c:pt>
                <c:pt idx="12">
                  <c:v> شرینک 1</c:v>
                </c:pt>
                <c:pt idx="13">
                  <c:v>ماشین برش 1</c:v>
                </c:pt>
                <c:pt idx="14">
                  <c:v>ماشین برش3</c:v>
                </c:pt>
                <c:pt idx="15">
                  <c:v>دستگاه شرینک 2 </c:v>
                </c:pt>
                <c:pt idx="16">
                  <c:v>کانوایر 18متری</c:v>
                </c:pt>
                <c:pt idx="17">
                  <c:v>دستگاه شرینگ2</c:v>
                </c:pt>
                <c:pt idx="18">
                  <c:v>دستگاه مغزی پر کن2</c:v>
                </c:pt>
                <c:pt idx="19">
                  <c:v>قالب btm cat4</c:v>
                </c:pt>
              </c:strCache>
            </c:strRef>
          </c:cat>
          <c:val>
            <c:numRef>
              <c:f>pareto!$B$9:$B$29</c:f>
              <c:numCache>
                <c:formatCode>General</c:formatCode>
                <c:ptCount val="20"/>
                <c:pt idx="0">
                  <c:v>23.666666666666668</c:v>
                </c:pt>
                <c:pt idx="1">
                  <c:v>72.891666666666666</c:v>
                </c:pt>
                <c:pt idx="2">
                  <c:v>103.78333333333333</c:v>
                </c:pt>
                <c:pt idx="3">
                  <c:v>151.80729166666663</c:v>
                </c:pt>
                <c:pt idx="4">
                  <c:v>228.49506172839503</c:v>
                </c:pt>
                <c:pt idx="5">
                  <c:v>249.86250000012416</c:v>
                </c:pt>
                <c:pt idx="6">
                  <c:v>257.13245614035094</c:v>
                </c:pt>
                <c:pt idx="7">
                  <c:v>282.39210526315787</c:v>
                </c:pt>
                <c:pt idx="8">
                  <c:v>295.25333333333333</c:v>
                </c:pt>
                <c:pt idx="9">
                  <c:v>325.91666666666669</c:v>
                </c:pt>
                <c:pt idx="10">
                  <c:v>367.87407407407414</c:v>
                </c:pt>
                <c:pt idx="11">
                  <c:v>465.65277777777777</c:v>
                </c:pt>
                <c:pt idx="12">
                  <c:v>496.11296296296314</c:v>
                </c:pt>
                <c:pt idx="13">
                  <c:v>563.57083333333333</c:v>
                </c:pt>
                <c:pt idx="14">
                  <c:v>735.5020833333333</c:v>
                </c:pt>
                <c:pt idx="15">
                  <c:v>792.25</c:v>
                </c:pt>
                <c:pt idx="16">
                  <c:v>876.375</c:v>
                </c:pt>
                <c:pt idx="17">
                  <c:v>1130.4000000000001</c:v>
                </c:pt>
                <c:pt idx="18">
                  <c:v>1382.8722222222223</c:v>
                </c:pt>
                <c:pt idx="19">
                  <c:v>1477.25</c:v>
                </c:pt>
              </c:numCache>
            </c:numRef>
          </c:val>
          <c:extLst>
            <c:ext xmlns:c16="http://schemas.microsoft.com/office/drawing/2014/chart" uri="{C3380CC4-5D6E-409C-BE32-E72D297353CC}">
              <c16:uniqueId val="{00000000-C5FE-4791-A3F6-7C10B00FE893}"/>
            </c:ext>
          </c:extLst>
        </c:ser>
        <c:dLbls>
          <c:showLegendKey val="0"/>
          <c:showVal val="0"/>
          <c:showCatName val="0"/>
          <c:showSerName val="0"/>
          <c:showPercent val="0"/>
          <c:showBubbleSize val="0"/>
        </c:dLbls>
        <c:gapWidth val="219"/>
        <c:overlap val="-27"/>
        <c:axId val="595419904"/>
        <c:axId val="595421344"/>
      </c:barChart>
      <c:catAx>
        <c:axId val="59541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crossAx val="595421344"/>
        <c:crosses val="autoZero"/>
        <c:auto val="1"/>
        <c:lblAlgn val="ctr"/>
        <c:lblOffset val="100"/>
        <c:noMultiLvlLbl val="0"/>
      </c:catAx>
      <c:valAx>
        <c:axId val="59542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defRPr>
                </a:pPr>
                <a:r>
                  <a: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rPr>
                  <a:t>(ساعت)</a:t>
                </a:r>
              </a:p>
            </c:rich>
          </c:tx>
          <c:layout>
            <c:manualLayout>
              <c:xMode val="edge"/>
              <c:yMode val="edge"/>
              <c:x val="8.4805081356339032E-2"/>
              <c:y val="8.6210802230865663E-2"/>
            </c:manualLayout>
          </c:layout>
          <c:overlay val="0"/>
          <c:spPr>
            <a:noFill/>
            <a:ln>
              <a:noFill/>
            </a:ln>
            <a:effectLst/>
          </c:spPr>
          <c:txPr>
            <a:bodyPr rot="-5400000" spcFirstLastPara="1" vertOverflow="ellipsis" vert="horz" wrap="square" anchor="ctr" anchorCtr="1"/>
            <a:lstStyle/>
            <a:p>
              <a:pPr algn="ctr" rtl="0">
                <a:def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defRPr>
              </a:pPr>
              <a:endParaRPr lang="fa-I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crossAx val="59541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(041115).xlsx]pareto!PivotTable3</c:name>
    <c:fmtId val="3"/>
  </c:pivotSource>
  <c:chart>
    <c:title>
      <c:tx>
        <c:rich>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r>
              <a:rPr lang="fa-IR" sz="2400" b="1" i="0" u="none" strike="noStrike" kern="1200" cap="all" spc="120" normalizeH="0" baseline="0">
                <a:solidFill>
                  <a:sysClr val="windowText" lastClr="000000">
                    <a:lumMod val="65000"/>
                    <a:lumOff val="35000"/>
                  </a:sysClr>
                </a:solidFill>
                <a:latin typeface="+mn-lt"/>
                <a:ea typeface="+mn-ea"/>
                <a:cs typeface="+mn-cs"/>
              </a:rPr>
              <a:t>پارتو </a:t>
            </a:r>
            <a:r>
              <a:rPr lang="en-US" sz="2400" b="1" i="0" u="none" strike="noStrike" kern="1200" cap="all" spc="120" normalizeH="0" baseline="0">
                <a:solidFill>
                  <a:sysClr val="windowText" lastClr="000000">
                    <a:lumMod val="65000"/>
                    <a:lumOff val="35000"/>
                  </a:sysClr>
                </a:solidFill>
                <a:latin typeface="+mn-lt"/>
                <a:ea typeface="+mn-ea"/>
                <a:cs typeface="+mn-cs"/>
              </a:rPr>
              <a:t>MTTR</a:t>
            </a:r>
            <a:r>
              <a:rPr lang="fa-IR" sz="2400" b="1" i="0" u="none" strike="noStrike" kern="1200" cap="all" spc="120" normalizeH="0" baseline="0">
                <a:solidFill>
                  <a:sysClr val="windowText" lastClr="000000">
                    <a:lumMod val="65000"/>
                    <a:lumOff val="35000"/>
                  </a:sysClr>
                </a:solidFill>
                <a:latin typeface="+mn-lt"/>
                <a:ea typeface="+mn-ea"/>
                <a:cs typeface="+mn-cs"/>
              </a:rPr>
              <a:t> (تجهیزات)</a:t>
            </a:r>
          </a:p>
        </c:rich>
      </c:tx>
      <c:overlay val="0"/>
      <c:spPr>
        <a:noFill/>
        <a:ln>
          <a:noFill/>
        </a:ln>
        <a:effectLst/>
      </c:spPr>
      <c:txPr>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endParaRPr lang="fa-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cap="all" spc="120" normalizeH="0" baseline="0">
                  <a:solidFill>
                    <a:sysClr val="windowText" lastClr="000000">
                      <a:lumMod val="65000"/>
                      <a:lumOff val="35000"/>
                    </a:sysClr>
                  </a:solidFill>
                  <a:latin typeface="Kalameh" pitchFamily="2" charset="-78"/>
                  <a:ea typeface="+mn-ea"/>
                  <a:cs typeface="Kalameh" pitchFamily="2" charset="-78"/>
                </a:defRPr>
              </a:pPr>
              <a:endParaRPr lang="fa-I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0212945292751"/>
          <c:y val="0.12436489924458521"/>
          <c:w val="0.84132717950414659"/>
          <c:h val="0.45012129091126074"/>
        </c:manualLayout>
      </c:layout>
      <c:barChart>
        <c:barDir val="col"/>
        <c:grouping val="clustered"/>
        <c:varyColors val="0"/>
        <c:ser>
          <c:idx val="0"/>
          <c:order val="0"/>
          <c:tx>
            <c:strRef>
              <c:f>pareto!$F$8</c:f>
              <c:strCache>
                <c:ptCount val="1"/>
                <c:pt idx="0">
                  <c:v>Total</c:v>
                </c:pt>
              </c:strCache>
            </c:strRef>
          </c:tx>
          <c:spPr>
            <a:solidFill>
              <a:schemeClr val="accent1"/>
            </a:solidFill>
            <a:ln>
              <a:noFill/>
            </a:ln>
            <a:effectLst/>
          </c:spPr>
          <c:invertIfNegative val="0"/>
          <c:cat>
            <c:strRef>
              <c:f>pareto!$E$9:$E$29</c:f>
              <c:strCache>
                <c:ptCount val="20"/>
                <c:pt idx="0">
                  <c:v>ماشین برش2</c:v>
                </c:pt>
                <c:pt idx="1">
                  <c:v>ماشین برش4</c:v>
                </c:pt>
                <c:pt idx="2">
                  <c:v>دستگاه مغزی پر کن3</c:v>
                </c:pt>
                <c:pt idx="3">
                  <c:v>دستگاه شرینک 1 </c:v>
                </c:pt>
                <c:pt idx="4">
                  <c:v>دستگاه چاپ 2</c:v>
                </c:pt>
                <c:pt idx="5">
                  <c:v> شرینک3</c:v>
                </c:pt>
                <c:pt idx="6">
                  <c:v>ماشین برش 1</c:v>
                </c:pt>
                <c:pt idx="7">
                  <c:v>ماشین برش 4</c:v>
                </c:pt>
                <c:pt idx="8">
                  <c:v>ماشین چاپ 2 (فلکسوگرافی)</c:v>
                </c:pt>
                <c:pt idx="9">
                  <c:v>دستگاه شرینک 2 </c:v>
                </c:pt>
                <c:pt idx="10">
                  <c:v>قالب btm cat4</c:v>
                </c:pt>
                <c:pt idx="11">
                  <c:v>ماشین برش 2</c:v>
                </c:pt>
                <c:pt idx="12">
                  <c:v>ماشین برش 3</c:v>
                </c:pt>
                <c:pt idx="13">
                  <c:v> شرینک 2</c:v>
                </c:pt>
                <c:pt idx="14">
                  <c:v>مغزی پرکن2</c:v>
                </c:pt>
                <c:pt idx="15">
                  <c:v>دستگاه مغزی پر کن2</c:v>
                </c:pt>
                <c:pt idx="16">
                  <c:v>کانوایر 18متری</c:v>
                </c:pt>
                <c:pt idx="17">
                  <c:v> شرینک 1</c:v>
                </c:pt>
                <c:pt idx="18">
                  <c:v>ماشین  برش4</c:v>
                </c:pt>
                <c:pt idx="19">
                  <c:v>دستگاه شیرینک 2</c:v>
                </c:pt>
              </c:strCache>
            </c:strRef>
          </c:cat>
          <c:val>
            <c:numRef>
              <c:f>pareto!$F$9:$F$29</c:f>
              <c:numCache>
                <c:formatCode>General</c:formatCode>
                <c:ptCount val="20"/>
                <c:pt idx="0">
                  <c:v>2050924.4444444443</c:v>
                </c:pt>
                <c:pt idx="1">
                  <c:v>1367346.4685185181</c:v>
                </c:pt>
                <c:pt idx="2">
                  <c:v>1367342.3796296297</c:v>
                </c:pt>
                <c:pt idx="3">
                  <c:v>723896.39411764697</c:v>
                </c:pt>
                <c:pt idx="4">
                  <c:v>439505.04166666651</c:v>
                </c:pt>
                <c:pt idx="5">
                  <c:v>764.05</c:v>
                </c:pt>
                <c:pt idx="6">
                  <c:v>586.46944444444443</c:v>
                </c:pt>
                <c:pt idx="7">
                  <c:v>52.060666666666677</c:v>
                </c:pt>
                <c:pt idx="8">
                  <c:v>42.394444444444446</c:v>
                </c:pt>
                <c:pt idx="9">
                  <c:v>21.066666666666666</c:v>
                </c:pt>
                <c:pt idx="10">
                  <c:v>17.899999999999999</c:v>
                </c:pt>
                <c:pt idx="11">
                  <c:v>17.871604938271609</c:v>
                </c:pt>
                <c:pt idx="12">
                  <c:v>17.826666666666672</c:v>
                </c:pt>
                <c:pt idx="13">
                  <c:v>16.095833333333331</c:v>
                </c:pt>
                <c:pt idx="14">
                  <c:v>4</c:v>
                </c:pt>
                <c:pt idx="15">
                  <c:v>3.9866666666666668</c:v>
                </c:pt>
                <c:pt idx="16">
                  <c:v>1.9166666666666667</c:v>
                </c:pt>
                <c:pt idx="17">
                  <c:v>1.8649122807017546</c:v>
                </c:pt>
                <c:pt idx="18">
                  <c:v>1.3166666666666667</c:v>
                </c:pt>
                <c:pt idx="19">
                  <c:v>1.175</c:v>
                </c:pt>
              </c:numCache>
            </c:numRef>
          </c:val>
          <c:extLst>
            <c:ext xmlns:c16="http://schemas.microsoft.com/office/drawing/2014/chart" uri="{C3380CC4-5D6E-409C-BE32-E72D297353CC}">
              <c16:uniqueId val="{00000000-3FC3-4A5B-83A3-97D3872B488E}"/>
            </c:ext>
          </c:extLst>
        </c:ser>
        <c:dLbls>
          <c:showLegendKey val="0"/>
          <c:showVal val="0"/>
          <c:showCatName val="0"/>
          <c:showSerName val="0"/>
          <c:showPercent val="0"/>
          <c:showBubbleSize val="0"/>
        </c:dLbls>
        <c:gapWidth val="219"/>
        <c:overlap val="-27"/>
        <c:axId val="595428544"/>
        <c:axId val="595440064"/>
      </c:barChart>
      <c:catAx>
        <c:axId val="5954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crossAx val="595440064"/>
        <c:crosses val="autoZero"/>
        <c:auto val="1"/>
        <c:lblAlgn val="ctr"/>
        <c:lblOffset val="100"/>
        <c:noMultiLvlLbl val="0"/>
      </c:catAx>
      <c:valAx>
        <c:axId val="595440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defRPr>
                </a:pPr>
                <a:r>
                  <a: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rPr>
                  <a:t>(ساعت)</a:t>
                </a:r>
              </a:p>
            </c:rich>
          </c:tx>
          <c:layout>
            <c:manualLayout>
              <c:xMode val="edge"/>
              <c:yMode val="edge"/>
              <c:x val="1.8789317948527364E-2"/>
              <c:y val="0.26314292895637015"/>
            </c:manualLayout>
          </c:layout>
          <c:overlay val="0"/>
          <c:spPr>
            <a:noFill/>
            <a:ln>
              <a:noFill/>
            </a:ln>
            <a:effectLst/>
          </c:spPr>
          <c:txPr>
            <a:bodyPr rot="-5400000" spcFirstLastPara="1" vertOverflow="ellipsis" vert="horz" wrap="square" anchor="ctr" anchorCtr="1"/>
            <a:lstStyle/>
            <a:p>
              <a:pPr algn="ctr" rtl="0">
                <a:def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defRPr>
              </a:pPr>
              <a:endParaRPr lang="fa-I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0" i="0" u="none" strike="noStrike" kern="1200" cap="all" spc="120" normalizeH="0" baseline="0">
                <a:solidFill>
                  <a:schemeClr val="dk1">
                    <a:lumMod val="65000"/>
                    <a:lumOff val="35000"/>
                  </a:schemeClr>
                </a:solidFill>
                <a:latin typeface="+mn-lt"/>
                <a:ea typeface="+mn-ea"/>
                <a:cs typeface="B Elham" panose="00000400000000000000" pitchFamily="2" charset="-78"/>
              </a:defRPr>
            </a:pPr>
            <a:endParaRPr lang="fa-IR"/>
          </a:p>
        </c:txPr>
        <c:crossAx val="59542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(041115).xlsx]pareto!PivotTable4</c:name>
    <c:fmtId val="52"/>
  </c:pivotSource>
  <c:chart>
    <c:title>
      <c:tx>
        <c:rich>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r>
              <a:rPr lang="fa-IR" sz="2400" b="1" i="0" u="none" strike="noStrike" kern="1200" cap="all" spc="120" normalizeH="0" baseline="0">
                <a:solidFill>
                  <a:sysClr val="windowText" lastClr="000000">
                    <a:lumMod val="65000"/>
                    <a:lumOff val="35000"/>
                  </a:sysClr>
                </a:solidFill>
                <a:latin typeface="+mn-lt"/>
                <a:ea typeface="+mn-ea"/>
                <a:cs typeface="+mn-cs"/>
              </a:rPr>
              <a:t>پارتو </a:t>
            </a:r>
            <a:r>
              <a:rPr lang="en-US" sz="2400" b="1" i="0" u="none" strike="noStrike" kern="1200" cap="all" spc="120" normalizeH="0" baseline="0">
                <a:solidFill>
                  <a:sysClr val="windowText" lastClr="000000">
                    <a:lumMod val="65000"/>
                    <a:lumOff val="35000"/>
                  </a:sysClr>
                </a:solidFill>
                <a:latin typeface="+mn-lt"/>
                <a:ea typeface="+mn-ea"/>
                <a:cs typeface="+mn-cs"/>
              </a:rPr>
              <a:t>MTBF</a:t>
            </a:r>
            <a:r>
              <a:rPr lang="fa-IR" sz="2400" b="1" i="0" u="none" strike="noStrike" kern="1200" cap="all" spc="120" normalizeH="0" baseline="0">
                <a:solidFill>
                  <a:sysClr val="windowText" lastClr="000000">
                    <a:lumMod val="65000"/>
                    <a:lumOff val="35000"/>
                  </a:sysClr>
                </a:solidFill>
                <a:latin typeface="+mn-lt"/>
                <a:ea typeface="+mn-ea"/>
                <a:cs typeface="+mn-cs"/>
              </a:rPr>
              <a:t> سالن ها</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195488592611374"/>
          <c:y val="0.1785819198589971"/>
          <c:w val="0.79021993955641501"/>
          <c:h val="0.67329793754238609"/>
        </c:manualLayout>
      </c:layout>
      <c:barChart>
        <c:barDir val="col"/>
        <c:grouping val="clustered"/>
        <c:varyColors val="0"/>
        <c:ser>
          <c:idx val="0"/>
          <c:order val="0"/>
          <c:tx>
            <c:strRef>
              <c:f>pareto!$I$7</c:f>
              <c:strCache>
                <c:ptCount val="1"/>
                <c:pt idx="0">
                  <c:v>Total</c:v>
                </c:pt>
              </c:strCache>
            </c:strRef>
          </c:tx>
          <c:invertIfNegative val="0"/>
          <c:cat>
            <c:strRef>
              <c:f>pareto!$H$8:$H$13</c:f>
              <c:strCache>
                <c:ptCount val="5"/>
                <c:pt idx="0">
                  <c:v>سالن تزریق پلاستیک</c:v>
                </c:pt>
                <c:pt idx="1">
                  <c:v> سالن تولید رول کاغذ حرارتی</c:v>
                </c:pt>
                <c:pt idx="2">
                  <c:v>  سالن تولید بردهای الکترونیکی</c:v>
                </c:pt>
                <c:pt idx="3">
                  <c:v>زیر ساخت</c:v>
                </c:pt>
                <c:pt idx="4">
                  <c:v>   سالن  تولید تجهیزات الکترونیکی</c:v>
                </c:pt>
              </c:strCache>
            </c:strRef>
          </c:cat>
          <c:val>
            <c:numRef>
              <c:f>pareto!$I$8:$I$13</c:f>
              <c:numCache>
                <c:formatCode>General</c:formatCode>
                <c:ptCount val="5"/>
                <c:pt idx="0">
                  <c:v>265.20740740740735</c:v>
                </c:pt>
                <c:pt idx="1">
                  <c:v>397.08719512196325</c:v>
                </c:pt>
                <c:pt idx="2">
                  <c:v>1384.159649122807</c:v>
                </c:pt>
                <c:pt idx="3">
                  <c:v>1803.4458333333332</c:v>
                </c:pt>
                <c:pt idx="4">
                  <c:v>2233.8416666666667</c:v>
                </c:pt>
              </c:numCache>
            </c:numRef>
          </c:val>
          <c:extLst>
            <c:ext xmlns:c16="http://schemas.microsoft.com/office/drawing/2014/chart" uri="{C3380CC4-5D6E-409C-BE32-E72D297353CC}">
              <c16:uniqueId val="{00000000-DA8C-460D-8534-FB0265F7859A}"/>
            </c:ext>
          </c:extLst>
        </c:ser>
        <c:dLbls>
          <c:showLegendKey val="0"/>
          <c:showVal val="0"/>
          <c:showCatName val="0"/>
          <c:showSerName val="0"/>
          <c:showPercent val="0"/>
          <c:showBubbleSize val="0"/>
        </c:dLbls>
        <c:gapWidth val="219"/>
        <c:overlap val="-27"/>
        <c:axId val="752015472"/>
        <c:axId val="752031312"/>
      </c:barChart>
      <c:catAx>
        <c:axId val="75201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crossAx val="752031312"/>
        <c:crosses val="autoZero"/>
        <c:auto val="1"/>
        <c:lblAlgn val="ctr"/>
        <c:lblOffset val="100"/>
        <c:noMultiLvlLbl val="0"/>
      </c:catAx>
      <c:valAx>
        <c:axId val="752031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defRPr>
                </a:pPr>
                <a:r>
                  <a: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rPr>
                  <a:t>(ساعت)</a:t>
                </a:r>
              </a:p>
            </c:rich>
          </c:tx>
          <c:layout>
            <c:manualLayout>
              <c:xMode val="edge"/>
              <c:yMode val="edge"/>
              <c:x val="1.5916741057253062E-2"/>
              <c:y val="0.41160844131588203"/>
            </c:manualLayout>
          </c:layout>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0" i="0" u="none" strike="noStrike" kern="1200" cap="all" spc="120" normalizeH="0" baseline="0">
                <a:solidFill>
                  <a:schemeClr val="dk1">
                    <a:lumMod val="65000"/>
                    <a:lumOff val="35000"/>
                  </a:schemeClr>
                </a:solidFill>
                <a:latin typeface="+mn-lt"/>
                <a:ea typeface="+mn-ea"/>
                <a:cs typeface="B Elham" panose="00000400000000000000" pitchFamily="2" charset="-78"/>
              </a:defRPr>
            </a:pPr>
            <a:endParaRPr lang="fa-IR"/>
          </a:p>
        </c:txPr>
        <c:crossAx val="752015472"/>
        <c:crosses val="autoZero"/>
        <c:crossBetween val="between"/>
      </c:valAx>
    </c:plotArea>
    <c:plotVisOnly val="1"/>
    <c:dispBlanksAs val="gap"/>
    <c:showDLblsOverMax val="0"/>
    <c:extLst/>
  </c:chart>
  <c:txPr>
    <a:bodyPr/>
    <a:lstStyle/>
    <a:p>
      <a:pPr>
        <a:defRPr/>
      </a:pPr>
      <a:endParaRPr lang="fa-IR"/>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(041115).xlsx]pareto!PivotTable5</c:name>
    <c:fmtId val="35"/>
  </c:pivotSource>
  <c:chart>
    <c:title>
      <c:tx>
        <c:rich>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r>
              <a:rPr lang="fa-IR" sz="2400" b="1" i="0" u="none" strike="noStrike" kern="1200" cap="all" spc="120" normalizeH="0" baseline="0">
                <a:solidFill>
                  <a:sysClr val="windowText" lastClr="000000">
                    <a:lumMod val="65000"/>
                    <a:lumOff val="35000"/>
                  </a:sysClr>
                </a:solidFill>
                <a:latin typeface="+mn-lt"/>
                <a:ea typeface="+mn-ea"/>
                <a:cs typeface="+mn-cs"/>
              </a:rPr>
              <a:t>پارتو </a:t>
            </a:r>
            <a:r>
              <a:rPr lang="en-US" sz="2400" b="1" i="0" u="none" strike="noStrike" kern="1200" cap="all" spc="120" normalizeH="0" baseline="0">
                <a:solidFill>
                  <a:sysClr val="windowText" lastClr="000000">
                    <a:lumMod val="65000"/>
                    <a:lumOff val="35000"/>
                  </a:sysClr>
                </a:solidFill>
                <a:latin typeface="+mn-lt"/>
                <a:ea typeface="+mn-ea"/>
                <a:cs typeface="+mn-cs"/>
              </a:rPr>
              <a:t>MTTR </a:t>
            </a:r>
            <a:r>
              <a:rPr lang="fa-IR" sz="2400" b="1" i="0" u="none" strike="noStrike" kern="1200" cap="all" spc="120" normalizeH="0" baseline="0">
                <a:solidFill>
                  <a:sysClr val="windowText" lastClr="000000">
                    <a:lumMod val="65000"/>
                    <a:lumOff val="35000"/>
                  </a:sysClr>
                </a:solidFill>
                <a:latin typeface="+mn-lt"/>
                <a:ea typeface="+mn-ea"/>
                <a:cs typeface="+mn-cs"/>
              </a:rPr>
              <a:t> سالن ها</a:t>
            </a:r>
          </a:p>
        </c:rich>
      </c:tx>
      <c:overlay val="0"/>
      <c:spPr>
        <a:noFill/>
        <a:ln>
          <a:noFill/>
        </a:ln>
        <a:effectLst/>
      </c:spPr>
      <c:txPr>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endParaRPr lang="fa-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0353773355461"/>
          <c:y val="0.172200051778787"/>
          <c:w val="0.84002219024466118"/>
          <c:h val="0.680355468592865"/>
        </c:manualLayout>
      </c:layout>
      <c:barChart>
        <c:barDir val="col"/>
        <c:grouping val="clustered"/>
        <c:varyColors val="0"/>
        <c:ser>
          <c:idx val="0"/>
          <c:order val="0"/>
          <c:tx>
            <c:strRef>
              <c:f>pareto!$L$7</c:f>
              <c:strCache>
                <c:ptCount val="1"/>
                <c:pt idx="0">
                  <c:v>Total</c:v>
                </c:pt>
              </c:strCache>
            </c:strRef>
          </c:tx>
          <c:spPr>
            <a:solidFill>
              <a:schemeClr val="accent1"/>
            </a:solidFill>
            <a:ln>
              <a:noFill/>
            </a:ln>
            <a:effectLst/>
          </c:spPr>
          <c:invertIfNegative val="0"/>
          <c:cat>
            <c:strRef>
              <c:f>pareto!$K$8:$K$13</c:f>
              <c:strCache>
                <c:ptCount val="5"/>
                <c:pt idx="0">
                  <c:v>سالن تزریق پلاستیک</c:v>
                </c:pt>
                <c:pt idx="1">
                  <c:v> سالن تولید رول کاغذ حرارتی</c:v>
                </c:pt>
                <c:pt idx="2">
                  <c:v>  سالن تولید بردهای الکترونیکی</c:v>
                </c:pt>
                <c:pt idx="3">
                  <c:v>زیر ساخت</c:v>
                </c:pt>
                <c:pt idx="4">
                  <c:v>   سالن  تولید تجهیزات الکترونیکی</c:v>
                </c:pt>
              </c:strCache>
            </c:strRef>
          </c:cat>
          <c:val>
            <c:numRef>
              <c:f>pareto!$L$8:$L$13</c:f>
              <c:numCache>
                <c:formatCode>General</c:formatCode>
                <c:ptCount val="5"/>
                <c:pt idx="0">
                  <c:v>1070207.513768116</c:v>
                </c:pt>
                <c:pt idx="1">
                  <c:v>358460.626537217</c:v>
                </c:pt>
                <c:pt idx="2">
                  <c:v>273473.01259259257</c:v>
                </c:pt>
                <c:pt idx="3">
                  <c:v>94.89791666666666</c:v>
                </c:pt>
                <c:pt idx="4">
                  <c:v>3.0125000000000006</c:v>
                </c:pt>
              </c:numCache>
            </c:numRef>
          </c:val>
          <c:extLst>
            <c:ext xmlns:c16="http://schemas.microsoft.com/office/drawing/2014/chart" uri="{C3380CC4-5D6E-409C-BE32-E72D297353CC}">
              <c16:uniqueId val="{00000000-C293-406A-B33C-E20B06FCEE0E}"/>
            </c:ext>
          </c:extLst>
        </c:ser>
        <c:dLbls>
          <c:showLegendKey val="0"/>
          <c:showVal val="0"/>
          <c:showCatName val="0"/>
          <c:showSerName val="0"/>
          <c:showPercent val="0"/>
          <c:showBubbleSize val="0"/>
        </c:dLbls>
        <c:gapWidth val="219"/>
        <c:overlap val="-27"/>
        <c:axId val="752015472"/>
        <c:axId val="752031312"/>
      </c:barChart>
      <c:catAx>
        <c:axId val="75201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crossAx val="752031312"/>
        <c:crosses val="autoZero"/>
        <c:auto val="1"/>
        <c:lblAlgn val="ctr"/>
        <c:lblOffset val="100"/>
        <c:noMultiLvlLbl val="0"/>
      </c:catAx>
      <c:valAx>
        <c:axId val="752031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1">
                  <a:def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defRPr>
                </a:pPr>
                <a:r>
                  <a: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rPr>
                  <a:t>(ساعت)</a:t>
                </a:r>
              </a:p>
            </c:rich>
          </c:tx>
          <c:layout>
            <c:manualLayout>
              <c:xMode val="edge"/>
              <c:yMode val="edge"/>
              <c:x val="1.5398365685212832E-2"/>
              <c:y val="0.43972515984895455"/>
            </c:manualLayout>
          </c:layout>
          <c:overlay val="0"/>
          <c:spPr>
            <a:noFill/>
            <a:ln>
              <a:noFill/>
            </a:ln>
            <a:effectLst/>
          </c:spPr>
          <c:txPr>
            <a:bodyPr rot="-5400000" spcFirstLastPara="1" vertOverflow="ellipsis" vert="horz" wrap="square" anchor="ctr" anchorCtr="1"/>
            <a:lstStyle/>
            <a:p>
              <a:pPr algn="ctr" rtl="1">
                <a:def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defRPr>
              </a:pPr>
              <a:endParaRPr lang="fa-I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0" i="0" u="none" strike="noStrike" kern="1200" cap="all" spc="120" normalizeH="0" baseline="0">
                <a:solidFill>
                  <a:schemeClr val="dk1">
                    <a:lumMod val="65000"/>
                    <a:lumOff val="35000"/>
                  </a:schemeClr>
                </a:solidFill>
                <a:latin typeface="+mn-lt"/>
                <a:ea typeface="+mn-ea"/>
                <a:cs typeface="B Elham" panose="00000400000000000000" pitchFamily="2" charset="-78"/>
              </a:defRPr>
            </a:pPr>
            <a:endParaRPr lang="fa-IR"/>
          </a:p>
        </c:txPr>
        <c:crossAx val="75201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(041115).xlsx]MTTR_selected machin!PivotTable2</c:name>
    <c:fmtId val="77"/>
  </c:pivotSource>
  <c:chart>
    <c:title>
      <c:tx>
        <c:rich>
          <a:bodyPr rot="0" spcFirstLastPara="1" vertOverflow="ellipsis" vert="horz" wrap="square" anchor="ctr" anchorCtr="1"/>
          <a:lstStyle/>
          <a:p>
            <a:pPr algn="ctr" rtl="1">
              <a:defRPr lang="en-US" sz="2000" b="1" i="0" u="none" strike="noStrike" kern="1200" cap="all" spc="120" normalizeH="0" baseline="0">
                <a:solidFill>
                  <a:sysClr val="windowText" lastClr="000000">
                    <a:lumMod val="65000"/>
                    <a:lumOff val="35000"/>
                  </a:sysClr>
                </a:solidFill>
                <a:latin typeface="+mn-lt"/>
                <a:ea typeface="+mn-ea"/>
                <a:cs typeface="+mn-cs"/>
              </a:defRPr>
            </a:pPr>
            <a:r>
              <a:rPr lang="en-US" sz="2000" b="1" i="0" u="none" strike="noStrike" kern="1200" cap="all" spc="120" normalizeH="0" baseline="0">
                <a:solidFill>
                  <a:sysClr val="windowText" lastClr="000000">
                    <a:lumMod val="65000"/>
                    <a:lumOff val="35000"/>
                  </a:sysClr>
                </a:solidFill>
                <a:latin typeface="+mn-lt"/>
                <a:ea typeface="+mn-ea"/>
                <a:cs typeface="+mn-cs"/>
              </a:rPr>
              <a:t>MTTR</a:t>
            </a:r>
          </a:p>
        </c:rich>
      </c:tx>
      <c:overlay val="0"/>
      <c:spPr>
        <a:noFill/>
        <a:ln>
          <a:noFill/>
        </a:ln>
        <a:effectLst/>
      </c:spPr>
      <c:txPr>
        <a:bodyPr rot="0" spcFirstLastPara="1" vertOverflow="ellipsis" vert="horz" wrap="square" anchor="ctr" anchorCtr="1"/>
        <a:lstStyle/>
        <a:p>
          <a:pPr algn="ctr" rtl="1">
            <a:defRPr lang="en-US" sz="2000" b="1" i="0" u="none" strike="noStrike" kern="1200" cap="all" spc="120" normalizeH="0" baseline="0">
              <a:solidFill>
                <a:sysClr val="windowText" lastClr="000000">
                  <a:lumMod val="65000"/>
                  <a:lumOff val="35000"/>
                </a:sysClr>
              </a:solidFill>
              <a:latin typeface="+mn-lt"/>
              <a:ea typeface="+mn-ea"/>
              <a:cs typeface="+mn-cs"/>
            </a:defRPr>
          </a:pPr>
          <a:endParaRPr lang="fa-IR"/>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43"/>
        <c:spPr>
          <a:solidFill>
            <a:schemeClr val="accent1"/>
          </a:solidFill>
          <a:ln w="28575" cap="rnd">
            <a:solidFill>
              <a:schemeClr val="accent1"/>
            </a:solidFill>
            <a:prstDash val="dash"/>
            <a:round/>
          </a:ln>
          <a:effectLst/>
        </c:spPr>
        <c:marker>
          <c:symbol val="circle"/>
          <c:size val="5"/>
          <c:spPr>
            <a:solidFill>
              <a:schemeClr val="accent1"/>
            </a:solidFill>
            <a:ln w="9525">
              <a:solidFill>
                <a:schemeClr val="accent1"/>
              </a:solidFill>
              <a:prstDash val="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prstDash val="dash"/>
            <a:round/>
          </a:ln>
          <a:effectLst/>
        </c:spPr>
        <c:marker>
          <c:symbol val="circle"/>
          <c:size val="5"/>
          <c:spPr>
            <a:solidFill>
              <a:schemeClr val="accent1"/>
            </a:solidFill>
            <a:ln w="9525">
              <a:solidFill>
                <a:schemeClr val="accent1"/>
              </a:solidFill>
              <a:prstDash val="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prstDash val="solid"/>
            <a:round/>
          </a:ln>
          <a:effectLst/>
        </c:spPr>
        <c:marker>
          <c:symbol val="circle"/>
          <c:size val="5"/>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cap="all" spc="120" normalizeH="0" baseline="0">
                  <a:solidFill>
                    <a:sysClr val="windowText" lastClr="000000">
                      <a:lumMod val="65000"/>
                      <a:lumOff val="35000"/>
                    </a:sys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3"/>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3432364279299"/>
          <c:y val="0.12962962962962962"/>
          <c:w val="0.77987838033680179"/>
          <c:h val="0.53623121813612284"/>
        </c:manualLayout>
      </c:layout>
      <c:lineChart>
        <c:grouping val="standard"/>
        <c:varyColors val="0"/>
        <c:ser>
          <c:idx val="0"/>
          <c:order val="0"/>
          <c:tx>
            <c:strRef>
              <c:f>'MTTR_selected machin'!$B$5</c:f>
              <c:strCache>
                <c:ptCount val="1"/>
                <c:pt idx="0">
                  <c:v>Average of مبنا MTTR</c:v>
                </c:pt>
              </c:strCache>
            </c:strRef>
          </c:tx>
          <c:spPr>
            <a:ln w="28575" cap="rnd">
              <a:solidFill>
                <a:schemeClr val="accent1"/>
              </a:solidFill>
              <a:prstDash val="dash"/>
              <a:round/>
            </a:ln>
            <a:effectLst/>
          </c:spPr>
          <c:marker>
            <c:symbol val="none"/>
          </c:marker>
          <c:cat>
            <c:multiLvlStrRef>
              <c:f>'MTTR_selected machin'!$A$6:$A$18</c:f>
              <c:multiLvlStrCache>
                <c:ptCount val="8"/>
                <c:lvl>
                  <c:pt idx="0">
                    <c:v>1</c:v>
                  </c:pt>
                  <c:pt idx="1">
                    <c:v>2</c:v>
                  </c:pt>
                  <c:pt idx="2">
                    <c:v>3</c:v>
                  </c:pt>
                  <c:pt idx="3">
                    <c:v>7</c:v>
                  </c:pt>
                  <c:pt idx="4">
                    <c:v>8</c:v>
                  </c:pt>
                  <c:pt idx="5">
                    <c:v>4</c:v>
                  </c:pt>
                  <c:pt idx="6">
                    <c:v>5</c:v>
                  </c:pt>
                  <c:pt idx="7">
                    <c:v>6</c:v>
                  </c:pt>
                </c:lvl>
                <c:lvl>
                  <c:pt idx="0">
                    <c:v>بهار</c:v>
                  </c:pt>
                  <c:pt idx="3">
                    <c:v>پاییز</c:v>
                  </c:pt>
                  <c:pt idx="5">
                    <c:v>تابستان</c:v>
                  </c:pt>
                </c:lvl>
                <c:lvl>
                  <c:pt idx="0">
                    <c:v>1404</c:v>
                  </c:pt>
                </c:lvl>
              </c:multiLvlStrCache>
            </c:multiLvlStrRef>
          </c:cat>
          <c:val>
            <c:numRef>
              <c:f>'MTTR_selected machin'!$B$6:$B$18</c:f>
              <c:numCache>
                <c:formatCode>General</c:formatCode>
                <c:ptCount val="8"/>
                <c:pt idx="0">
                  <c:v>24</c:v>
                </c:pt>
                <c:pt idx="1">
                  <c:v>24</c:v>
                </c:pt>
                <c:pt idx="2">
                  <c:v>24</c:v>
                </c:pt>
                <c:pt idx="3">
                  <c:v>24</c:v>
                </c:pt>
                <c:pt idx="4">
                  <c:v>24</c:v>
                </c:pt>
                <c:pt idx="5">
                  <c:v>24</c:v>
                </c:pt>
                <c:pt idx="6">
                  <c:v>24</c:v>
                </c:pt>
                <c:pt idx="7">
                  <c:v>24</c:v>
                </c:pt>
              </c:numCache>
            </c:numRef>
          </c:val>
          <c:smooth val="0"/>
          <c:extLst>
            <c:ext xmlns:c16="http://schemas.microsoft.com/office/drawing/2014/chart" uri="{C3380CC4-5D6E-409C-BE32-E72D297353CC}">
              <c16:uniqueId val="{00000000-05A0-4502-9EDD-DA31E6A82EDF}"/>
            </c:ext>
          </c:extLst>
        </c:ser>
        <c:ser>
          <c:idx val="1"/>
          <c:order val="1"/>
          <c:tx>
            <c:strRef>
              <c:f>'MTTR_selected machin'!$C$5</c:f>
              <c:strCache>
                <c:ptCount val="1"/>
                <c:pt idx="0">
                  <c:v>Average of هدف MTTR</c:v>
                </c:pt>
              </c:strCache>
            </c:strRef>
          </c:tx>
          <c:spPr>
            <a:ln w="28575" cap="rnd">
              <a:solidFill>
                <a:schemeClr val="accent2"/>
              </a:solidFill>
              <a:prstDash val="dash"/>
              <a:round/>
            </a:ln>
            <a:effectLst/>
          </c:spPr>
          <c:marker>
            <c:symbol val="none"/>
          </c:marker>
          <c:cat>
            <c:multiLvlStrRef>
              <c:f>'MTTR_selected machin'!$A$6:$A$18</c:f>
              <c:multiLvlStrCache>
                <c:ptCount val="8"/>
                <c:lvl>
                  <c:pt idx="0">
                    <c:v>1</c:v>
                  </c:pt>
                  <c:pt idx="1">
                    <c:v>2</c:v>
                  </c:pt>
                  <c:pt idx="2">
                    <c:v>3</c:v>
                  </c:pt>
                  <c:pt idx="3">
                    <c:v>7</c:v>
                  </c:pt>
                  <c:pt idx="4">
                    <c:v>8</c:v>
                  </c:pt>
                  <c:pt idx="5">
                    <c:v>4</c:v>
                  </c:pt>
                  <c:pt idx="6">
                    <c:v>5</c:v>
                  </c:pt>
                  <c:pt idx="7">
                    <c:v>6</c:v>
                  </c:pt>
                </c:lvl>
                <c:lvl>
                  <c:pt idx="0">
                    <c:v>بهار</c:v>
                  </c:pt>
                  <c:pt idx="3">
                    <c:v>پاییز</c:v>
                  </c:pt>
                  <c:pt idx="5">
                    <c:v>تابستان</c:v>
                  </c:pt>
                </c:lvl>
                <c:lvl>
                  <c:pt idx="0">
                    <c:v>1404</c:v>
                  </c:pt>
                </c:lvl>
              </c:multiLvlStrCache>
            </c:multiLvlStrRef>
          </c:cat>
          <c:val>
            <c:numRef>
              <c:f>'MTTR_selected machin'!$C$6:$C$18</c:f>
              <c:numCache>
                <c:formatCode>General</c:formatCode>
                <c:ptCount val="8"/>
                <c:pt idx="0">
                  <c:v>0.2</c:v>
                </c:pt>
                <c:pt idx="1">
                  <c:v>0.2</c:v>
                </c:pt>
                <c:pt idx="2">
                  <c:v>0.2</c:v>
                </c:pt>
                <c:pt idx="3">
                  <c:v>0.20000000000000004</c:v>
                </c:pt>
                <c:pt idx="4">
                  <c:v>0.2</c:v>
                </c:pt>
                <c:pt idx="5">
                  <c:v>0.2</c:v>
                </c:pt>
                <c:pt idx="6">
                  <c:v>0.2</c:v>
                </c:pt>
                <c:pt idx="7">
                  <c:v>0.2</c:v>
                </c:pt>
              </c:numCache>
            </c:numRef>
          </c:val>
          <c:smooth val="0"/>
          <c:extLst>
            <c:ext xmlns:c16="http://schemas.microsoft.com/office/drawing/2014/chart" uri="{C3380CC4-5D6E-409C-BE32-E72D297353CC}">
              <c16:uniqueId val="{00000001-05A0-4502-9EDD-DA31E6A82EDF}"/>
            </c:ext>
          </c:extLst>
        </c:ser>
        <c:ser>
          <c:idx val="2"/>
          <c:order val="2"/>
          <c:tx>
            <c:strRef>
              <c:f>'MTTR_selected machin'!$D$5</c:f>
              <c:strCache>
                <c:ptCount val="1"/>
                <c:pt idx="0">
                  <c:v>Average of TTR(mints)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'MTTR_selected machin'!$A$6:$A$18</c:f>
              <c:multiLvlStrCache>
                <c:ptCount val="8"/>
                <c:lvl>
                  <c:pt idx="0">
                    <c:v>1</c:v>
                  </c:pt>
                  <c:pt idx="1">
                    <c:v>2</c:v>
                  </c:pt>
                  <c:pt idx="2">
                    <c:v>3</c:v>
                  </c:pt>
                  <c:pt idx="3">
                    <c:v>7</c:v>
                  </c:pt>
                  <c:pt idx="4">
                    <c:v>8</c:v>
                  </c:pt>
                  <c:pt idx="5">
                    <c:v>4</c:v>
                  </c:pt>
                  <c:pt idx="6">
                    <c:v>5</c:v>
                  </c:pt>
                  <c:pt idx="7">
                    <c:v>6</c:v>
                  </c:pt>
                </c:lvl>
                <c:lvl>
                  <c:pt idx="0">
                    <c:v>بهار</c:v>
                  </c:pt>
                  <c:pt idx="3">
                    <c:v>پاییز</c:v>
                  </c:pt>
                  <c:pt idx="5">
                    <c:v>تابستان</c:v>
                  </c:pt>
                </c:lvl>
                <c:lvl>
                  <c:pt idx="0">
                    <c:v>1404</c:v>
                  </c:pt>
                </c:lvl>
              </c:multiLvlStrCache>
            </c:multiLvlStrRef>
          </c:cat>
          <c:val>
            <c:numRef>
              <c:f>'MTTR_selected machin'!$D$6:$D$18</c:f>
              <c:numCache>
                <c:formatCode>General</c:formatCode>
                <c:ptCount val="8"/>
                <c:pt idx="0">
                  <c:v>9.3125</c:v>
                </c:pt>
                <c:pt idx="1">
                  <c:v>7.3291666666666666</c:v>
                </c:pt>
                <c:pt idx="2">
                  <c:v>34.35</c:v>
                </c:pt>
                <c:pt idx="3">
                  <c:v>3.0388888888888892</c:v>
                </c:pt>
                <c:pt idx="4">
                  <c:v>13.458333333333334</c:v>
                </c:pt>
                <c:pt idx="5">
                  <c:v>6.7833333333333332</c:v>
                </c:pt>
                <c:pt idx="6">
                  <c:v>1.5083333333333333</c:v>
                </c:pt>
                <c:pt idx="7">
                  <c:v>0.75</c:v>
                </c:pt>
              </c:numCache>
            </c:numRef>
          </c:val>
          <c:smooth val="0"/>
          <c:extLst>
            <c:ext xmlns:c16="http://schemas.microsoft.com/office/drawing/2014/chart" uri="{C3380CC4-5D6E-409C-BE32-E72D297353CC}">
              <c16:uniqueId val="{00000002-05A0-4502-9EDD-DA31E6A82EDF}"/>
            </c:ext>
          </c:extLst>
        </c:ser>
        <c:dLbls>
          <c:showLegendKey val="0"/>
          <c:showVal val="0"/>
          <c:showCatName val="0"/>
          <c:showSerName val="0"/>
          <c:showPercent val="0"/>
          <c:showBubbleSize val="0"/>
        </c:dLbls>
        <c:smooth val="0"/>
        <c:axId val="1715616320"/>
        <c:axId val="1715610336"/>
      </c:lineChart>
      <c:catAx>
        <c:axId val="171561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crossAx val="1715610336"/>
        <c:crosses val="autoZero"/>
        <c:auto val="1"/>
        <c:lblAlgn val="ctr"/>
        <c:lblOffset val="100"/>
        <c:noMultiLvlLbl val="0"/>
      </c:catAx>
      <c:valAx>
        <c:axId val="17156103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defRPr>
                </a:pPr>
                <a:r>
                  <a: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rPr>
                  <a:t>ساعت</a:t>
                </a:r>
              </a:p>
            </c:rich>
          </c:tx>
          <c:layout>
            <c:manualLayout>
              <c:xMode val="edge"/>
              <c:yMode val="edge"/>
              <c:x val="9.5608822932668619E-3"/>
              <c:y val="0.30903669781883447"/>
            </c:manualLayout>
          </c:layout>
          <c:overlay val="0"/>
          <c:spPr>
            <a:noFill/>
            <a:ln>
              <a:noFill/>
            </a:ln>
            <a:effectLst/>
          </c:spPr>
          <c:txPr>
            <a:bodyPr rot="-5400000" spcFirstLastPara="1" vertOverflow="ellipsis" vert="horz" wrap="square" anchor="ctr" anchorCtr="1"/>
            <a:lstStyle/>
            <a:p>
              <a:pPr algn="ctr" rtl="0">
                <a:def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defRPr>
              </a:pPr>
              <a:endParaRPr lang="fa-I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0" i="0" u="none" strike="noStrike" kern="1200" cap="all" spc="120" normalizeH="0" baseline="0">
                <a:solidFill>
                  <a:schemeClr val="dk1">
                    <a:lumMod val="65000"/>
                    <a:lumOff val="35000"/>
                  </a:schemeClr>
                </a:solidFill>
                <a:latin typeface="+mn-lt"/>
                <a:ea typeface="+mn-ea"/>
                <a:cs typeface="B Elham" panose="00000400000000000000" pitchFamily="2" charset="-78"/>
              </a:defRPr>
            </a:pPr>
            <a:endParaRPr lang="fa-IR"/>
          </a:p>
        </c:txPr>
        <c:crossAx val="171561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(041115).xlsx]MTBF_selected machin!PivotTable3</c:name>
    <c:fmtId val="80"/>
  </c:pivotSource>
  <c:chart>
    <c:title>
      <c:tx>
        <c:rich>
          <a:bodyPr rot="0" spcFirstLastPara="1" vertOverflow="ellipsis" vert="horz" wrap="square" anchor="ctr" anchorCtr="1"/>
          <a:lstStyle/>
          <a:p>
            <a:pPr algn="ctr" rtl="1">
              <a:defRPr lang="en-US" sz="2000" b="1" i="0" u="none" strike="noStrike" kern="1200" cap="all" spc="120" normalizeH="0" baseline="0">
                <a:solidFill>
                  <a:sysClr val="windowText" lastClr="000000">
                    <a:lumMod val="65000"/>
                    <a:lumOff val="35000"/>
                  </a:sysClr>
                </a:solidFill>
                <a:latin typeface="+mn-lt"/>
                <a:ea typeface="+mn-ea"/>
                <a:cs typeface="+mn-cs"/>
              </a:defRPr>
            </a:pPr>
            <a:r>
              <a:rPr lang="en-US" sz="2000" b="1" i="0" u="none" strike="noStrike" kern="1200" cap="all" spc="120" normalizeH="0" baseline="0">
                <a:solidFill>
                  <a:sysClr val="windowText" lastClr="000000">
                    <a:lumMod val="65000"/>
                    <a:lumOff val="35000"/>
                  </a:sysClr>
                </a:solidFill>
                <a:latin typeface="+mn-lt"/>
                <a:ea typeface="+mn-ea"/>
                <a:cs typeface="+mn-cs"/>
              </a:rPr>
              <a:t>MTBF</a:t>
            </a:r>
          </a:p>
        </c:rich>
      </c:tx>
      <c:overlay val="0"/>
      <c:spPr>
        <a:noFill/>
        <a:ln>
          <a:noFill/>
        </a:ln>
        <a:effectLst/>
      </c:spPr>
      <c:txPr>
        <a:bodyPr rot="0" spcFirstLastPara="1" vertOverflow="ellipsis" vert="horz" wrap="square" anchor="ctr" anchorCtr="1"/>
        <a:lstStyle/>
        <a:p>
          <a:pPr algn="ctr" rtl="1">
            <a:defRPr lang="en-US" sz="2000" b="1" i="0" u="none" strike="noStrike" kern="1200" cap="all" spc="120" normalizeH="0" baseline="0">
              <a:solidFill>
                <a:sysClr val="windowText" lastClr="000000">
                  <a:lumMod val="65000"/>
                  <a:lumOff val="35000"/>
                </a:sysClr>
              </a:solidFill>
              <a:latin typeface="+mn-lt"/>
              <a:ea typeface="+mn-ea"/>
              <a:cs typeface="+mn-cs"/>
            </a:defRPr>
          </a:pPr>
          <a:endParaRPr lang="fa-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prstDash val="solid"/>
            <a:round/>
          </a:ln>
          <a:effectLst/>
        </c:spPr>
        <c:marker>
          <c:symbol val="none"/>
        </c:marker>
      </c:pivotFmt>
      <c:pivotFmt>
        <c:idx val="14"/>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cap="all" spc="120" normalizeH="0" baseline="0">
                  <a:solidFill>
                    <a:sysClr val="windowText" lastClr="000000">
                      <a:lumMod val="65000"/>
                      <a:lumOff val="35000"/>
                    </a:sys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3"/>
            </a:solidFill>
            <a:round/>
          </a:ln>
          <a:effectLst/>
        </c:spPr>
        <c:marker>
          <c:symbol val="none"/>
        </c:marker>
      </c:pivotFmt>
      <c:pivotFmt>
        <c:idx val="18"/>
        <c:marker>
          <c:symbol val="none"/>
        </c:marker>
      </c:pivotFmt>
      <c:pivotFmt>
        <c:idx val="19"/>
        <c:marker>
          <c:symbol val="none"/>
        </c:marker>
      </c:pivotFmt>
      <c:pivotFmt>
        <c:idx val="20"/>
        <c:spPr>
          <a:solidFill>
            <a:schemeClr val="accent1"/>
          </a:solidFill>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cap="all" spc="120" normalizeH="0" baseline="0">
                  <a:solidFill>
                    <a:sysClr val="windowText" lastClr="000000">
                      <a:lumMod val="65000"/>
                      <a:lumOff val="35000"/>
                    </a:sys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5440132170083"/>
          <c:y val="0.15806453620326849"/>
          <c:w val="0.87236323584823638"/>
          <c:h val="0.50394731656260905"/>
        </c:manualLayout>
      </c:layout>
      <c:lineChart>
        <c:grouping val="standard"/>
        <c:varyColors val="0"/>
        <c:ser>
          <c:idx val="0"/>
          <c:order val="0"/>
          <c:tx>
            <c:strRef>
              <c:f>'MTBF_selected machin'!$B$5</c:f>
              <c:strCache>
                <c:ptCount val="1"/>
                <c:pt idx="0">
                  <c:v>Average of مبنا MTBF</c:v>
                </c:pt>
              </c:strCache>
            </c:strRef>
          </c:tx>
          <c:spPr>
            <a:ln w="28575" cap="rnd">
              <a:solidFill>
                <a:schemeClr val="accent1"/>
              </a:solidFill>
              <a:prstDash val="dash"/>
              <a:round/>
            </a:ln>
            <a:effectLst/>
          </c:spPr>
          <c:marker>
            <c:symbol val="none"/>
          </c:marker>
          <c:cat>
            <c:multiLvlStrRef>
              <c:f>'MTBF_selected machin'!$A$6:$A$18</c:f>
              <c:multiLvlStrCache>
                <c:ptCount val="8"/>
                <c:lvl>
                  <c:pt idx="0">
                    <c:v>1</c:v>
                  </c:pt>
                  <c:pt idx="1">
                    <c:v>2</c:v>
                  </c:pt>
                  <c:pt idx="2">
                    <c:v>3</c:v>
                  </c:pt>
                  <c:pt idx="3">
                    <c:v>7</c:v>
                  </c:pt>
                  <c:pt idx="4">
                    <c:v>8</c:v>
                  </c:pt>
                  <c:pt idx="5">
                    <c:v>4</c:v>
                  </c:pt>
                  <c:pt idx="6">
                    <c:v>5</c:v>
                  </c:pt>
                  <c:pt idx="7">
                    <c:v>6</c:v>
                  </c:pt>
                </c:lvl>
                <c:lvl>
                  <c:pt idx="0">
                    <c:v>بهار</c:v>
                  </c:pt>
                  <c:pt idx="3">
                    <c:v>پاییز</c:v>
                  </c:pt>
                  <c:pt idx="5">
                    <c:v>تابستان</c:v>
                  </c:pt>
                </c:lvl>
                <c:lvl>
                  <c:pt idx="0">
                    <c:v>1404</c:v>
                  </c:pt>
                </c:lvl>
              </c:multiLvlStrCache>
            </c:multiLvlStrRef>
          </c:cat>
          <c:val>
            <c:numRef>
              <c:f>'MTBF_selected machin'!$B$6:$B$18</c:f>
              <c:numCache>
                <c:formatCode>General</c:formatCode>
                <c:ptCount val="8"/>
                <c:pt idx="0">
                  <c:v>360</c:v>
                </c:pt>
                <c:pt idx="1">
                  <c:v>360</c:v>
                </c:pt>
                <c:pt idx="2">
                  <c:v>360</c:v>
                </c:pt>
                <c:pt idx="3">
                  <c:v>360</c:v>
                </c:pt>
                <c:pt idx="4">
                  <c:v>360</c:v>
                </c:pt>
                <c:pt idx="5">
                  <c:v>360</c:v>
                </c:pt>
                <c:pt idx="6">
                  <c:v>360</c:v>
                </c:pt>
                <c:pt idx="7">
                  <c:v>360</c:v>
                </c:pt>
              </c:numCache>
            </c:numRef>
          </c:val>
          <c:smooth val="0"/>
          <c:extLst>
            <c:ext xmlns:c16="http://schemas.microsoft.com/office/drawing/2014/chart" uri="{C3380CC4-5D6E-409C-BE32-E72D297353CC}">
              <c16:uniqueId val="{00000000-9950-4267-A39D-B70DCD84D750}"/>
            </c:ext>
          </c:extLst>
        </c:ser>
        <c:ser>
          <c:idx val="1"/>
          <c:order val="1"/>
          <c:tx>
            <c:strRef>
              <c:f>'MTBF_selected machin'!$C$5</c:f>
              <c:strCache>
                <c:ptCount val="1"/>
                <c:pt idx="0">
                  <c:v>Average of هدف MTBF</c:v>
                </c:pt>
              </c:strCache>
            </c:strRef>
          </c:tx>
          <c:spPr>
            <a:ln w="28575" cap="rnd">
              <a:solidFill>
                <a:schemeClr val="accent2"/>
              </a:solidFill>
              <a:prstDash val="dash"/>
              <a:round/>
            </a:ln>
            <a:effectLst/>
          </c:spPr>
          <c:marker>
            <c:symbol val="none"/>
          </c:marker>
          <c:cat>
            <c:multiLvlStrRef>
              <c:f>'MTBF_selected machin'!$A$6:$A$18</c:f>
              <c:multiLvlStrCache>
                <c:ptCount val="8"/>
                <c:lvl>
                  <c:pt idx="0">
                    <c:v>1</c:v>
                  </c:pt>
                  <c:pt idx="1">
                    <c:v>2</c:v>
                  </c:pt>
                  <c:pt idx="2">
                    <c:v>3</c:v>
                  </c:pt>
                  <c:pt idx="3">
                    <c:v>7</c:v>
                  </c:pt>
                  <c:pt idx="4">
                    <c:v>8</c:v>
                  </c:pt>
                  <c:pt idx="5">
                    <c:v>4</c:v>
                  </c:pt>
                  <c:pt idx="6">
                    <c:v>5</c:v>
                  </c:pt>
                  <c:pt idx="7">
                    <c:v>6</c:v>
                  </c:pt>
                </c:lvl>
                <c:lvl>
                  <c:pt idx="0">
                    <c:v>بهار</c:v>
                  </c:pt>
                  <c:pt idx="3">
                    <c:v>پاییز</c:v>
                  </c:pt>
                  <c:pt idx="5">
                    <c:v>تابستان</c:v>
                  </c:pt>
                </c:lvl>
                <c:lvl>
                  <c:pt idx="0">
                    <c:v>1404</c:v>
                  </c:pt>
                </c:lvl>
              </c:multiLvlStrCache>
            </c:multiLvlStrRef>
          </c:cat>
          <c:val>
            <c:numRef>
              <c:f>'MTBF_selected machin'!$C$6:$C$18</c:f>
              <c:numCache>
                <c:formatCode>General</c:formatCode>
                <c:ptCount val="8"/>
                <c:pt idx="0">
                  <c:v>720</c:v>
                </c:pt>
                <c:pt idx="1">
                  <c:v>720</c:v>
                </c:pt>
                <c:pt idx="2">
                  <c:v>720</c:v>
                </c:pt>
                <c:pt idx="3">
                  <c:v>720</c:v>
                </c:pt>
                <c:pt idx="4">
                  <c:v>720</c:v>
                </c:pt>
                <c:pt idx="5">
                  <c:v>720</c:v>
                </c:pt>
                <c:pt idx="6">
                  <c:v>720</c:v>
                </c:pt>
                <c:pt idx="7">
                  <c:v>720</c:v>
                </c:pt>
              </c:numCache>
            </c:numRef>
          </c:val>
          <c:smooth val="0"/>
          <c:extLst>
            <c:ext xmlns:c16="http://schemas.microsoft.com/office/drawing/2014/chart" uri="{C3380CC4-5D6E-409C-BE32-E72D297353CC}">
              <c16:uniqueId val="{00000001-9950-4267-A39D-B70DCD84D750}"/>
            </c:ext>
          </c:extLst>
        </c:ser>
        <c:ser>
          <c:idx val="2"/>
          <c:order val="2"/>
          <c:tx>
            <c:strRef>
              <c:f>'MTBF_selected machin'!$D$5</c:f>
              <c:strCache>
                <c:ptCount val="1"/>
                <c:pt idx="0">
                  <c:v>Average of TBF(hours)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'MTBF_selected machin'!$A$6:$A$18</c:f>
              <c:multiLvlStrCache>
                <c:ptCount val="8"/>
                <c:lvl>
                  <c:pt idx="0">
                    <c:v>1</c:v>
                  </c:pt>
                  <c:pt idx="1">
                    <c:v>2</c:v>
                  </c:pt>
                  <c:pt idx="2">
                    <c:v>3</c:v>
                  </c:pt>
                  <c:pt idx="3">
                    <c:v>7</c:v>
                  </c:pt>
                  <c:pt idx="4">
                    <c:v>8</c:v>
                  </c:pt>
                  <c:pt idx="5">
                    <c:v>4</c:v>
                  </c:pt>
                  <c:pt idx="6">
                    <c:v>5</c:v>
                  </c:pt>
                  <c:pt idx="7">
                    <c:v>6</c:v>
                  </c:pt>
                </c:lvl>
                <c:lvl>
                  <c:pt idx="0">
                    <c:v>بهار</c:v>
                  </c:pt>
                  <c:pt idx="3">
                    <c:v>پاییز</c:v>
                  </c:pt>
                  <c:pt idx="5">
                    <c:v>تابستان</c:v>
                  </c:pt>
                </c:lvl>
                <c:lvl>
                  <c:pt idx="0">
                    <c:v>1404</c:v>
                  </c:pt>
                </c:lvl>
              </c:multiLvlStrCache>
            </c:multiLvlStrRef>
          </c:cat>
          <c:val>
            <c:numRef>
              <c:f>'MTBF_selected machin'!$D$6:$D$18</c:f>
              <c:numCache>
                <c:formatCode>General</c:formatCode>
                <c:ptCount val="8"/>
                <c:pt idx="0">
                  <c:v>208.1</c:v>
                </c:pt>
                <c:pt idx="1">
                  <c:v>149.04166666666666</c:v>
                </c:pt>
                <c:pt idx="2">
                  <c:v>293.68333333333334</c:v>
                </c:pt>
                <c:pt idx="3">
                  <c:v>259.04444444444442</c:v>
                </c:pt>
                <c:pt idx="4">
                  <c:v>118.075</c:v>
                </c:pt>
                <c:pt idx="5">
                  <c:v>466.29999999999995</c:v>
                </c:pt>
                <c:pt idx="6">
                  <c:v>283.2833333333333</c:v>
                </c:pt>
                <c:pt idx="7">
                  <c:v>1130.75</c:v>
                </c:pt>
              </c:numCache>
            </c:numRef>
          </c:val>
          <c:smooth val="0"/>
          <c:extLst>
            <c:ext xmlns:c16="http://schemas.microsoft.com/office/drawing/2014/chart" uri="{C3380CC4-5D6E-409C-BE32-E72D297353CC}">
              <c16:uniqueId val="{00000002-9950-4267-A39D-B70DCD84D750}"/>
            </c:ext>
          </c:extLst>
        </c:ser>
        <c:dLbls>
          <c:showLegendKey val="0"/>
          <c:showVal val="0"/>
          <c:showCatName val="0"/>
          <c:showSerName val="0"/>
          <c:showPercent val="0"/>
          <c:showBubbleSize val="0"/>
        </c:dLbls>
        <c:smooth val="0"/>
        <c:axId val="1715617952"/>
        <c:axId val="1715618496"/>
      </c:lineChart>
      <c:catAx>
        <c:axId val="17156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crossAx val="1715618496"/>
        <c:crosses val="autoZero"/>
        <c:auto val="1"/>
        <c:lblAlgn val="ctr"/>
        <c:lblOffset val="100"/>
        <c:noMultiLvlLbl val="0"/>
      </c:catAx>
      <c:valAx>
        <c:axId val="1715618496"/>
        <c:scaling>
          <c:orientation val="minMax"/>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defRPr>
                </a:pPr>
                <a:r>
                  <a: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rPr>
                  <a:t>ساعت</a:t>
                </a:r>
              </a:p>
            </c:rich>
          </c:tx>
          <c:layout>
            <c:manualLayout>
              <c:xMode val="edge"/>
              <c:yMode val="edge"/>
              <c:x val="1.3175618098026145E-2"/>
              <c:y val="0.32132958076490498"/>
            </c:manualLayout>
          </c:layout>
          <c:overlay val="0"/>
          <c:spPr>
            <a:noFill/>
            <a:ln>
              <a:noFill/>
            </a:ln>
            <a:effectLst/>
          </c:spPr>
          <c:txPr>
            <a:bodyPr rot="-5400000" spcFirstLastPara="1" vertOverflow="ellipsis" vert="horz" wrap="square" anchor="ctr" anchorCtr="1"/>
            <a:lstStyle/>
            <a:p>
              <a:pPr algn="ctr" rtl="0">
                <a:def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defRPr>
              </a:pPr>
              <a:endParaRPr lang="fa-I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0" i="0" u="none" strike="noStrike" kern="1200" cap="all" spc="120" normalizeH="0" baseline="0">
                <a:solidFill>
                  <a:schemeClr val="dk1">
                    <a:lumMod val="65000"/>
                    <a:lumOff val="35000"/>
                  </a:schemeClr>
                </a:solidFill>
                <a:latin typeface="+mn-lt"/>
                <a:ea typeface="+mn-ea"/>
                <a:cs typeface="B Elham" panose="00000400000000000000" pitchFamily="2" charset="-78"/>
              </a:defRPr>
            </a:pPr>
            <a:endParaRPr lang="fa-IR"/>
          </a:p>
        </c:txPr>
        <c:crossAx val="171561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[MTBF^0MTTR v7 (041115).xlsx]defects (MTTR)!PivotTable2</c:name>
    <c:fmtId val="95"/>
  </c:pivotSource>
  <c:chart>
    <c:title>
      <c:tx>
        <c:rich>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r>
              <a:rPr lang="fa-IR" sz="2400" b="1" i="0" u="none" strike="noStrike" kern="1200" cap="all" spc="120" normalizeH="0" baseline="0">
                <a:solidFill>
                  <a:sysClr val="windowText" lastClr="000000">
                    <a:lumMod val="65000"/>
                    <a:lumOff val="35000"/>
                  </a:sysClr>
                </a:solidFill>
                <a:latin typeface="+mn-lt"/>
                <a:ea typeface="+mn-ea"/>
                <a:cs typeface="+mn-cs"/>
              </a:rPr>
              <a:t>سوابق خرابی تجهیز</a:t>
            </a:r>
          </a:p>
        </c:rich>
      </c:tx>
      <c:overlay val="0"/>
      <c:spPr>
        <a:noFill/>
        <a:ln>
          <a:noFill/>
        </a:ln>
        <a:effectLst/>
      </c:spPr>
      <c:txPr>
        <a:bodyPr rot="0" spcFirstLastPara="1" vertOverflow="ellipsis" vert="horz" wrap="square" anchor="ctr" anchorCtr="1"/>
        <a:lstStyle/>
        <a:p>
          <a:pPr algn="ctr" rtl="1">
            <a:defRPr lang="fa-IR" sz="2400" b="1" i="0" u="none" strike="noStrike" kern="1200" cap="all" spc="120" normalizeH="0" baseline="0">
              <a:solidFill>
                <a:sysClr val="windowText" lastClr="000000">
                  <a:lumMod val="65000"/>
                  <a:lumOff val="35000"/>
                </a:sysClr>
              </a:solidFill>
              <a:latin typeface="+mn-lt"/>
              <a:ea typeface="+mn-ea"/>
              <a:cs typeface="+mn-cs"/>
            </a:defRPr>
          </a:pPr>
          <a:endParaRPr lang="fa-IR"/>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cap="all" spc="120" normalizeH="0" baseline="0">
                  <a:solidFill>
                    <a:sysClr val="windowText" lastClr="000000">
                      <a:lumMod val="65000"/>
                      <a:lumOff val="35000"/>
                    </a:sysClr>
                  </a:solidFill>
                  <a:latin typeface="Kalameh" pitchFamily="2" charset="-78"/>
                  <a:ea typeface="+mn-ea"/>
                  <a:cs typeface="Kalameh" pitchFamily="2" charset="-78"/>
                </a:defRPr>
              </a:pPr>
              <a:endParaRPr lang="fa-I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2"/>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3"/>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4"/>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5"/>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6"/>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7"/>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3"/>
        <c:dLbl>
          <c:idx val="0"/>
          <c:tx>
            <c:rich>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15:showDataLabelsRange val="1"/>
            </c:ext>
          </c:extLst>
        </c:dLbl>
      </c:pivotFmt>
      <c:pivotFmt>
        <c:idx val="64"/>
        <c:dLbl>
          <c:idx val="0"/>
          <c:tx>
            <c:rich>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15:showDataLabelsRange val="1"/>
            </c:ext>
          </c:extLst>
        </c:dLbl>
      </c:pivotFmt>
      <c:pivotFmt>
        <c:idx val="65"/>
        <c:dLbl>
          <c:idx val="0"/>
          <c:tx>
            <c:rich>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15:showDataLabelsRange val="1"/>
            </c:ext>
          </c:extLst>
        </c:dLbl>
      </c:pivotFmt>
      <c:pivotFmt>
        <c:idx val="66"/>
        <c:dLbl>
          <c:idx val="0"/>
          <c:tx>
            <c:rich>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15:showDataLabelsRange val="1"/>
            </c:ext>
          </c:extLst>
        </c:dLbl>
      </c:pivotFmt>
      <c:pivotFmt>
        <c:idx val="67"/>
        <c:dLbl>
          <c:idx val="0"/>
          <c:tx>
            <c:rich>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15:showDataLabelsRange val="1"/>
            </c:ext>
          </c:extLst>
        </c:dLbl>
      </c:pivotFmt>
      <c:pivotFmt>
        <c:idx val="68"/>
        <c:dLbl>
          <c:idx val="0"/>
          <c:tx>
            <c:rich>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all" spc="120" normalizeH="0" baseline="0">
                  <a:solidFill>
                    <a:schemeClr val="dk1">
                      <a:lumMod val="65000"/>
                      <a:lumOff val="35000"/>
                    </a:schemeClr>
                  </a:solidFill>
                  <a:latin typeface="+mn-lt"/>
                  <a:ea typeface="+mn-ea"/>
                  <a:cs typeface="+mn-cs"/>
                </a:defRPr>
              </a:pPr>
              <a:endParaRPr lang="fa-I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15:showDataLabelsRange val="1"/>
            </c:ext>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2"/>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3"/>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4"/>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5"/>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6"/>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7"/>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8"/>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79"/>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0"/>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1"/>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2"/>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3"/>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4"/>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5"/>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6"/>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7"/>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8"/>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89"/>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0"/>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1"/>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2"/>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3"/>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4"/>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5"/>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6"/>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7"/>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8"/>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199"/>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0"/>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1"/>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2"/>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04"/>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5"/>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6"/>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7"/>
        <c:dLbl>
          <c:idx val="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0"/>
        <c:spPr>
          <a:solidFill>
            <a:schemeClr val="accent1"/>
          </a:solidFill>
          <a:ln>
            <a:noFill/>
          </a:ln>
          <a:effectLst/>
        </c:spPr>
        <c:marker>
          <c:symbol val="none"/>
        </c:marker>
      </c:pivotFmt>
      <c:pivotFmt>
        <c:idx val="211"/>
        <c:dLbl>
          <c:idx val="0"/>
          <c:tx>
            <c:rich>
              <a:bodyPr/>
              <a:lstStyle/>
              <a:p>
                <a:fld id="{D2F67EEF-23F0-46C9-AB60-630AAD2ECFF6}" type="CELLRANGE">
                  <a:rPr lang="fa-I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23254965906031E-2"/>
          <c:y val="0.1676943975175797"/>
          <c:w val="0.92860719650078494"/>
          <c:h val="0.42156830232258719"/>
        </c:manualLayout>
      </c:layout>
      <c:barChart>
        <c:barDir val="col"/>
        <c:grouping val="clustered"/>
        <c:varyColors val="0"/>
        <c:ser>
          <c:idx val="0"/>
          <c:order val="0"/>
          <c:tx>
            <c:strRef>
              <c:f>'defects (MTTR)'!$B$6</c:f>
              <c:strCache>
                <c:ptCount val="1"/>
                <c:pt idx="0">
                  <c:v>Total</c:v>
                </c:pt>
              </c:strCache>
            </c:strRef>
          </c:tx>
          <c:spPr>
            <a:solidFill>
              <a:schemeClr val="accent1"/>
            </a:solidFill>
            <a:ln>
              <a:noFill/>
            </a:ln>
            <a:effectLst/>
          </c:spPr>
          <c:invertIfNegative val="0"/>
          <c:cat>
            <c:multiLvlStrRef>
              <c:f>'defects (MTTR)'!$A$7:$A$38</c:f>
              <c:multiLvlStrCache>
                <c:ptCount val="19"/>
                <c:lvl>
                  <c:pt idx="0">
                    <c:v>18</c:v>
                  </c:pt>
                  <c:pt idx="1">
                    <c:v>25</c:v>
                  </c:pt>
                  <c:pt idx="2">
                    <c:v>26</c:v>
                  </c:pt>
                  <c:pt idx="3">
                    <c:v>31</c:v>
                  </c:pt>
                  <c:pt idx="4">
                    <c:v>06</c:v>
                  </c:pt>
                  <c:pt idx="5">
                    <c:v>21</c:v>
                  </c:pt>
                  <c:pt idx="6">
                    <c:v>23</c:v>
                  </c:pt>
                  <c:pt idx="7">
                    <c:v>27</c:v>
                  </c:pt>
                  <c:pt idx="8">
                    <c:v>09</c:v>
                  </c:pt>
                  <c:pt idx="9">
                    <c:v>17</c:v>
                  </c:pt>
                  <c:pt idx="10">
                    <c:v>18</c:v>
                  </c:pt>
                  <c:pt idx="11">
                    <c:v>02</c:v>
                  </c:pt>
                  <c:pt idx="12">
                    <c:v>11</c:v>
                  </c:pt>
                  <c:pt idx="13">
                    <c:v>27</c:v>
                  </c:pt>
                  <c:pt idx="14">
                    <c:v>14</c:v>
                  </c:pt>
                  <c:pt idx="15">
                    <c:v>28</c:v>
                  </c:pt>
                  <c:pt idx="16">
                    <c:v>29</c:v>
                  </c:pt>
                  <c:pt idx="17">
                    <c:v>11</c:v>
                  </c:pt>
                  <c:pt idx="18">
                    <c:v>19</c:v>
                  </c:pt>
                </c:lvl>
                <c:lvl>
                  <c:pt idx="0">
                    <c:v>1</c:v>
                  </c:pt>
                  <c:pt idx="4">
                    <c:v>2</c:v>
                  </c:pt>
                  <c:pt idx="8">
                    <c:v>3</c:v>
                  </c:pt>
                  <c:pt idx="9">
                    <c:v>4</c:v>
                  </c:pt>
                  <c:pt idx="11">
                    <c:v>5</c:v>
                  </c:pt>
                  <c:pt idx="13">
                    <c:v>6</c:v>
                  </c:pt>
                  <c:pt idx="14">
                    <c:v>7</c:v>
                  </c:pt>
                  <c:pt idx="17">
                    <c:v>8</c:v>
                  </c:pt>
                </c:lvl>
                <c:lvl>
                  <c:pt idx="0">
                    <c:v>بهار</c:v>
                  </c:pt>
                  <c:pt idx="9">
                    <c:v>تابستان</c:v>
                  </c:pt>
                  <c:pt idx="14">
                    <c:v>پاییز</c:v>
                  </c:pt>
                </c:lvl>
                <c:lvl>
                  <c:pt idx="0">
                    <c:v>1404</c:v>
                  </c:pt>
                </c:lvl>
              </c:multiLvlStrCache>
            </c:multiLvlStrRef>
          </c:cat>
          <c:val>
            <c:numRef>
              <c:f>'defects (MTTR)'!$B$7:$B$38</c:f>
              <c:numCache>
                <c:formatCode>General</c:formatCode>
                <c:ptCount val="19"/>
                <c:pt idx="0">
                  <c:v>1.7833333333333334</c:v>
                </c:pt>
                <c:pt idx="1">
                  <c:v>0.6166666666666667</c:v>
                </c:pt>
                <c:pt idx="2">
                  <c:v>3.5833333333333335</c:v>
                </c:pt>
                <c:pt idx="3">
                  <c:v>31.266666666666666</c:v>
                </c:pt>
                <c:pt idx="4">
                  <c:v>27.5</c:v>
                </c:pt>
                <c:pt idx="5">
                  <c:v>0.23333333333333334</c:v>
                </c:pt>
                <c:pt idx="6">
                  <c:v>0.8666666666666667</c:v>
                </c:pt>
                <c:pt idx="7">
                  <c:v>0.71666666666666667</c:v>
                </c:pt>
                <c:pt idx="8">
                  <c:v>34.35</c:v>
                </c:pt>
                <c:pt idx="9">
                  <c:v>13.4</c:v>
                </c:pt>
                <c:pt idx="10">
                  <c:v>0.16666666666666666</c:v>
                </c:pt>
                <c:pt idx="11">
                  <c:v>0.1</c:v>
                </c:pt>
                <c:pt idx="12">
                  <c:v>2.9166666666666665</c:v>
                </c:pt>
                <c:pt idx="13">
                  <c:v>0.75</c:v>
                </c:pt>
                <c:pt idx="14">
                  <c:v>0.2</c:v>
                </c:pt>
                <c:pt idx="15">
                  <c:v>5.916666666666667</c:v>
                </c:pt>
                <c:pt idx="16">
                  <c:v>3</c:v>
                </c:pt>
                <c:pt idx="17">
                  <c:v>0.41666666666666669</c:v>
                </c:pt>
                <c:pt idx="18">
                  <c:v>26.5</c:v>
                </c:pt>
              </c:numCache>
            </c:numRef>
          </c:val>
          <c:extLst>
            <c:ext xmlns:c16="http://schemas.microsoft.com/office/drawing/2014/chart" uri="{C3380CC4-5D6E-409C-BE32-E72D297353CC}">
              <c16:uniqueId val="{00000000-8BBA-4484-8C51-29B797A085B1}"/>
            </c:ext>
          </c:extLst>
        </c:ser>
        <c:dLbls>
          <c:showLegendKey val="0"/>
          <c:showVal val="0"/>
          <c:showCatName val="0"/>
          <c:showSerName val="0"/>
          <c:showPercent val="0"/>
          <c:showBubbleSize val="0"/>
        </c:dLbls>
        <c:gapWidth val="219"/>
        <c:overlap val="-27"/>
        <c:axId val="496781296"/>
        <c:axId val="496797136"/>
      </c:barChart>
      <c:catAx>
        <c:axId val="49678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0" i="0" u="none" strike="noStrike" kern="1200" cap="all" spc="120" normalizeH="0" baseline="0">
                <a:solidFill>
                  <a:sysClr val="windowText" lastClr="000000">
                    <a:lumMod val="65000"/>
                    <a:lumOff val="35000"/>
                  </a:sysClr>
                </a:solidFill>
                <a:latin typeface="Kalameh" pitchFamily="2" charset="-78"/>
                <a:ea typeface="+mn-ea"/>
                <a:cs typeface="Kalameh" pitchFamily="2" charset="-78"/>
              </a:defRPr>
            </a:pPr>
            <a:endParaRPr lang="fa-IR"/>
          </a:p>
        </c:txPr>
        <c:crossAx val="496797136"/>
        <c:crosses val="autoZero"/>
        <c:auto val="1"/>
        <c:lblAlgn val="ctr"/>
        <c:lblOffset val="100"/>
        <c:noMultiLvlLbl val="0"/>
      </c:catAx>
      <c:valAx>
        <c:axId val="4967971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defRPr>
                </a:pPr>
                <a:r>
                  <a:rPr lang="fa-IR" sz="1800" b="0" i="0" u="none" strike="noStrike" kern="1200" cap="all" baseline="0">
                    <a:solidFill>
                      <a:sysClr val="windowText" lastClr="000000">
                        <a:lumMod val="65000"/>
                        <a:lumOff val="35000"/>
                      </a:sysClr>
                    </a:solidFill>
                    <a:latin typeface="+mn-lt"/>
                    <a:ea typeface="+mn-ea"/>
                    <a:cs typeface="B Elham" panose="00000400000000000000" pitchFamily="2" charset="-78"/>
                  </a:rPr>
                  <a:t>ساعت</a:t>
                </a:r>
              </a:p>
            </c:rich>
          </c:tx>
          <c:layout>
            <c:manualLayout>
              <c:xMode val="edge"/>
              <c:yMode val="edge"/>
              <c:x val="2.1958183102735057E-3"/>
              <c:y val="0.28118566521919508"/>
            </c:manualLayout>
          </c:layout>
          <c:overlay val="0"/>
          <c:spPr>
            <a:noFill/>
            <a:ln>
              <a:noFill/>
            </a:ln>
            <a:effectLst/>
          </c:spPr>
          <c:txPr>
            <a:bodyPr rot="-5400000" spcFirstLastPara="1" vertOverflow="ellipsis" vert="horz" wrap="square" anchor="ctr" anchorCtr="1"/>
            <a:lstStyle/>
            <a:p>
              <a:pPr algn="ctr" rtl="0">
                <a:defRPr lang="fa-IR" sz="1800" b="0" i="0" u="none" strike="noStrike" kern="1200" cap="all" spc="120" normalizeH="0" baseline="0">
                  <a:solidFill>
                    <a:sysClr val="windowText" lastClr="000000">
                      <a:lumMod val="65000"/>
                      <a:lumOff val="35000"/>
                    </a:sysClr>
                  </a:solidFill>
                  <a:latin typeface="+mn-lt"/>
                  <a:ea typeface="+mn-ea"/>
                  <a:cs typeface="B Elham" panose="00000400000000000000" pitchFamily="2" charset="-78"/>
                </a:defRPr>
              </a:pPr>
              <a:endParaRPr lang="fa-I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800" b="0" i="0" u="none" strike="noStrike" kern="1200" cap="all" spc="120" normalizeH="0" baseline="0">
                <a:solidFill>
                  <a:schemeClr val="dk1">
                    <a:lumMod val="65000"/>
                    <a:lumOff val="35000"/>
                  </a:schemeClr>
                </a:solidFill>
                <a:latin typeface="+mn-lt"/>
                <a:ea typeface="+mn-ea"/>
                <a:cs typeface="B Elham" panose="00000400000000000000" pitchFamily="2" charset="-78"/>
              </a:defRPr>
            </a:pPr>
            <a:endParaRPr lang="fa-IR"/>
          </a:p>
        </c:txPr>
        <c:crossAx val="49678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400" b="0" i="0" u="none" strike="noStrike" kern="1200" cap="all" spc="120" normalizeH="0" baseline="0">
          <a:solidFill>
            <a:schemeClr val="tx1">
              <a:lumMod val="65000"/>
              <a:lumOff val="35000"/>
            </a:schemeClr>
          </a:solidFill>
          <a:latin typeface="Kalameh" pitchFamily="2" charset="-78"/>
          <a:ea typeface="+mn-ea"/>
          <a:cs typeface="Kalameh" pitchFamily="2" charset="-78"/>
        </a:defRPr>
      </a:pPr>
      <a:endParaRPr lang="fa-I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a-IR"/>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715619584"/>
        <c:axId val="1715608704"/>
      </c:barChart>
      <c:catAx>
        <c:axId val="1715619584"/>
        <c:scaling>
          <c:orientation val="maxMin"/>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715608704"/>
        <c:crosses val="autoZero"/>
        <c:auto val="1"/>
        <c:lblAlgn val="ctr"/>
        <c:lblOffset val="100"/>
        <c:noMultiLvlLbl val="0"/>
      </c:catAx>
      <c:valAx>
        <c:axId val="1715608704"/>
        <c:scaling>
          <c:orientation val="minMax"/>
        </c:scaling>
        <c:delete val="0"/>
        <c:axPos val="r"/>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71561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hyperlink" Target="#MTBF!A1"/></Relationships>
</file>

<file path=xl/drawings/_rels/drawing4.xml.rels><?xml version="1.0" encoding="UTF-8" standalone="yes"?>
<Relationships xmlns="http://schemas.openxmlformats.org/package/2006/relationships"><Relationship Id="rId1" Type="http://schemas.openxmlformats.org/officeDocument/2006/relationships/hyperlink" Target="#MTTR!A1"/></Relationships>
</file>

<file path=xl/drawings/_rels/drawing5.xml.rels><?xml version="1.0" encoding="UTF-8" standalone="yes"?>
<Relationships xmlns="http://schemas.openxmlformats.org/package/2006/relationships"><Relationship Id="rId1" Type="http://schemas.openxmlformats.org/officeDocument/2006/relationships/hyperlink" Target="#pareto!A1"/></Relationships>
</file>

<file path=xl/drawings/_rels/drawing6.xml.rels><?xml version="1.0" encoding="UTF-8" standalone="yes"?>
<Relationships xmlns="http://schemas.openxmlformats.org/package/2006/relationships"><Relationship Id="rId1" Type="http://schemas.openxmlformats.org/officeDocument/2006/relationships/hyperlink" Target="#pareto!E1"/></Relationships>
</file>

<file path=xl/drawings/_rels/drawing7.xml.rels><?xml version="1.0" encoding="UTF-8" standalone="yes"?>
<Relationships xmlns="http://schemas.openxmlformats.org/package/2006/relationships"><Relationship Id="rId1" Type="http://schemas.openxmlformats.org/officeDocument/2006/relationships/hyperlink" Target="#pareto!K1"/></Relationships>
</file>

<file path=xl/drawings/_rels/drawing8.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hyperlink" Target="#'MTTR_selected machin'!A1"/></Relationships>
</file>

<file path=xl/drawings/_rels/drawing10.xml.rels><?xml version="1.0" encoding="UTF-8" standalone="yes"?>
<Relationships xmlns="http://schemas.openxmlformats.org/package/2006/relationships"><Relationship Id="rId1" Type="http://schemas.openxmlformats.org/officeDocument/2006/relationships/hyperlink" Target="#'MTBF_selected machin'!A1"/></Relationships>
</file>

<file path=xl/drawings/_rels/drawing11.xml.rels><?xml version="1.0" encoding="UTF-8" standalone="yes"?>
<Relationships xmlns="http://schemas.openxmlformats.org/package/2006/relationships"><Relationship Id="rId1" Type="http://schemas.openxmlformats.org/officeDocument/2006/relationships/hyperlink" Target="#'defects (MTTR)'!A1"/></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13156</xdr:rowOff>
    </xdr:from>
    <xdr:to>
      <xdr:col>0</xdr:col>
      <xdr:colOff>4575164</xdr:colOff>
      <xdr:row>3</xdr:row>
      <xdr:rowOff>1607140</xdr:rowOff>
    </xdr:to>
    <xdr:graphicFrame macro="">
      <xdr:nvGraphicFramePr>
        <xdr:cNvPr id="2" name="Chart 1">
          <a:extLst>
            <a:ext uri="{FF2B5EF4-FFF2-40B4-BE49-F238E27FC236}">
              <a16:creationId xmlns:a16="http://schemas.microsoft.com/office/drawing/2014/main" id="{71F96154-4CCB-4A8F-99C4-505D59FC0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1318</xdr:colOff>
      <xdr:row>3</xdr:row>
      <xdr:rowOff>9524</xdr:rowOff>
    </xdr:from>
    <xdr:to>
      <xdr:col>1</xdr:col>
      <xdr:colOff>4572000</xdr:colOff>
      <xdr:row>3</xdr:row>
      <xdr:rowOff>1597269</xdr:rowOff>
    </xdr:to>
    <xdr:graphicFrame macro="">
      <xdr:nvGraphicFramePr>
        <xdr:cNvPr id="3" name="Chart 2">
          <a:extLst>
            <a:ext uri="{FF2B5EF4-FFF2-40B4-BE49-F238E27FC236}">
              <a16:creationId xmlns:a16="http://schemas.microsoft.com/office/drawing/2014/main" id="{66EC03DB-A8DE-4775-AA6C-7B0F11E1B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1</xdr:rowOff>
    </xdr:from>
    <xdr:to>
      <xdr:col>0</xdr:col>
      <xdr:colOff>4562475</xdr:colOff>
      <xdr:row>2</xdr:row>
      <xdr:rowOff>695325</xdr:rowOff>
    </xdr:to>
    <mc:AlternateContent xmlns:mc="http://schemas.openxmlformats.org/markup-compatibility/2006" xmlns:a14="http://schemas.microsoft.com/office/drawing/2010/main">
      <mc:Choice Requires="a14">
        <xdr:graphicFrame macro="">
          <xdr:nvGraphicFramePr>
            <xdr:cNvPr id="19" name="سال توقف - کلی 1">
              <a:extLst>
                <a:ext uri="{FF2B5EF4-FFF2-40B4-BE49-F238E27FC236}">
                  <a16:creationId xmlns:a16="http://schemas.microsoft.com/office/drawing/2014/main" id="{8F34FC83-1112-433A-A51F-9D1FDE730ADB}"/>
                </a:ext>
              </a:extLst>
            </xdr:cNvPr>
            <xdr:cNvGraphicFramePr/>
          </xdr:nvGraphicFramePr>
          <xdr:xfrm>
            <a:off x="0" y="0"/>
            <a:ext cx="0" cy="0"/>
          </xdr:xfrm>
          <a:graphic>
            <a:graphicData uri="http://schemas.microsoft.com/office/drawing/2010/slicer">
              <sle:slicer xmlns:sle="http://schemas.microsoft.com/office/drawing/2010/slicer" name="سال توقف - کلی 1"/>
            </a:graphicData>
          </a:graphic>
        </xdr:graphicFrame>
      </mc:Choice>
      <mc:Fallback xmlns="">
        <xdr:sp macro="" textlink="">
          <xdr:nvSpPr>
            <xdr:cNvPr id="0" name=""/>
            <xdr:cNvSpPr>
              <a:spLocks noTextEdit="1"/>
            </xdr:cNvSpPr>
          </xdr:nvSpPr>
          <xdr:spPr>
            <a:xfrm>
              <a:off x="11196390835" y="518949"/>
              <a:ext cx="4562475" cy="695324"/>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2</xdr:row>
      <xdr:rowOff>0</xdr:rowOff>
    </xdr:from>
    <xdr:to>
      <xdr:col>1</xdr:col>
      <xdr:colOff>4581525</xdr:colOff>
      <xdr:row>2</xdr:row>
      <xdr:rowOff>695325</xdr:rowOff>
    </xdr:to>
    <mc:AlternateContent xmlns:mc="http://schemas.openxmlformats.org/markup-compatibility/2006" xmlns:a14="http://schemas.microsoft.com/office/drawing/2010/main">
      <mc:Choice Requires="a14">
        <xdr:graphicFrame macro="">
          <xdr:nvGraphicFramePr>
            <xdr:cNvPr id="20" name="فصل توقف - کلی">
              <a:extLst>
                <a:ext uri="{FF2B5EF4-FFF2-40B4-BE49-F238E27FC236}">
                  <a16:creationId xmlns:a16="http://schemas.microsoft.com/office/drawing/2014/main" id="{25C31C0C-2B0C-4E60-9921-ED17282777D6}"/>
                </a:ext>
              </a:extLst>
            </xdr:cNvPr>
            <xdr:cNvGraphicFramePr/>
          </xdr:nvGraphicFramePr>
          <xdr:xfrm>
            <a:off x="0" y="0"/>
            <a:ext cx="0" cy="0"/>
          </xdr:xfrm>
          <a:graphic>
            <a:graphicData uri="http://schemas.microsoft.com/office/drawing/2010/slicer">
              <sle:slicer xmlns:sle="http://schemas.microsoft.com/office/drawing/2010/slicer" name="فصل توقف - کلی"/>
            </a:graphicData>
          </a:graphic>
        </xdr:graphicFrame>
      </mc:Choice>
      <mc:Fallback xmlns="">
        <xdr:sp macro="" textlink="">
          <xdr:nvSpPr>
            <xdr:cNvPr id="0" name=""/>
            <xdr:cNvSpPr>
              <a:spLocks noTextEdit="1"/>
            </xdr:cNvSpPr>
          </xdr:nvSpPr>
          <xdr:spPr>
            <a:xfrm>
              <a:off x="11191760371" y="518948"/>
              <a:ext cx="4543425" cy="695325"/>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7328</xdr:rowOff>
    </xdr:from>
    <xdr:to>
      <xdr:col>0</xdr:col>
      <xdr:colOff>4552950</xdr:colOff>
      <xdr:row>7</xdr:row>
      <xdr:rowOff>1597270</xdr:rowOff>
    </xdr:to>
    <xdr:graphicFrame macro="">
      <xdr:nvGraphicFramePr>
        <xdr:cNvPr id="21" name="Chart 20">
          <a:extLst>
            <a:ext uri="{FF2B5EF4-FFF2-40B4-BE49-F238E27FC236}">
              <a16:creationId xmlns:a16="http://schemas.microsoft.com/office/drawing/2014/main" id="{F8EE0713-FC7E-45BD-9BBE-9CFB822AA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xdr:row>
      <xdr:rowOff>7328</xdr:rowOff>
    </xdr:from>
    <xdr:to>
      <xdr:col>1</xdr:col>
      <xdr:colOff>4572000</xdr:colOff>
      <xdr:row>7</xdr:row>
      <xdr:rowOff>1597270</xdr:rowOff>
    </xdr:to>
    <xdr:graphicFrame macro="">
      <xdr:nvGraphicFramePr>
        <xdr:cNvPr id="22" name="Chart 21">
          <a:extLst>
            <a:ext uri="{FF2B5EF4-FFF2-40B4-BE49-F238E27FC236}">
              <a16:creationId xmlns:a16="http://schemas.microsoft.com/office/drawing/2014/main" id="{06677C35-6AA0-4D22-B11A-47BDB9C59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xdr:row>
      <xdr:rowOff>16852</xdr:rowOff>
    </xdr:from>
    <xdr:to>
      <xdr:col>0</xdr:col>
      <xdr:colOff>4572000</xdr:colOff>
      <xdr:row>9</xdr:row>
      <xdr:rowOff>1604597</xdr:rowOff>
    </xdr:to>
    <xdr:graphicFrame macro="">
      <xdr:nvGraphicFramePr>
        <xdr:cNvPr id="23" name="Chart 22">
          <a:extLst>
            <a:ext uri="{FF2B5EF4-FFF2-40B4-BE49-F238E27FC236}">
              <a16:creationId xmlns:a16="http://schemas.microsoft.com/office/drawing/2014/main" id="{3799C692-6C38-4EC7-A46F-3198AED40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xdr:row>
      <xdr:rowOff>7328</xdr:rowOff>
    </xdr:from>
    <xdr:to>
      <xdr:col>1</xdr:col>
      <xdr:colOff>4572000</xdr:colOff>
      <xdr:row>9</xdr:row>
      <xdr:rowOff>1604523</xdr:rowOff>
    </xdr:to>
    <xdr:graphicFrame macro="">
      <xdr:nvGraphicFramePr>
        <xdr:cNvPr id="24" name="Chart 23">
          <a:extLst>
            <a:ext uri="{FF2B5EF4-FFF2-40B4-BE49-F238E27FC236}">
              <a16:creationId xmlns:a16="http://schemas.microsoft.com/office/drawing/2014/main" id="{6D691E45-3927-4572-A588-31605F45D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xdr:row>
      <xdr:rowOff>14655</xdr:rowOff>
    </xdr:from>
    <xdr:to>
      <xdr:col>0</xdr:col>
      <xdr:colOff>4572000</xdr:colOff>
      <xdr:row>11</xdr:row>
      <xdr:rowOff>1597271</xdr:rowOff>
    </xdr:to>
    <xdr:graphicFrame macro="">
      <xdr:nvGraphicFramePr>
        <xdr:cNvPr id="25" name="Chart 24">
          <a:extLst>
            <a:ext uri="{FF2B5EF4-FFF2-40B4-BE49-F238E27FC236}">
              <a16:creationId xmlns:a16="http://schemas.microsoft.com/office/drawing/2014/main" id="{D1E9AC18-C5ED-43D1-8346-FA2D494BE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11</xdr:row>
      <xdr:rowOff>14655</xdr:rowOff>
    </xdr:from>
    <xdr:to>
      <xdr:col>1</xdr:col>
      <xdr:colOff>4572000</xdr:colOff>
      <xdr:row>11</xdr:row>
      <xdr:rowOff>1597271</xdr:rowOff>
    </xdr:to>
    <xdr:graphicFrame macro="">
      <xdr:nvGraphicFramePr>
        <xdr:cNvPr id="27" name="Chart 26">
          <a:extLst>
            <a:ext uri="{FF2B5EF4-FFF2-40B4-BE49-F238E27FC236}">
              <a16:creationId xmlns:a16="http://schemas.microsoft.com/office/drawing/2014/main" id="{701751BA-F762-47DC-B607-6831BB1A8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xdr:row>
      <xdr:rowOff>9526</xdr:rowOff>
    </xdr:from>
    <xdr:to>
      <xdr:col>0</xdr:col>
      <xdr:colOff>4572000</xdr:colOff>
      <xdr:row>5</xdr:row>
      <xdr:rowOff>1581980</xdr:rowOff>
    </xdr:to>
    <xdr:graphicFrame macro="">
      <xdr:nvGraphicFramePr>
        <xdr:cNvPr id="28" name="Chart 27">
          <a:extLst>
            <a:ext uri="{FF2B5EF4-FFF2-40B4-BE49-F238E27FC236}">
              <a16:creationId xmlns:a16="http://schemas.microsoft.com/office/drawing/2014/main" id="{4D89D039-69AF-419F-A713-8131C4BF6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5</xdr:row>
      <xdr:rowOff>9526</xdr:rowOff>
    </xdr:from>
    <xdr:to>
      <xdr:col>1</xdr:col>
      <xdr:colOff>4572000</xdr:colOff>
      <xdr:row>5</xdr:row>
      <xdr:rowOff>1574767</xdr:rowOff>
    </xdr:to>
    <xdr:graphicFrame macro="">
      <xdr:nvGraphicFramePr>
        <xdr:cNvPr id="29" name="Chart 28">
          <a:extLst>
            <a:ext uri="{FF2B5EF4-FFF2-40B4-BE49-F238E27FC236}">
              <a16:creationId xmlns:a16="http://schemas.microsoft.com/office/drawing/2014/main" id="{1F2B76B5-922E-4E8B-A7A8-A01371482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4368362</xdr:colOff>
      <xdr:row>3</xdr:row>
      <xdr:rowOff>1320363</xdr:rowOff>
    </xdr:from>
    <xdr:to>
      <xdr:col>1</xdr:col>
      <xdr:colOff>4532586</xdr:colOff>
      <xdr:row>3</xdr:row>
      <xdr:rowOff>1537139</xdr:rowOff>
    </xdr:to>
    <xdr:sp macro="" textlink="">
      <xdr:nvSpPr>
        <xdr:cNvPr id="30" name="Arrow: Down 29">
          <a:extLst>
            <a:ext uri="{FF2B5EF4-FFF2-40B4-BE49-F238E27FC236}">
              <a16:creationId xmlns:a16="http://schemas.microsoft.com/office/drawing/2014/main" id="{183C4ECD-6750-B8FC-64EF-29E32D4C391E}"/>
            </a:ext>
          </a:extLst>
        </xdr:cNvPr>
        <xdr:cNvSpPr/>
      </xdr:nvSpPr>
      <xdr:spPr>
        <a:xfrm>
          <a:off x="11191809310" y="2561897"/>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1</xdr:col>
      <xdr:colOff>4368362</xdr:colOff>
      <xdr:row>5</xdr:row>
      <xdr:rowOff>1287518</xdr:rowOff>
    </xdr:from>
    <xdr:to>
      <xdr:col>1</xdr:col>
      <xdr:colOff>4532586</xdr:colOff>
      <xdr:row>5</xdr:row>
      <xdr:rowOff>1504294</xdr:rowOff>
    </xdr:to>
    <xdr:sp macro="" textlink="">
      <xdr:nvSpPr>
        <xdr:cNvPr id="31" name="Arrow: Down 30">
          <a:extLst>
            <a:ext uri="{FF2B5EF4-FFF2-40B4-BE49-F238E27FC236}">
              <a16:creationId xmlns:a16="http://schemas.microsoft.com/office/drawing/2014/main" id="{5DD31780-8977-D9E9-056E-EAC70DC02AF5}"/>
            </a:ext>
          </a:extLst>
        </xdr:cNvPr>
        <xdr:cNvSpPr/>
      </xdr:nvSpPr>
      <xdr:spPr>
        <a:xfrm>
          <a:off x="11191809310" y="4440621"/>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1</xdr:col>
      <xdr:colOff>4368362</xdr:colOff>
      <xdr:row>7</xdr:row>
      <xdr:rowOff>1320363</xdr:rowOff>
    </xdr:from>
    <xdr:to>
      <xdr:col>1</xdr:col>
      <xdr:colOff>4532586</xdr:colOff>
      <xdr:row>7</xdr:row>
      <xdr:rowOff>1537139</xdr:rowOff>
    </xdr:to>
    <xdr:sp macro="" textlink="">
      <xdr:nvSpPr>
        <xdr:cNvPr id="32" name="Arrow: Down 31">
          <a:extLst>
            <a:ext uri="{FF2B5EF4-FFF2-40B4-BE49-F238E27FC236}">
              <a16:creationId xmlns:a16="http://schemas.microsoft.com/office/drawing/2014/main" id="{58F6B86D-2292-80B5-F967-3007008D5CD9}"/>
            </a:ext>
          </a:extLst>
        </xdr:cNvPr>
        <xdr:cNvSpPr/>
      </xdr:nvSpPr>
      <xdr:spPr>
        <a:xfrm>
          <a:off x="11191809310" y="6385035"/>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1</xdr:col>
      <xdr:colOff>4368362</xdr:colOff>
      <xdr:row>9</xdr:row>
      <xdr:rowOff>1353208</xdr:rowOff>
    </xdr:from>
    <xdr:to>
      <xdr:col>1</xdr:col>
      <xdr:colOff>4532586</xdr:colOff>
      <xdr:row>9</xdr:row>
      <xdr:rowOff>1569984</xdr:rowOff>
    </xdr:to>
    <xdr:sp macro="" textlink="">
      <xdr:nvSpPr>
        <xdr:cNvPr id="33" name="Arrow: Down 32">
          <a:extLst>
            <a:ext uri="{FF2B5EF4-FFF2-40B4-BE49-F238E27FC236}">
              <a16:creationId xmlns:a16="http://schemas.microsoft.com/office/drawing/2014/main" id="{F80735A8-6C40-25C2-3BFF-3C343AD54770}"/>
            </a:ext>
          </a:extLst>
        </xdr:cNvPr>
        <xdr:cNvSpPr/>
      </xdr:nvSpPr>
      <xdr:spPr>
        <a:xfrm>
          <a:off x="11191809310" y="8329449"/>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1</xdr:col>
      <xdr:colOff>4368362</xdr:colOff>
      <xdr:row>11</xdr:row>
      <xdr:rowOff>1353208</xdr:rowOff>
    </xdr:from>
    <xdr:to>
      <xdr:col>1</xdr:col>
      <xdr:colOff>4532586</xdr:colOff>
      <xdr:row>11</xdr:row>
      <xdr:rowOff>1569984</xdr:rowOff>
    </xdr:to>
    <xdr:sp macro="" textlink="">
      <xdr:nvSpPr>
        <xdr:cNvPr id="34" name="Arrow: Down 33">
          <a:extLst>
            <a:ext uri="{FF2B5EF4-FFF2-40B4-BE49-F238E27FC236}">
              <a16:creationId xmlns:a16="http://schemas.microsoft.com/office/drawing/2014/main" id="{04FDC3F8-7120-B9BE-F6D0-44770CC7315B}"/>
            </a:ext>
          </a:extLst>
        </xdr:cNvPr>
        <xdr:cNvSpPr/>
      </xdr:nvSpPr>
      <xdr:spPr>
        <a:xfrm>
          <a:off x="11191809310" y="10241018"/>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0</xdr:col>
      <xdr:colOff>4374931</xdr:colOff>
      <xdr:row>11</xdr:row>
      <xdr:rowOff>1353208</xdr:rowOff>
    </xdr:from>
    <xdr:to>
      <xdr:col>0</xdr:col>
      <xdr:colOff>4539155</xdr:colOff>
      <xdr:row>11</xdr:row>
      <xdr:rowOff>1569984</xdr:rowOff>
    </xdr:to>
    <xdr:sp macro="" textlink="">
      <xdr:nvSpPr>
        <xdr:cNvPr id="35" name="Arrow: Down 34">
          <a:extLst>
            <a:ext uri="{FF2B5EF4-FFF2-40B4-BE49-F238E27FC236}">
              <a16:creationId xmlns:a16="http://schemas.microsoft.com/office/drawing/2014/main" id="{FCCBEA1B-2397-FEF3-2DB9-0DF603EC21E0}"/>
            </a:ext>
          </a:extLst>
        </xdr:cNvPr>
        <xdr:cNvSpPr/>
      </xdr:nvSpPr>
      <xdr:spPr>
        <a:xfrm rot="10800000">
          <a:off x="11196414155" y="10241018"/>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0</xdr:col>
      <xdr:colOff>4374931</xdr:colOff>
      <xdr:row>9</xdr:row>
      <xdr:rowOff>1353208</xdr:rowOff>
    </xdr:from>
    <xdr:to>
      <xdr:col>0</xdr:col>
      <xdr:colOff>4539155</xdr:colOff>
      <xdr:row>9</xdr:row>
      <xdr:rowOff>1569984</xdr:rowOff>
    </xdr:to>
    <xdr:sp macro="" textlink="">
      <xdr:nvSpPr>
        <xdr:cNvPr id="36" name="Arrow: Down 35">
          <a:extLst>
            <a:ext uri="{FF2B5EF4-FFF2-40B4-BE49-F238E27FC236}">
              <a16:creationId xmlns:a16="http://schemas.microsoft.com/office/drawing/2014/main" id="{A72FC035-ED31-DC5F-3B27-110E96F94A26}"/>
            </a:ext>
          </a:extLst>
        </xdr:cNvPr>
        <xdr:cNvSpPr/>
      </xdr:nvSpPr>
      <xdr:spPr>
        <a:xfrm rot="10800000">
          <a:off x="11196414155" y="8329449"/>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0</xdr:col>
      <xdr:colOff>4374931</xdr:colOff>
      <xdr:row>7</xdr:row>
      <xdr:rowOff>1320363</xdr:rowOff>
    </xdr:from>
    <xdr:to>
      <xdr:col>0</xdr:col>
      <xdr:colOff>4539155</xdr:colOff>
      <xdr:row>7</xdr:row>
      <xdr:rowOff>1537139</xdr:rowOff>
    </xdr:to>
    <xdr:sp macro="" textlink="">
      <xdr:nvSpPr>
        <xdr:cNvPr id="37" name="Arrow: Down 36">
          <a:extLst>
            <a:ext uri="{FF2B5EF4-FFF2-40B4-BE49-F238E27FC236}">
              <a16:creationId xmlns:a16="http://schemas.microsoft.com/office/drawing/2014/main" id="{C505A3FE-2340-A200-94B9-4F195B252E90}"/>
            </a:ext>
          </a:extLst>
        </xdr:cNvPr>
        <xdr:cNvSpPr/>
      </xdr:nvSpPr>
      <xdr:spPr>
        <a:xfrm rot="10800000">
          <a:off x="11196414155" y="6385035"/>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0</xdr:col>
      <xdr:colOff>4374931</xdr:colOff>
      <xdr:row>5</xdr:row>
      <xdr:rowOff>1326932</xdr:rowOff>
    </xdr:from>
    <xdr:to>
      <xdr:col>0</xdr:col>
      <xdr:colOff>4539155</xdr:colOff>
      <xdr:row>5</xdr:row>
      <xdr:rowOff>1543708</xdr:rowOff>
    </xdr:to>
    <xdr:sp macro="" textlink="">
      <xdr:nvSpPr>
        <xdr:cNvPr id="38" name="Arrow: Down 37">
          <a:extLst>
            <a:ext uri="{FF2B5EF4-FFF2-40B4-BE49-F238E27FC236}">
              <a16:creationId xmlns:a16="http://schemas.microsoft.com/office/drawing/2014/main" id="{2E6EDEE1-F89E-15B2-7CC1-45E63129CCF0}"/>
            </a:ext>
          </a:extLst>
        </xdr:cNvPr>
        <xdr:cNvSpPr/>
      </xdr:nvSpPr>
      <xdr:spPr>
        <a:xfrm rot="10800000">
          <a:off x="11196414155" y="4480035"/>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twoCellAnchor>
    <xdr:from>
      <xdr:col>0</xdr:col>
      <xdr:colOff>4374931</xdr:colOff>
      <xdr:row>3</xdr:row>
      <xdr:rowOff>1333501</xdr:rowOff>
    </xdr:from>
    <xdr:to>
      <xdr:col>0</xdr:col>
      <xdr:colOff>4539155</xdr:colOff>
      <xdr:row>3</xdr:row>
      <xdr:rowOff>1550277</xdr:rowOff>
    </xdr:to>
    <xdr:sp macro="" textlink="">
      <xdr:nvSpPr>
        <xdr:cNvPr id="39" name="Arrow: Down 38">
          <a:extLst>
            <a:ext uri="{FF2B5EF4-FFF2-40B4-BE49-F238E27FC236}">
              <a16:creationId xmlns:a16="http://schemas.microsoft.com/office/drawing/2014/main" id="{88C2B636-C75B-1E15-5B5C-B6F249B3659B}"/>
            </a:ext>
          </a:extLst>
        </xdr:cNvPr>
        <xdr:cNvSpPr/>
      </xdr:nvSpPr>
      <xdr:spPr>
        <a:xfrm rot="10800000">
          <a:off x="11196414155" y="2575035"/>
          <a:ext cx="164224" cy="216776"/>
        </a:xfrm>
        <a:prstGeom prst="downArrow">
          <a:avLst/>
        </a:prstGeom>
        <a:gradFill flip="none" rotWithShape="1">
          <a:gsLst>
            <a:gs pos="0">
              <a:srgbClr val="FF5050"/>
            </a:gs>
            <a:gs pos="50000">
              <a:schemeClr val="bg1"/>
            </a:gs>
            <a:gs pos="100000">
              <a:srgbClr val="00B050">
                <a:lumMod val="99000"/>
              </a:srgbClr>
            </a:gs>
          </a:gsLst>
          <a:lin ang="5400000" scaled="1"/>
          <a:tileRect/>
        </a:grad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fa-I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50514</xdr:colOff>
      <xdr:row>5</xdr:row>
      <xdr:rowOff>69272</xdr:rowOff>
    </xdr:from>
    <xdr:to>
      <xdr:col>0</xdr:col>
      <xdr:colOff>8675764</xdr:colOff>
      <xdr:row>5</xdr:row>
      <xdr:rowOff>4819531</xdr:rowOff>
    </xdr:to>
    <xdr:graphicFrame macro="">
      <xdr:nvGraphicFramePr>
        <xdr:cNvPr id="8" name="Chart 7">
          <a:extLst>
            <a:ext uri="{FF2B5EF4-FFF2-40B4-BE49-F238E27FC236}">
              <a16:creationId xmlns:a16="http://schemas.microsoft.com/office/drawing/2014/main" id="{43FC69EA-B754-EA13-C6D5-675AF5C2C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17657</xdr:colOff>
      <xdr:row>4</xdr:row>
      <xdr:rowOff>56918</xdr:rowOff>
    </xdr:from>
    <xdr:to>
      <xdr:col>1</xdr:col>
      <xdr:colOff>7739062</xdr:colOff>
      <xdr:row>4</xdr:row>
      <xdr:rowOff>1556990</xdr:rowOff>
    </xdr:to>
    <mc:AlternateContent xmlns:mc="http://schemas.openxmlformats.org/markup-compatibility/2006" xmlns:a14="http://schemas.microsoft.com/office/drawing/2010/main">
      <mc:Choice Requires="a14">
        <xdr:graphicFrame macro="">
          <xdr:nvGraphicFramePr>
            <xdr:cNvPr id="6" name="سالن 3">
              <a:extLst>
                <a:ext uri="{FF2B5EF4-FFF2-40B4-BE49-F238E27FC236}">
                  <a16:creationId xmlns:a16="http://schemas.microsoft.com/office/drawing/2014/main" id="{CEB85032-8ED7-64E7-D293-DDF2E41F5B20}"/>
                </a:ext>
              </a:extLst>
            </xdr:cNvPr>
            <xdr:cNvGraphicFramePr/>
          </xdr:nvGraphicFramePr>
          <xdr:xfrm>
            <a:off x="0" y="0"/>
            <a:ext cx="0" cy="0"/>
          </xdr:xfrm>
          <a:graphic>
            <a:graphicData uri="http://schemas.microsoft.com/office/drawing/2010/slicer">
              <sle:slicer xmlns:sle="http://schemas.microsoft.com/office/drawing/2010/slicer" name="سالن 3"/>
            </a:graphicData>
          </a:graphic>
        </xdr:graphicFrame>
      </mc:Choice>
      <mc:Fallback xmlns="">
        <xdr:sp macro="" textlink="">
          <xdr:nvSpPr>
            <xdr:cNvPr id="0" name=""/>
            <xdr:cNvSpPr>
              <a:spLocks noTextEdit="1"/>
            </xdr:cNvSpPr>
          </xdr:nvSpPr>
          <xdr:spPr>
            <a:xfrm>
              <a:off x="11377299535" y="233811"/>
              <a:ext cx="8650093" cy="1500072"/>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53820</xdr:colOff>
      <xdr:row>5</xdr:row>
      <xdr:rowOff>69272</xdr:rowOff>
    </xdr:from>
    <xdr:to>
      <xdr:col>1</xdr:col>
      <xdr:colOff>7794172</xdr:colOff>
      <xdr:row>6</xdr:row>
      <xdr:rowOff>0</xdr:rowOff>
    </xdr:to>
    <xdr:graphicFrame macro="">
      <xdr:nvGraphicFramePr>
        <xdr:cNvPr id="7" name="Chart 6">
          <a:extLst>
            <a:ext uri="{FF2B5EF4-FFF2-40B4-BE49-F238E27FC236}">
              <a16:creationId xmlns:a16="http://schemas.microsoft.com/office/drawing/2014/main" id="{C67F7718-A77E-EC57-241C-1E9859B74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54428</xdr:colOff>
      <xdr:row>6</xdr:row>
      <xdr:rowOff>27214</xdr:rowOff>
    </xdr:from>
    <xdr:to>
      <xdr:col>0</xdr:col>
      <xdr:colOff>8708571</xdr:colOff>
      <xdr:row>6</xdr:row>
      <xdr:rowOff>3814802</xdr:rowOff>
    </xdr:to>
    <xdr:graphicFrame macro="">
      <xdr:nvGraphicFramePr>
        <xdr:cNvPr id="4" name="Chart 3">
          <a:extLst>
            <a:ext uri="{FF2B5EF4-FFF2-40B4-BE49-F238E27FC236}">
              <a16:creationId xmlns:a16="http://schemas.microsoft.com/office/drawing/2014/main" id="{F88F75C0-83B6-463F-AC84-0D176B3E1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64834</xdr:colOff>
      <xdr:row>6</xdr:row>
      <xdr:rowOff>27214</xdr:rowOff>
    </xdr:from>
    <xdr:to>
      <xdr:col>1</xdr:col>
      <xdr:colOff>7758793</xdr:colOff>
      <xdr:row>6</xdr:row>
      <xdr:rowOff>3814802</xdr:rowOff>
    </xdr:to>
    <xdr:graphicFrame macro="">
      <xdr:nvGraphicFramePr>
        <xdr:cNvPr id="5" name="Chart 4">
          <a:extLst>
            <a:ext uri="{FF2B5EF4-FFF2-40B4-BE49-F238E27FC236}">
              <a16:creationId xmlns:a16="http://schemas.microsoft.com/office/drawing/2014/main" id="{4BF5F7E2-981C-44AF-8BE2-0CAE4311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0</xdr:col>
      <xdr:colOff>8613321</xdr:colOff>
      <xdr:row>2</xdr:row>
      <xdr:rowOff>3850820</xdr:rowOff>
    </xdr:to>
    <xdr:graphicFrame macro="">
      <xdr:nvGraphicFramePr>
        <xdr:cNvPr id="3" name="Chart 2">
          <a:extLst>
            <a:ext uri="{FF2B5EF4-FFF2-40B4-BE49-F238E27FC236}">
              <a16:creationId xmlns:a16="http://schemas.microsoft.com/office/drawing/2014/main" id="{C533C178-181C-4818-878C-50BB38F49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27215</xdr:colOff>
      <xdr:row>2</xdr:row>
      <xdr:rowOff>0</xdr:rowOff>
    </xdr:from>
    <xdr:to>
      <xdr:col>1</xdr:col>
      <xdr:colOff>7728858</xdr:colOff>
      <xdr:row>2</xdr:row>
      <xdr:rowOff>3878036</xdr:rowOff>
    </xdr:to>
    <xdr:graphicFrame macro="">
      <xdr:nvGraphicFramePr>
        <xdr:cNvPr id="10" name="Chart 9">
          <a:extLst>
            <a:ext uri="{FF2B5EF4-FFF2-40B4-BE49-F238E27FC236}">
              <a16:creationId xmlns:a16="http://schemas.microsoft.com/office/drawing/2014/main" id="{AA1ABACA-F3F9-4CE3-9B43-0F160A6DD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3565072</xdr:colOff>
      <xdr:row>0</xdr:row>
      <xdr:rowOff>68036</xdr:rowOff>
    </xdr:from>
    <xdr:to>
      <xdr:col>0</xdr:col>
      <xdr:colOff>7758546</xdr:colOff>
      <xdr:row>0</xdr:row>
      <xdr:rowOff>938893</xdr:rowOff>
    </xdr:to>
    <mc:AlternateContent xmlns:mc="http://schemas.openxmlformats.org/markup-compatibility/2006" xmlns:a14="http://schemas.microsoft.com/office/drawing/2010/main">
      <mc:Choice Requires="a14">
        <xdr:graphicFrame macro="">
          <xdr:nvGraphicFramePr>
            <xdr:cNvPr id="17" name="فصل توقف 1">
              <a:extLst>
                <a:ext uri="{FF2B5EF4-FFF2-40B4-BE49-F238E27FC236}">
                  <a16:creationId xmlns:a16="http://schemas.microsoft.com/office/drawing/2014/main" id="{31918228-1629-4EC8-B172-62CCB8DF006F}"/>
                </a:ext>
              </a:extLst>
            </xdr:cNvPr>
            <xdr:cNvGraphicFramePr/>
          </xdr:nvGraphicFramePr>
          <xdr:xfrm>
            <a:off x="0" y="0"/>
            <a:ext cx="0" cy="0"/>
          </xdr:xfrm>
          <a:graphic>
            <a:graphicData uri="http://schemas.microsoft.com/office/drawing/2010/slicer">
              <sle:slicer xmlns:sle="http://schemas.microsoft.com/office/drawing/2010/slicer" name="فصل توقف 1"/>
            </a:graphicData>
          </a:graphic>
        </xdr:graphicFrame>
      </mc:Choice>
      <mc:Fallback xmlns="">
        <xdr:sp macro="" textlink="">
          <xdr:nvSpPr>
            <xdr:cNvPr id="0" name=""/>
            <xdr:cNvSpPr>
              <a:spLocks noTextEdit="1"/>
            </xdr:cNvSpPr>
          </xdr:nvSpPr>
          <xdr:spPr>
            <a:xfrm>
              <a:off x="11356189909" y="68036"/>
              <a:ext cx="4193474" cy="870857"/>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51954</xdr:colOff>
      <xdr:row>0</xdr:row>
      <xdr:rowOff>81642</xdr:rowOff>
    </xdr:from>
    <xdr:to>
      <xdr:col>1</xdr:col>
      <xdr:colOff>7780811</xdr:colOff>
      <xdr:row>0</xdr:row>
      <xdr:rowOff>952500</xdr:rowOff>
    </xdr:to>
    <mc:AlternateContent xmlns:mc="http://schemas.openxmlformats.org/markup-compatibility/2006" xmlns:a14="http://schemas.microsoft.com/office/drawing/2010/main">
      <mc:Choice Requires="a14">
        <xdr:graphicFrame macro="">
          <xdr:nvGraphicFramePr>
            <xdr:cNvPr id="18" name="ماه توقف 1">
              <a:extLst>
                <a:ext uri="{FF2B5EF4-FFF2-40B4-BE49-F238E27FC236}">
                  <a16:creationId xmlns:a16="http://schemas.microsoft.com/office/drawing/2014/main" id="{8DA06694-FDDE-46D0-9902-07C62628DE67}"/>
                </a:ext>
              </a:extLst>
            </xdr:cNvPr>
            <xdr:cNvGraphicFramePr/>
          </xdr:nvGraphicFramePr>
          <xdr:xfrm>
            <a:off x="0" y="0"/>
            <a:ext cx="0" cy="0"/>
          </xdr:xfrm>
          <a:graphic>
            <a:graphicData uri="http://schemas.microsoft.com/office/drawing/2010/slicer">
              <sle:slicer xmlns:sle="http://schemas.microsoft.com/office/drawing/2010/slicer" name="ماه توقف 1"/>
            </a:graphicData>
          </a:graphic>
        </xdr:graphicFrame>
      </mc:Choice>
      <mc:Fallback xmlns="">
        <xdr:sp macro="" textlink="">
          <xdr:nvSpPr>
            <xdr:cNvPr id="0" name=""/>
            <xdr:cNvSpPr>
              <a:spLocks noTextEdit="1"/>
            </xdr:cNvSpPr>
          </xdr:nvSpPr>
          <xdr:spPr>
            <a:xfrm>
              <a:off x="11348322508" y="81642"/>
              <a:ext cx="7728857" cy="870858"/>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40822</xdr:colOff>
      <xdr:row>0</xdr:row>
      <xdr:rowOff>68036</xdr:rowOff>
    </xdr:from>
    <xdr:to>
      <xdr:col>0</xdr:col>
      <xdr:colOff>3537857</xdr:colOff>
      <xdr:row>0</xdr:row>
      <xdr:rowOff>966107</xdr:rowOff>
    </xdr:to>
    <mc:AlternateContent xmlns:mc="http://schemas.openxmlformats.org/markup-compatibility/2006" xmlns:a14="http://schemas.microsoft.com/office/drawing/2010/main">
      <mc:Choice Requires="a14">
        <xdr:graphicFrame macro="">
          <xdr:nvGraphicFramePr>
            <xdr:cNvPr id="19" name="سال توقف - کلی">
              <a:extLst>
                <a:ext uri="{FF2B5EF4-FFF2-40B4-BE49-F238E27FC236}">
                  <a16:creationId xmlns:a16="http://schemas.microsoft.com/office/drawing/2014/main" id="{B5E10A00-BABF-4997-BBFD-497E22BC9974}"/>
                </a:ext>
              </a:extLst>
            </xdr:cNvPr>
            <xdr:cNvGraphicFramePr/>
          </xdr:nvGraphicFramePr>
          <xdr:xfrm>
            <a:off x="0" y="0"/>
            <a:ext cx="0" cy="0"/>
          </xdr:xfrm>
          <a:graphic>
            <a:graphicData uri="http://schemas.microsoft.com/office/drawing/2010/slicer">
              <sle:slicer xmlns:sle="http://schemas.microsoft.com/office/drawing/2010/slicer" name="سال توقف - کلی"/>
            </a:graphicData>
          </a:graphic>
        </xdr:graphicFrame>
      </mc:Choice>
      <mc:Fallback xmlns="">
        <xdr:sp macro="" textlink="">
          <xdr:nvSpPr>
            <xdr:cNvPr id="0" name=""/>
            <xdr:cNvSpPr>
              <a:spLocks noTextEdit="1"/>
            </xdr:cNvSpPr>
          </xdr:nvSpPr>
          <xdr:spPr>
            <a:xfrm>
              <a:off x="11360410598" y="68036"/>
              <a:ext cx="3497035" cy="898071"/>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0.01769</cdr:x>
      <cdr:y>0.82246</cdr:y>
    </cdr:from>
    <cdr:to>
      <cdr:x>0.05369</cdr:x>
      <cdr:y>0.91598</cdr:y>
    </cdr:to>
    <cdr:sp macro="" textlink="">
      <cdr:nvSpPr>
        <cdr:cNvPr id="2" name="Arrow: Down 1">
          <a:extLst xmlns:a="http://schemas.openxmlformats.org/drawingml/2006/main">
            <a:ext uri="{FF2B5EF4-FFF2-40B4-BE49-F238E27FC236}">
              <a16:creationId xmlns:a16="http://schemas.microsoft.com/office/drawing/2014/main" id="{58BF4F78-1920-7A82-26C6-C5F85ACDFB1C}"/>
            </a:ext>
          </a:extLst>
        </cdr:cNvPr>
        <cdr:cNvSpPr/>
      </cdr:nvSpPr>
      <cdr:spPr>
        <a:xfrm xmlns:a="http://schemas.openxmlformats.org/drawingml/2006/main" rot="10800000">
          <a:off x="174218" y="4802911"/>
          <a:ext cx="354621" cy="546128"/>
        </a:xfrm>
        <a:prstGeom xmlns:a="http://schemas.openxmlformats.org/drawingml/2006/main" prst="downArrow">
          <a:avLst/>
        </a:prstGeom>
        <a:noFill xmlns:a="http://schemas.openxmlformats.org/drawingml/2006/main"/>
        <a:ln xmlns:a="http://schemas.openxmlformats.org/drawingml/2006/main" w="9525" cap="flat" cmpd="sng" algn="ctr">
          <a:solidFill>
            <a:schemeClr val="bg1"/>
          </a:solidFill>
          <a:prstDash val="solid"/>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3"/>
        </a:fontRef>
      </cdr:style>
      <cdr:txBody>
        <a:bodyPr xmlns:a="http://schemas.openxmlformats.org/drawingml/2006/main"/>
        <a:lstStyle xmlns:a="http://schemas.openxmlformats.org/drawingml/2006/main">
          <a:lvl1pPr marL="0" indent="0">
            <a:defRPr sz="1100">
              <a:solidFill>
                <a:schemeClr val="accent3"/>
              </a:solidFill>
              <a:latin typeface="+mn-lt"/>
              <a:ea typeface="+mn-ea"/>
              <a:cs typeface="+mn-cs"/>
            </a:defRPr>
          </a:lvl1pPr>
          <a:lvl2pPr marL="457200" indent="0">
            <a:defRPr sz="1100">
              <a:solidFill>
                <a:schemeClr val="accent3"/>
              </a:solidFill>
              <a:latin typeface="+mn-lt"/>
              <a:ea typeface="+mn-ea"/>
              <a:cs typeface="+mn-cs"/>
            </a:defRPr>
          </a:lvl2pPr>
          <a:lvl3pPr marL="914400" indent="0">
            <a:defRPr sz="1100">
              <a:solidFill>
                <a:schemeClr val="accent3"/>
              </a:solidFill>
              <a:latin typeface="+mn-lt"/>
              <a:ea typeface="+mn-ea"/>
              <a:cs typeface="+mn-cs"/>
            </a:defRPr>
          </a:lvl3pPr>
          <a:lvl4pPr marL="1371600" indent="0">
            <a:defRPr sz="1100">
              <a:solidFill>
                <a:schemeClr val="accent3"/>
              </a:solidFill>
              <a:latin typeface="+mn-lt"/>
              <a:ea typeface="+mn-ea"/>
              <a:cs typeface="+mn-cs"/>
            </a:defRPr>
          </a:lvl4pPr>
          <a:lvl5pPr marL="1828800" indent="0">
            <a:defRPr sz="1100">
              <a:solidFill>
                <a:schemeClr val="accent3"/>
              </a:solidFill>
              <a:latin typeface="+mn-lt"/>
              <a:ea typeface="+mn-ea"/>
              <a:cs typeface="+mn-cs"/>
            </a:defRPr>
          </a:lvl5pPr>
          <a:lvl6pPr marL="2286000" indent="0">
            <a:defRPr sz="1100">
              <a:solidFill>
                <a:schemeClr val="accent3"/>
              </a:solidFill>
              <a:latin typeface="+mn-lt"/>
              <a:ea typeface="+mn-ea"/>
              <a:cs typeface="+mn-cs"/>
            </a:defRPr>
          </a:lvl6pPr>
          <a:lvl7pPr marL="2743200" indent="0">
            <a:defRPr sz="1100">
              <a:solidFill>
                <a:schemeClr val="accent3"/>
              </a:solidFill>
              <a:latin typeface="+mn-lt"/>
              <a:ea typeface="+mn-ea"/>
              <a:cs typeface="+mn-cs"/>
            </a:defRPr>
          </a:lvl7pPr>
          <a:lvl8pPr marL="3200400" indent="0">
            <a:defRPr sz="1100">
              <a:solidFill>
                <a:schemeClr val="accent3"/>
              </a:solidFill>
              <a:latin typeface="+mn-lt"/>
              <a:ea typeface="+mn-ea"/>
              <a:cs typeface="+mn-cs"/>
            </a:defRPr>
          </a:lvl8pPr>
          <a:lvl9pPr marL="3657600" indent="0">
            <a:defRPr sz="1100">
              <a:solidFill>
                <a:schemeClr val="accent3"/>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0.00589</cdr:x>
      <cdr:y>0.90075</cdr:y>
    </cdr:from>
    <cdr:to>
      <cdr:x>0.03586</cdr:x>
      <cdr:y>0.98675</cdr:y>
    </cdr:to>
    <cdr:sp macro="" textlink="">
      <cdr:nvSpPr>
        <cdr:cNvPr id="3" name="Arrow: Up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9E3787-C4D9-F4B8-A66F-37E9CE3365E8}"/>
            </a:ext>
          </a:extLst>
        </cdr:cNvPr>
        <cdr:cNvSpPr/>
      </cdr:nvSpPr>
      <cdr:spPr>
        <a:xfrm xmlns:a="http://schemas.openxmlformats.org/drawingml/2006/main">
          <a:off x="50800" y="4132943"/>
          <a:ext cx="258536" cy="394607"/>
        </a:xfrm>
        <a:prstGeom xmlns:a="http://schemas.openxmlformats.org/drawingml/2006/main" prst="upArrow">
          <a:avLst/>
        </a:prstGeom>
        <a:gradFill xmlns:a="http://schemas.openxmlformats.org/drawingml/2006/main" flip="none" rotWithShape="1">
          <a:gsLst>
            <a:gs pos="59000">
              <a:schemeClr val="bg2">
                <a:lumMod val="90000"/>
              </a:schemeClr>
            </a:gs>
            <a:gs pos="41000">
              <a:schemeClr val="bg2">
                <a:lumMod val="88000"/>
              </a:schemeClr>
            </a:gs>
            <a:gs pos="0">
              <a:srgbClr val="F60000"/>
            </a:gs>
            <a:gs pos="100000">
              <a:srgbClr val="009A46"/>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endParaRPr lang="fa-IR" sz="1100"/>
        </a:p>
      </cdr:txBody>
    </cdr:sp>
  </cdr:relSizeAnchor>
</c:userShapes>
</file>

<file path=xl/drawings/drawing4.xml><?xml version="1.0" encoding="utf-8"?>
<c:userShapes xmlns:c="http://schemas.openxmlformats.org/drawingml/2006/chart">
  <cdr:relSizeAnchor xmlns:cdr="http://schemas.openxmlformats.org/drawingml/2006/chartDrawing">
    <cdr:from>
      <cdr:x>0.01787</cdr:x>
      <cdr:y>0.81531</cdr:y>
    </cdr:from>
    <cdr:to>
      <cdr:x>0.05347</cdr:x>
      <cdr:y>0.9096</cdr:y>
    </cdr:to>
    <cdr:sp macro="" textlink="">
      <cdr:nvSpPr>
        <cdr:cNvPr id="2" name="Arrow: Down 1">
          <a:extLst xmlns:a="http://schemas.openxmlformats.org/drawingml/2006/main">
            <a:ext uri="{FF2B5EF4-FFF2-40B4-BE49-F238E27FC236}">
              <a16:creationId xmlns:a16="http://schemas.microsoft.com/office/drawing/2014/main" id="{4B19DDFA-4C85-3323-157A-827E6844CDF0}"/>
            </a:ext>
          </a:extLst>
        </cdr:cNvPr>
        <cdr:cNvSpPr/>
      </cdr:nvSpPr>
      <cdr:spPr>
        <a:xfrm xmlns:a="http://schemas.openxmlformats.org/drawingml/2006/main" rot="10800000">
          <a:off x="177914" y="4727272"/>
          <a:ext cx="354487" cy="546705"/>
        </a:xfrm>
        <a:prstGeom xmlns:a="http://schemas.openxmlformats.org/drawingml/2006/main" prst="downArrow">
          <a:avLst/>
        </a:prstGeom>
        <a:noFill xmlns:a="http://schemas.openxmlformats.org/drawingml/2006/main"/>
        <a:ln xmlns:a="http://schemas.openxmlformats.org/drawingml/2006/main" w="9525" cap="flat" cmpd="sng" algn="ctr">
          <a:solidFill>
            <a:schemeClr val="bg1"/>
          </a:solidFill>
          <a:prstDash val="solid"/>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3"/>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0.00589</cdr:x>
      <cdr:y>0.87999</cdr:y>
    </cdr:from>
    <cdr:to>
      <cdr:x>0.03586</cdr:x>
      <cdr:y>0.96599</cdr:y>
    </cdr:to>
    <cdr:sp macro="" textlink="">
      <cdr:nvSpPr>
        <cdr:cNvPr id="3" name="Arrow: Up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9E3787-C4D9-F4B8-A66F-37E9CE3365E8}"/>
            </a:ext>
          </a:extLst>
        </cdr:cNvPr>
        <cdr:cNvSpPr/>
      </cdr:nvSpPr>
      <cdr:spPr>
        <a:xfrm xmlns:a="http://schemas.openxmlformats.org/drawingml/2006/main" rot="10800000">
          <a:off x="50800" y="4037693"/>
          <a:ext cx="258536" cy="394607"/>
        </a:xfrm>
        <a:prstGeom xmlns:a="http://schemas.openxmlformats.org/drawingml/2006/main" prst="upArrow">
          <a:avLst/>
        </a:prstGeom>
        <a:gradFill xmlns:a="http://schemas.openxmlformats.org/drawingml/2006/main" flip="none" rotWithShape="1">
          <a:gsLst>
            <a:gs pos="59000">
              <a:schemeClr val="bg2">
                <a:lumMod val="90000"/>
              </a:schemeClr>
            </a:gs>
            <a:gs pos="41000">
              <a:schemeClr val="bg2">
                <a:lumMod val="88000"/>
              </a:schemeClr>
            </a:gs>
            <a:gs pos="0">
              <a:srgbClr val="F60000"/>
            </a:gs>
            <a:gs pos="100000">
              <a:srgbClr val="009A46"/>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endParaRPr lang="fa-IR" sz="1100"/>
        </a:p>
      </cdr:txBody>
    </cdr:sp>
  </cdr:relSizeAnchor>
</c:userShapes>
</file>

<file path=xl/drawings/drawing5.xml><?xml version="1.0" encoding="utf-8"?>
<c:userShapes xmlns:c="http://schemas.openxmlformats.org/drawingml/2006/chart">
  <cdr:relSizeAnchor xmlns:cdr="http://schemas.openxmlformats.org/drawingml/2006/chartDrawing">
    <cdr:from>
      <cdr:x>0.00587</cdr:x>
      <cdr:y>0.86485</cdr:y>
    </cdr:from>
    <cdr:to>
      <cdr:x>0.03574</cdr:x>
      <cdr:y>0.96903</cdr:y>
    </cdr:to>
    <cdr:sp macro="" textlink="">
      <cdr:nvSpPr>
        <cdr:cNvPr id="2" name="Arrow: Up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9E3787-C4D9-F4B8-A66F-37E9CE3365E8}"/>
            </a:ext>
          </a:extLst>
        </cdr:cNvPr>
        <cdr:cNvSpPr/>
      </cdr:nvSpPr>
      <cdr:spPr>
        <a:xfrm xmlns:a="http://schemas.openxmlformats.org/drawingml/2006/main">
          <a:off x="50800" y="3275693"/>
          <a:ext cx="258536" cy="394607"/>
        </a:xfrm>
        <a:prstGeom xmlns:a="http://schemas.openxmlformats.org/drawingml/2006/main" prst="upArrow">
          <a:avLst/>
        </a:prstGeom>
        <a:gradFill xmlns:a="http://schemas.openxmlformats.org/drawingml/2006/main" flip="none" rotWithShape="1">
          <a:gsLst>
            <a:gs pos="59000">
              <a:schemeClr val="bg2">
                <a:lumMod val="90000"/>
              </a:schemeClr>
            </a:gs>
            <a:gs pos="41000">
              <a:schemeClr val="bg2">
                <a:lumMod val="88000"/>
              </a:schemeClr>
            </a:gs>
            <a:gs pos="0">
              <a:srgbClr val="F60000"/>
            </a:gs>
            <a:gs pos="100000">
              <a:srgbClr val="009A46"/>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endParaRPr lang="fa-IR" sz="1100"/>
        </a:p>
      </cdr:txBody>
    </cdr:sp>
  </cdr:relSizeAnchor>
</c:userShapes>
</file>

<file path=xl/drawings/drawing6.xml><?xml version="1.0" encoding="utf-8"?>
<c:userShapes xmlns:c="http://schemas.openxmlformats.org/drawingml/2006/chart">
  <cdr:relSizeAnchor xmlns:cdr="http://schemas.openxmlformats.org/drawingml/2006/chartDrawing">
    <cdr:from>
      <cdr:x>0.00592</cdr:x>
      <cdr:y>0.85407</cdr:y>
    </cdr:from>
    <cdr:to>
      <cdr:x>0.03604</cdr:x>
      <cdr:y>0.95826</cdr:y>
    </cdr:to>
    <cdr:sp macro="" textlink="">
      <cdr:nvSpPr>
        <cdr:cNvPr id="2" name="Arrow: Up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9E3787-C4D9-F4B8-A66F-37E9CE3365E8}"/>
            </a:ext>
          </a:extLst>
        </cdr:cNvPr>
        <cdr:cNvSpPr/>
      </cdr:nvSpPr>
      <cdr:spPr>
        <a:xfrm xmlns:a="http://schemas.openxmlformats.org/drawingml/2006/main" rot="10800000">
          <a:off x="50800" y="3234872"/>
          <a:ext cx="258536" cy="394607"/>
        </a:xfrm>
        <a:prstGeom xmlns:a="http://schemas.openxmlformats.org/drawingml/2006/main" prst="upArrow">
          <a:avLst/>
        </a:prstGeom>
        <a:gradFill xmlns:a="http://schemas.openxmlformats.org/drawingml/2006/main" flip="none" rotWithShape="1">
          <a:gsLst>
            <a:gs pos="59000">
              <a:schemeClr val="bg2">
                <a:lumMod val="90000"/>
              </a:schemeClr>
            </a:gs>
            <a:gs pos="41000">
              <a:schemeClr val="bg2">
                <a:lumMod val="88000"/>
              </a:schemeClr>
            </a:gs>
            <a:gs pos="0">
              <a:srgbClr val="F60000"/>
            </a:gs>
            <a:gs pos="100000">
              <a:srgbClr val="009A46"/>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r>
            <a:rPr lang="en-US" sz="1100"/>
            <a:t>K</a:t>
          </a:r>
          <a:endParaRPr lang="fa-IR" sz="1100"/>
        </a:p>
      </cdr:txBody>
    </cdr:sp>
  </cdr:relSizeAnchor>
</c:userShapes>
</file>

<file path=xl/drawings/drawing7.xml><?xml version="1.0" encoding="utf-8"?>
<c:userShapes xmlns:c="http://schemas.openxmlformats.org/drawingml/2006/chart">
  <cdr:relSizeAnchor xmlns:cdr="http://schemas.openxmlformats.org/drawingml/2006/chartDrawing">
    <cdr:from>
      <cdr:x>0.00912</cdr:x>
      <cdr:y>0.86573</cdr:y>
    </cdr:from>
    <cdr:to>
      <cdr:x>0.03943</cdr:x>
      <cdr:y>0.96749</cdr:y>
    </cdr:to>
    <cdr:sp macro="" textlink="">
      <cdr:nvSpPr>
        <cdr:cNvPr id="2" name="Arrow: Up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6144BB2-8720-F37E-84BE-6D1EC8F0E823}"/>
            </a:ext>
          </a:extLst>
        </cdr:cNvPr>
        <cdr:cNvSpPr/>
      </cdr:nvSpPr>
      <cdr:spPr>
        <a:xfrm xmlns:a="http://schemas.openxmlformats.org/drawingml/2006/main" rot="10800000">
          <a:off x="78338" y="3357336"/>
          <a:ext cx="260185" cy="394607"/>
        </a:xfrm>
        <a:prstGeom xmlns:a="http://schemas.openxmlformats.org/drawingml/2006/main" prst="upArrow">
          <a:avLst/>
        </a:prstGeom>
        <a:gradFill xmlns:a="http://schemas.openxmlformats.org/drawingml/2006/main" flip="none" rotWithShape="1">
          <a:gsLst>
            <a:gs pos="59000">
              <a:schemeClr val="bg2">
                <a:lumMod val="90000"/>
              </a:schemeClr>
            </a:gs>
            <a:gs pos="41000">
              <a:schemeClr val="bg2">
                <a:lumMod val="88000"/>
              </a:schemeClr>
            </a:gs>
            <a:gs pos="0">
              <a:srgbClr val="F60000"/>
            </a:gs>
            <a:gs pos="100000">
              <a:srgbClr val="009A46"/>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endParaRPr lang="fa-IR" sz="1100"/>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13999</xdr:colOff>
      <xdr:row>6</xdr:row>
      <xdr:rowOff>55667</xdr:rowOff>
    </xdr:from>
    <xdr:to>
      <xdr:col>1</xdr:col>
      <xdr:colOff>7761515</xdr:colOff>
      <xdr:row>6</xdr:row>
      <xdr:rowOff>3429001</xdr:rowOff>
    </xdr:to>
    <xdr:graphicFrame macro="">
      <xdr:nvGraphicFramePr>
        <xdr:cNvPr id="3" name="Chart 2">
          <a:extLst>
            <a:ext uri="{FF2B5EF4-FFF2-40B4-BE49-F238E27FC236}">
              <a16:creationId xmlns:a16="http://schemas.microsoft.com/office/drawing/2014/main" id="{8C32F953-273D-42FC-B917-D093EAA8B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41708</xdr:colOff>
      <xdr:row>4</xdr:row>
      <xdr:rowOff>72769</xdr:rowOff>
    </xdr:from>
    <xdr:to>
      <xdr:col>1</xdr:col>
      <xdr:colOff>2854308</xdr:colOff>
      <xdr:row>4</xdr:row>
      <xdr:rowOff>1413942</xdr:rowOff>
    </xdr:to>
    <mc:AlternateContent xmlns:mc="http://schemas.openxmlformats.org/markup-compatibility/2006" xmlns:a14="http://schemas.microsoft.com/office/drawing/2010/main">
      <mc:Choice Requires="a14">
        <xdr:graphicFrame macro="">
          <xdr:nvGraphicFramePr>
            <xdr:cNvPr id="4" name="دستگاه 1">
              <a:extLst>
                <a:ext uri="{FF2B5EF4-FFF2-40B4-BE49-F238E27FC236}">
                  <a16:creationId xmlns:a16="http://schemas.microsoft.com/office/drawing/2014/main" id="{6D73F1F8-31D2-4131-ABED-CF32DA6AD422}"/>
                </a:ext>
              </a:extLst>
            </xdr:cNvPr>
            <xdr:cNvGraphicFramePr/>
          </xdr:nvGraphicFramePr>
          <xdr:xfrm>
            <a:off x="0" y="0"/>
            <a:ext cx="0" cy="0"/>
          </xdr:xfrm>
          <a:graphic>
            <a:graphicData uri="http://schemas.microsoft.com/office/drawing/2010/slicer">
              <sle:slicer xmlns:sle="http://schemas.microsoft.com/office/drawing/2010/slicer" name="دستگاه 1"/>
            </a:graphicData>
          </a:graphic>
        </xdr:graphicFrame>
      </mc:Choice>
      <mc:Fallback xmlns="">
        <xdr:sp macro="" textlink="">
          <xdr:nvSpPr>
            <xdr:cNvPr id="0" name=""/>
            <xdr:cNvSpPr>
              <a:spLocks noTextEdit="1"/>
            </xdr:cNvSpPr>
          </xdr:nvSpPr>
          <xdr:spPr>
            <a:xfrm>
              <a:off x="11353249011" y="2479996"/>
              <a:ext cx="10657736" cy="1341173"/>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2920890</xdr:colOff>
      <xdr:row>4</xdr:row>
      <xdr:rowOff>59167</xdr:rowOff>
    </xdr:from>
    <xdr:to>
      <xdr:col>1</xdr:col>
      <xdr:colOff>7761515</xdr:colOff>
      <xdr:row>4</xdr:row>
      <xdr:rowOff>1413942</xdr:rowOff>
    </xdr:to>
    <mc:AlternateContent xmlns:mc="http://schemas.openxmlformats.org/markup-compatibility/2006" xmlns:a14="http://schemas.microsoft.com/office/drawing/2010/main">
      <mc:Choice Requires="a14">
        <xdr:graphicFrame macro="">
          <xdr:nvGraphicFramePr>
            <xdr:cNvPr id="5" name="کد 1">
              <a:extLst>
                <a:ext uri="{FF2B5EF4-FFF2-40B4-BE49-F238E27FC236}">
                  <a16:creationId xmlns:a16="http://schemas.microsoft.com/office/drawing/2014/main" id="{97FC226D-868E-47FB-AFD2-9D6FB374D2E7}"/>
                </a:ext>
              </a:extLst>
            </xdr:cNvPr>
            <xdr:cNvGraphicFramePr/>
          </xdr:nvGraphicFramePr>
          <xdr:xfrm>
            <a:off x="0" y="0"/>
            <a:ext cx="0" cy="0"/>
          </xdr:xfrm>
          <a:graphic>
            <a:graphicData uri="http://schemas.microsoft.com/office/drawing/2010/slicer">
              <sle:slicer xmlns:sle="http://schemas.microsoft.com/office/drawing/2010/slicer" name="کد 1"/>
            </a:graphicData>
          </a:graphic>
        </xdr:graphicFrame>
      </mc:Choice>
      <mc:Fallback xmlns="">
        <xdr:sp macro="" textlink="">
          <xdr:nvSpPr>
            <xdr:cNvPr id="0" name=""/>
            <xdr:cNvSpPr>
              <a:spLocks noTextEdit="1"/>
            </xdr:cNvSpPr>
          </xdr:nvSpPr>
          <xdr:spPr>
            <a:xfrm>
              <a:off x="11348341804" y="2466394"/>
              <a:ext cx="4840625" cy="1354775"/>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54429</xdr:colOff>
      <xdr:row>6</xdr:row>
      <xdr:rowOff>41812</xdr:rowOff>
    </xdr:from>
    <xdr:to>
      <xdr:col>0</xdr:col>
      <xdr:colOff>8679679</xdr:colOff>
      <xdr:row>6</xdr:row>
      <xdr:rowOff>3415146</xdr:rowOff>
    </xdr:to>
    <xdr:graphicFrame macro="">
      <xdr:nvGraphicFramePr>
        <xdr:cNvPr id="6" name="Chart 5">
          <a:extLst>
            <a:ext uri="{FF2B5EF4-FFF2-40B4-BE49-F238E27FC236}">
              <a16:creationId xmlns:a16="http://schemas.microsoft.com/office/drawing/2014/main" id="{9D6E16BD-DCE8-42B4-8225-216253C65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69273</xdr:colOff>
      <xdr:row>5</xdr:row>
      <xdr:rowOff>27710</xdr:rowOff>
    </xdr:from>
    <xdr:to>
      <xdr:col>1</xdr:col>
      <xdr:colOff>7761515</xdr:colOff>
      <xdr:row>5</xdr:row>
      <xdr:rowOff>3103418</xdr:rowOff>
    </xdr:to>
    <xdr:graphicFrame macro="">
      <xdr:nvGraphicFramePr>
        <xdr:cNvPr id="9" name="Chart 8">
          <a:extLst>
            <a:ext uri="{FF2B5EF4-FFF2-40B4-BE49-F238E27FC236}">
              <a16:creationId xmlns:a16="http://schemas.microsoft.com/office/drawing/2014/main" id="{25C49DAF-5823-4B15-B4E8-164F777F4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51955</xdr:colOff>
      <xdr:row>2</xdr:row>
      <xdr:rowOff>1</xdr:rowOff>
    </xdr:from>
    <xdr:ext cx="13646726" cy="952500"/>
    <mc:AlternateContent xmlns:mc="http://schemas.openxmlformats.org/markup-compatibility/2006" xmlns:a14="http://schemas.microsoft.com/office/drawing/2010/main">
      <mc:Choice Requires="a14">
        <xdr:graphicFrame macro="">
          <xdr:nvGraphicFramePr>
            <xdr:cNvPr id="12" name="سالن 1">
              <a:extLst>
                <a:ext uri="{FF2B5EF4-FFF2-40B4-BE49-F238E27FC236}">
                  <a16:creationId xmlns:a16="http://schemas.microsoft.com/office/drawing/2014/main" id="{AAC456FF-E791-41A3-AFFF-9448C086CD25}"/>
                </a:ext>
              </a:extLst>
            </xdr:cNvPr>
            <xdr:cNvGraphicFramePr/>
          </xdr:nvGraphicFramePr>
          <xdr:xfrm>
            <a:off x="0" y="0"/>
            <a:ext cx="0" cy="0"/>
          </xdr:xfrm>
          <a:graphic>
            <a:graphicData uri="http://schemas.microsoft.com/office/drawing/2010/slicer">
              <sle:slicer xmlns:sle="http://schemas.microsoft.com/office/drawing/2010/slicer" name="سالن 1"/>
            </a:graphicData>
          </a:graphic>
        </xdr:graphicFrame>
      </mc:Choice>
      <mc:Fallback xmlns="">
        <xdr:sp macro="" textlink="">
          <xdr:nvSpPr>
            <xdr:cNvPr id="0" name=""/>
            <xdr:cNvSpPr>
              <a:spLocks noTextEdit="1"/>
            </xdr:cNvSpPr>
          </xdr:nvSpPr>
          <xdr:spPr>
            <a:xfrm>
              <a:off x="11348327455" y="467592"/>
              <a:ext cx="15569045" cy="952500"/>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3</xdr:row>
      <xdr:rowOff>9525</xdr:rowOff>
    </xdr:from>
    <xdr:ext cx="5456465" cy="987507"/>
    <mc:AlternateContent xmlns:mc="http://schemas.openxmlformats.org/markup-compatibility/2006" xmlns:a14="http://schemas.microsoft.com/office/drawing/2010/main">
      <mc:Choice Requires="a14">
        <xdr:graphicFrame macro="">
          <xdr:nvGraphicFramePr>
            <xdr:cNvPr id="18" name="سال توقف 1">
              <a:extLst>
                <a:ext uri="{FF2B5EF4-FFF2-40B4-BE49-F238E27FC236}">
                  <a16:creationId xmlns:a16="http://schemas.microsoft.com/office/drawing/2014/main" id="{154E4CB8-83AC-483D-8010-E222C8D5419E}"/>
                </a:ext>
              </a:extLst>
            </xdr:cNvPr>
            <xdr:cNvGraphicFramePr/>
          </xdr:nvGraphicFramePr>
          <xdr:xfrm>
            <a:off x="0" y="0"/>
            <a:ext cx="0" cy="0"/>
          </xdr:xfrm>
          <a:graphic>
            <a:graphicData uri="http://schemas.microsoft.com/office/drawing/2010/slicer">
              <sle:slicer xmlns:sle="http://schemas.microsoft.com/office/drawing/2010/slicer" name="سال توقف 1"/>
            </a:graphicData>
          </a:graphic>
        </xdr:graphicFrame>
      </mc:Choice>
      <mc:Fallback xmlns="">
        <xdr:sp macro="" textlink="">
          <xdr:nvSpPr>
            <xdr:cNvPr id="0" name=""/>
            <xdr:cNvSpPr>
              <a:spLocks noTextEdit="1"/>
            </xdr:cNvSpPr>
          </xdr:nvSpPr>
          <xdr:spPr>
            <a:xfrm>
              <a:off x="11358491990" y="1446934"/>
              <a:ext cx="5456465" cy="987507"/>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5520417</xdr:colOff>
      <xdr:row>3</xdr:row>
      <xdr:rowOff>9525</xdr:rowOff>
    </xdr:from>
    <xdr:ext cx="4576082" cy="987507"/>
    <mc:AlternateContent xmlns:mc="http://schemas.openxmlformats.org/markup-compatibility/2006" xmlns:a14="http://schemas.microsoft.com/office/drawing/2010/main">
      <mc:Choice Requires="a14">
        <xdr:graphicFrame macro="">
          <xdr:nvGraphicFramePr>
            <xdr:cNvPr id="19" name="فصل توقف 4">
              <a:extLst>
                <a:ext uri="{FF2B5EF4-FFF2-40B4-BE49-F238E27FC236}">
                  <a16:creationId xmlns:a16="http://schemas.microsoft.com/office/drawing/2014/main" id="{1E16532B-EAAF-44CD-81A0-CB3C02453C4A}"/>
                </a:ext>
              </a:extLst>
            </xdr:cNvPr>
            <xdr:cNvGraphicFramePr/>
          </xdr:nvGraphicFramePr>
          <xdr:xfrm>
            <a:off x="0" y="0"/>
            <a:ext cx="0" cy="0"/>
          </xdr:xfrm>
          <a:graphic>
            <a:graphicData uri="http://schemas.microsoft.com/office/drawing/2010/slicer">
              <sle:slicer xmlns:sle="http://schemas.microsoft.com/office/drawing/2010/slicer" name="فصل توقف 4"/>
            </a:graphicData>
          </a:graphic>
        </xdr:graphicFrame>
      </mc:Choice>
      <mc:Fallback xmlns="">
        <xdr:sp macro="" textlink="">
          <xdr:nvSpPr>
            <xdr:cNvPr id="0" name=""/>
            <xdr:cNvSpPr>
              <a:spLocks noTextEdit="1"/>
            </xdr:cNvSpPr>
          </xdr:nvSpPr>
          <xdr:spPr>
            <a:xfrm>
              <a:off x="11353851956" y="1446934"/>
              <a:ext cx="4576082" cy="987507"/>
            </a:xfrm>
            <a:prstGeom prst="rect">
              <a:avLst/>
            </a:prstGeom>
            <a:solidFill>
              <a:prstClr val="white"/>
            </a:solidFill>
            <a:ln w="1">
              <a:solidFill>
                <a:prstClr val="green"/>
              </a:solidFill>
            </a:ln>
          </xdr:spPr>
          <xdr:txBody>
            <a:bodyPr vertOverflow="clip" horzOverflow="clip"/>
            <a:lstStyle/>
            <a:p>
              <a:r>
                <a:rPr lang="fa-I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3271156</xdr:colOff>
      <xdr:row>3</xdr:row>
      <xdr:rowOff>34636</xdr:rowOff>
    </xdr:from>
    <xdr:ext cx="4504707" cy="987507"/>
    <mc:AlternateContent xmlns:mc="http://schemas.openxmlformats.org/markup-compatibility/2006" xmlns:a14="http://schemas.microsoft.com/office/drawing/2010/main">
      <mc:Choice Requires="a14">
        <xdr:graphicFrame macro="">
          <xdr:nvGraphicFramePr>
            <xdr:cNvPr id="20" name="ماه توقف 4">
              <a:extLst>
                <a:ext uri="{FF2B5EF4-FFF2-40B4-BE49-F238E27FC236}">
                  <a16:creationId xmlns:a16="http://schemas.microsoft.com/office/drawing/2014/main" id="{2EB194D6-A9DB-4223-A2DE-D42890F28B2D}"/>
                </a:ext>
              </a:extLst>
            </xdr:cNvPr>
            <xdr:cNvGraphicFramePr/>
          </xdr:nvGraphicFramePr>
          <xdr:xfrm>
            <a:off x="0" y="0"/>
            <a:ext cx="0" cy="0"/>
          </xdr:xfrm>
          <a:graphic>
            <a:graphicData uri="http://schemas.microsoft.com/office/drawing/2010/slicer">
              <sle:slicer xmlns:sle="http://schemas.microsoft.com/office/drawing/2010/slicer" name="ماه توقف 4"/>
            </a:graphicData>
          </a:graphic>
        </xdr:graphicFrame>
      </mc:Choice>
      <mc:Fallback xmlns="">
        <xdr:sp macro="" textlink="">
          <xdr:nvSpPr>
            <xdr:cNvPr id="0" name=""/>
            <xdr:cNvSpPr>
              <a:spLocks noTextEdit="1"/>
            </xdr:cNvSpPr>
          </xdr:nvSpPr>
          <xdr:spPr>
            <a:xfrm>
              <a:off x="9929743228" y="1489363"/>
              <a:ext cx="4504707" cy="987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9.xml><?xml version="1.0" encoding="utf-8"?>
<c:userShapes xmlns:c="http://schemas.openxmlformats.org/drawingml/2006/chart">
  <cdr:relSizeAnchor xmlns:cdr="http://schemas.openxmlformats.org/drawingml/2006/chartDrawing">
    <cdr:from>
      <cdr:x>0.00589</cdr:x>
      <cdr:y>0.84198</cdr:y>
    </cdr:from>
    <cdr:to>
      <cdr:x>0.03586</cdr:x>
      <cdr:y>0.95895</cdr:y>
    </cdr:to>
    <cdr:sp macro="" textlink="">
      <cdr:nvSpPr>
        <cdr:cNvPr id="2" name="Arrow: Up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9E3787-C4D9-F4B8-A66F-37E9CE3365E8}"/>
            </a:ext>
          </a:extLst>
        </cdr:cNvPr>
        <cdr:cNvSpPr/>
      </cdr:nvSpPr>
      <cdr:spPr>
        <a:xfrm xmlns:a="http://schemas.openxmlformats.org/drawingml/2006/main" rot="10800000">
          <a:off x="50800" y="2840264"/>
          <a:ext cx="258536" cy="394607"/>
        </a:xfrm>
        <a:prstGeom xmlns:a="http://schemas.openxmlformats.org/drawingml/2006/main" prst="upArrow">
          <a:avLst/>
        </a:prstGeom>
        <a:gradFill xmlns:a="http://schemas.openxmlformats.org/drawingml/2006/main" flip="none" rotWithShape="1">
          <a:gsLst>
            <a:gs pos="59000">
              <a:schemeClr val="bg2">
                <a:lumMod val="90000"/>
              </a:schemeClr>
            </a:gs>
            <a:gs pos="41000">
              <a:schemeClr val="bg2">
                <a:lumMod val="88000"/>
              </a:schemeClr>
            </a:gs>
            <a:gs pos="0">
              <a:srgbClr val="F60000"/>
            </a:gs>
            <a:gs pos="100000">
              <a:srgbClr val="009A46"/>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endParaRPr lang="fa-IR" sz="1100"/>
        </a:p>
      </cdr:txBody>
    </cdr:sp>
  </cdr:relSizeAnchor>
</c:userShapes>
</file>

<file path=xl/drawings/drawing10.xml><?xml version="1.0" encoding="utf-8"?>
<c:userShapes xmlns:c="http://schemas.openxmlformats.org/drawingml/2006/chart">
  <cdr:relSizeAnchor xmlns:cdr="http://schemas.openxmlformats.org/drawingml/2006/chartDrawing">
    <cdr:from>
      <cdr:x>0.00589</cdr:x>
      <cdr:y>0.85004</cdr:y>
    </cdr:from>
    <cdr:to>
      <cdr:x>0.03586</cdr:x>
      <cdr:y>0.96702</cdr:y>
    </cdr:to>
    <cdr:sp macro="" textlink="">
      <cdr:nvSpPr>
        <cdr:cNvPr id="2" name="Arrow: Up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9E3787-C4D9-F4B8-A66F-37E9CE3365E8}"/>
            </a:ext>
          </a:extLst>
        </cdr:cNvPr>
        <cdr:cNvSpPr/>
      </cdr:nvSpPr>
      <cdr:spPr>
        <a:xfrm xmlns:a="http://schemas.openxmlformats.org/drawingml/2006/main">
          <a:off x="50800" y="2867479"/>
          <a:ext cx="258536" cy="394607"/>
        </a:xfrm>
        <a:prstGeom xmlns:a="http://schemas.openxmlformats.org/drawingml/2006/main" prst="upArrow">
          <a:avLst/>
        </a:prstGeom>
        <a:gradFill xmlns:a="http://schemas.openxmlformats.org/drawingml/2006/main" flip="none" rotWithShape="1">
          <a:gsLst>
            <a:gs pos="59000">
              <a:schemeClr val="bg2">
                <a:lumMod val="90000"/>
              </a:schemeClr>
            </a:gs>
            <a:gs pos="41000">
              <a:schemeClr val="bg2">
                <a:lumMod val="88000"/>
              </a:schemeClr>
            </a:gs>
            <a:gs pos="0">
              <a:srgbClr val="F60000"/>
            </a:gs>
            <a:gs pos="100000">
              <a:srgbClr val="009A46"/>
            </a:gs>
          </a:gsLst>
          <a:lin ang="16200000" scaled="1"/>
          <a:tileRect/>
        </a:gra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endParaRPr lang="fa-IR" sz="1100"/>
        </a:p>
      </cdr:txBody>
    </cdr:sp>
  </cdr:relSizeAnchor>
</c:userShapes>
</file>

<file path=xl/drawings/drawing11.xml><?xml version="1.0" encoding="utf-8"?>
<c:userShapes xmlns:c="http://schemas.openxmlformats.org/drawingml/2006/chart">
  <cdr:relSizeAnchor xmlns:cdr="http://schemas.openxmlformats.org/drawingml/2006/chartDrawing">
    <cdr:from>
      <cdr:x>0.00608</cdr:x>
      <cdr:y>0.86151</cdr:y>
    </cdr:from>
    <cdr:to>
      <cdr:x>0.0218</cdr:x>
      <cdr:y>0.93779</cdr:y>
    </cdr:to>
    <cdr:sp macro="" textlink="">
      <cdr:nvSpPr>
        <cdr:cNvPr id="3" name="Isosceles Triangle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0FFA562-3C23-8FC8-53E1-E12077277621}"/>
            </a:ext>
          </a:extLst>
        </cdr:cNvPr>
        <cdr:cNvSpPr/>
      </cdr:nvSpPr>
      <cdr:spPr>
        <a:xfrm xmlns:a="http://schemas.openxmlformats.org/drawingml/2006/main">
          <a:off x="105229" y="2649764"/>
          <a:ext cx="272143" cy="234606"/>
        </a:xfrm>
        <a:prstGeom xmlns:a="http://schemas.openxmlformats.org/drawingml/2006/main" prst="triangle">
          <a:avLst/>
        </a:prstGeom>
        <a:solidFill xmlns:a="http://schemas.openxmlformats.org/drawingml/2006/main">
          <a:schemeClr val="accent1"/>
        </a:soli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1"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rtl="1"/>
          <a:endParaRPr lang="fa-IR" sz="1100"/>
        </a:p>
      </cdr:txBody>
    </cdr:sp>
  </cdr:relSizeAnchor>
</c:userShapes>
</file>

<file path=xl/drawings/drawing12.xml><?xml version="1.0" encoding="utf-8"?>
<xdr:wsDr xmlns:xdr="http://schemas.openxmlformats.org/drawingml/2006/spreadsheetDrawing" xmlns:a="http://schemas.openxmlformats.org/drawingml/2006/main">
  <xdr:twoCellAnchor>
    <xdr:from>
      <xdr:col>7</xdr:col>
      <xdr:colOff>266700</xdr:colOff>
      <xdr:row>12</xdr:row>
      <xdr:rowOff>38100</xdr:rowOff>
    </xdr:from>
    <xdr:to>
      <xdr:col>14</xdr:col>
      <xdr:colOff>38100</xdr:colOff>
      <xdr:row>27</xdr:row>
      <xdr:rowOff>66675</xdr:rowOff>
    </xdr:to>
    <xdr:graphicFrame macro="">
      <xdr:nvGraphicFramePr>
        <xdr:cNvPr id="2" name="Chart 1">
          <a:extLst>
            <a:ext uri="{FF2B5EF4-FFF2-40B4-BE49-F238E27FC236}">
              <a16:creationId xmlns:a16="http://schemas.microsoft.com/office/drawing/2014/main" id="{649A4C1D-8734-ED69-EFFF-BE1FA8E39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ssein Karjoo" refreshedDate="46059.700935532404" createdVersion="8" refreshedVersion="8" minRefreshableVersion="3" recordCount="290" xr:uid="{00000000-000A-0000-FFFF-FFFF00000000}">
  <cacheSource type="worksheet">
    <worksheetSource name="Table1"/>
  </cacheSource>
  <cacheFields count="32">
    <cacheField name="ردیف" numFmtId="0">
      <sharedItems containsString="0" containsBlank="1" containsNumber="1" containsInteger="1" minValue="1" maxValue="282"/>
    </cacheField>
    <cacheField name="سالن" numFmtId="0">
      <sharedItems containsBlank="1" count="12">
        <s v=" سالن تولید رول کاغذ حرارتی"/>
        <s v="   سالن  تولید تجهیزات الکترونیکی"/>
        <s v="زیر ساخت"/>
        <s v="  سالن تولید بردهای الکترونیکی"/>
        <s v="سالن تزریق پلاستیک"/>
        <m u="1"/>
        <s v="  سالن مونتاژ بردهای الکترونیکی" u="1"/>
        <s v="  سالن تولید قطعات پلاستیکی" u="1"/>
        <s v=" سالن رول کاغذ حرارتی" u="1"/>
        <s v=" سالن رول کاغذ حرارتی " u="1"/>
        <s v=" سالن تولید قطعات پلاستیکی" u="1"/>
        <s v="تولید برد الکترونیک" u="1"/>
      </sharedItems>
    </cacheField>
    <cacheField name="دستگاه" numFmtId="0">
      <sharedItems containsBlank="1" count="113">
        <s v="ماشین برش 1"/>
        <s v="چسب زن AMP 8200"/>
        <s v="سیستم گردش آب سالن تزریق "/>
        <s v=" شرینک 2"/>
        <s v=" شرینک 1"/>
        <s v="ماشین برش 4"/>
        <s v="ماشین چاپ 2 (فلکسوگرافی)"/>
        <s v="ماشین برش 2"/>
        <s v="ماشین برش 3"/>
        <s v="دستگاه نیتروژن ساز"/>
        <s v="ماشین لحیم کاری هوای داغ"/>
        <s v="ماشین تعویض سینی قطعات"/>
        <s v="چاپگر چسب/خمیر قلع"/>
        <s v="ماشین قطعه گذاری2"/>
        <s v="ماشین قطعه گذاری1"/>
        <s v="لحیم کاری هوا(کوره)"/>
        <s v="رویه قالب 9200"/>
        <s v="مغزی پرکن2"/>
        <s v="قالب کفی 9200"/>
        <s v="کانوایرخط 1/1"/>
        <s v="دستگاه مغزی پر کن2"/>
        <s v="کانوایرخط 5/1"/>
        <s v="دستگاه تزریق پلاستیک3"/>
        <s v="شیرینک4"/>
        <s v="دستگاه چاپ 2"/>
        <s v="کانوایر 18متری"/>
        <s v="  اتاق برق فشار ضعیف محوطه "/>
        <s v="کانوایرخط 1/2 "/>
        <s v="دستگاه شیرینک 2"/>
        <s v="کانوایر"/>
        <s v="خط انتقال/نوار نقاله تفکیک معیوبی"/>
        <s v="خط انتقال/نوار نقاله تفکیک معیوبی "/>
        <s v="قالب سردریچه"/>
        <s v="لحیم کاری هوا (Oven) "/>
        <s v="Pick&amp;Place CP45"/>
        <s v="چیلر خنک کننده قالب تزریق پلاستیک"/>
        <s v="سرور"/>
        <s v="ماشین بازرسی اتوماتیک  برد"/>
        <s v="دستگاه مغزی پر کن3"/>
        <s v="چیلر- مدلEK230B1"/>
        <s v="قالب TOP modem ONT"/>
        <s v="دستگاه مغزی پر کن4"/>
        <s v="دستگاه پرینتر "/>
        <s v=" شرینک3"/>
        <s v="قالب رویه مودم ONT"/>
        <s v="دستگاه قطعه گذاری  CP45 -10A"/>
        <s v="ماشین قطعه گذاری3 NXTIII"/>
        <s v="ماشین برش3"/>
        <s v="ماشین برش4"/>
        <s v="دستگاه شرینگ2"/>
        <s v="دستگاه شرینک 1 "/>
        <s v="تابلوبرق ایستاده  1"/>
        <s v="ماشین  برش4"/>
        <s v="ماشین برش2"/>
        <s v="جوش موجی "/>
        <s v="دستگاه چاپ تامپو 6bar/pp-1899 "/>
        <s v="دستگاه قطعه گذاری "/>
        <s v="دستگاه قطعه گذاری"/>
        <s v="قالب درب پرینتر 9200"/>
        <s v="دستگاه برش 4"/>
        <s v="دستگاه شرینک 2 "/>
        <s v="قالب btm cat4"/>
        <s v="قالب btm cat5"/>
        <s v="دستگاه تزریق پلاستیک1 "/>
        <s v="قالب TOP cat4"/>
        <s v="کمپرسور هوا"/>
        <m u="1"/>
        <s v="دستگاه تزریق پلاستیک4 " u="1"/>
        <s v="دستگاه تزریق پلاستیک1" u="1"/>
        <s v="دستگاه تزریق پلاستیک 4" u="1"/>
        <s v="دستگاه تزریق پلاستیک3 " u="1"/>
        <s v="دستگاه تزریق پلاستیک2 " u="1"/>
        <s v="دستگاه تزریق پلاستیک5" u="1"/>
        <s v="اینسرت جای بند کفی 9200" u="1"/>
        <s v="دستگاه تزریق پلاستیک4" u="1"/>
        <s v="شرینک 1" u="1"/>
        <s v="شیرینک1" u="1"/>
        <s v="شیرینک 1" u="1"/>
        <s v="شرینک" u="1"/>
        <s v="شرینگ2" u="1"/>
        <s v="دستگاه شرینگ ۱" u="1"/>
        <s v="دستگاه مغزی پر کن" u="1"/>
        <s v="ماشین شرینک 1" u="1"/>
        <s v="دستگاه تزریق پلاستیک3 - 39.5KW" u="1"/>
        <s v="Glue injector AMP 8200" u="1"/>
        <s v="Injection Moulding Machine 4" u="1"/>
        <s v="Shrink2" u="1"/>
        <s v="Shrink1" u="1"/>
        <s v="Vision Screen Printer" u="1"/>
        <s v="Tray Changer" u="1"/>
        <s v="(Flexographic) Printing Machine2" u="1"/>
        <s v="Injection Moulding Machine 1" u="1"/>
        <s v="Injection Moulding Machine 3" u="1"/>
        <s v="Magazine Loader" u="1"/>
        <s v="Peak&amp;Place Machine 1" u="1"/>
        <s v="Peak&amp;Place Machine 2" u="1"/>
        <s v="Reject Conveyor" u="1"/>
        <s v="Peak&amp;Place Machine3" u="1"/>
        <s v="Nitrogen Reflow Oven" u="1"/>
        <s v="NITROGEN GENERATOR" u="1"/>
        <s v="Solder Inspection Equipment" u="1"/>
        <s v="Magazine Unloader" u="1"/>
        <s v="Reel Loader" u="1"/>
        <s v="Conveyer" u="1"/>
        <s v="Solder Paste Inspection Machine" u="1"/>
        <s v="Conveyor" u="1"/>
        <s v="Convoyer" u="1"/>
        <s v="Automated Optical Inspection (AOI)" u="1"/>
        <s v="Inspection Conveyor" u="1"/>
        <s v="لودر" u="1"/>
        <s v="دریل" u="1"/>
        <s v="روشنایی" u="1"/>
        <s v="p&amp;p" u="1"/>
      </sharedItems>
    </cacheField>
    <cacheField name="توضیح دستگاه" numFmtId="0">
      <sharedItems containsBlank="1"/>
    </cacheField>
    <cacheField name="کد" numFmtId="0">
      <sharedItems containsBlank="1" count="74">
        <s v="TR-CM-01"/>
        <s v="EDP-GI-02"/>
        <s v="SS-WC-01"/>
        <s v="TR-SH-02"/>
        <s v="TR-SH-01"/>
        <s v="TR-CM-04"/>
        <s v="TR-PM-02"/>
        <s v="TR-CM-02"/>
        <s v="TR-CM-03"/>
        <s v="AB-NG-01"/>
        <s v="AB-NO-01"/>
        <s v="AB-TC-01"/>
        <s v="AB-TC-02"/>
        <s v="EDP-SH-01"/>
        <s v="AB-VSP-01"/>
        <s v="AB-PP-03"/>
        <s v="AB-PP-04"/>
        <s v="AB-AS-01"/>
        <s v="AB-PP-05"/>
        <s v="X2"/>
        <s v="X3"/>
        <m/>
        <s v="X5"/>
        <s v="EDP-CL-09"/>
        <s v="PP-IM-03"/>
        <s v="PP-IS-01"/>
        <s v="TR-SH-04"/>
        <s v="TR-CV-01"/>
        <s v="LE-SE-01"/>
        <s v="EDP-CL-02"/>
        <s v="AB-IC-01"/>
        <s v="AB-RC-02"/>
        <s v="AB-RC-01"/>
        <s v="PP-DF-01"/>
        <s v="TR-CN-01"/>
        <s v="AB-PP-01"/>
        <s v="SS-CL-01"/>
        <s v="AB-SV-01"/>
        <s v="AB-AOI-01"/>
        <s v="PP-IM-04"/>
        <s v="TR-SH-03"/>
        <s v="EDP-SH-02"/>
        <s v="PP-M0-01"/>
        <s v="EDP-SH-03"/>
        <s v="PP-EP-01"/>
        <s v="TR-BF-03"/>
        <s v="TH-WS-01"/>
        <s v="PP-TP-01"/>
        <s v="PP-PD-01"/>
        <s v="PP-IS-08"/>
        <s v="PP-IM-01"/>
        <s v="PP-IS-10"/>
        <s v="TR-AC-02"/>
        <s v="TR-BF-02"/>
        <s v="X4" u="1"/>
        <s v="PP-IM-05" u="1"/>
        <s v="x1" u="1"/>
        <s v="X6" u="1"/>
        <s v="AB-ML-01" u="1"/>
        <s v="AB-SI-01" u="1"/>
        <s v="AB-MU-01" u="1"/>
        <s v="AB-RL-01" u="1"/>
        <s v="AB-CN-02" u="1"/>
        <s v="AB-IM-01" u="1"/>
        <s v="AB-CN-03" u="1"/>
        <s v="AB-CN-04" u="1"/>
        <s v="AB-CN-05" u="1"/>
        <s v="g10" u="1"/>
        <s v="g11" u="1"/>
        <s v="j15" u="1"/>
        <s v="D11" u="1"/>
        <s v="L11" u="1"/>
        <s v="S12" u="1"/>
        <s v="D12" u="1"/>
      </sharedItems>
    </cacheField>
    <cacheField name="نوع توقف" numFmtId="0">
      <sharedItems containsBlank="1" count="3">
        <s v="حین تولید"/>
        <s v="برنامه ریزی شده"/>
        <m u="1"/>
      </sharedItems>
    </cacheField>
    <cacheField name="تاریخ توقف" numFmtId="164">
      <sharedItems/>
    </cacheField>
    <cacheField name="زمان شروع توقف" numFmtId="20">
      <sharedItems containsSemiMixedTypes="0" containsNonDate="0" containsDate="1" containsString="0" minDate="1899-12-30T00:00:00" maxDate="1899-12-31T00:00:00"/>
    </cacheField>
    <cacheField name="سال توقف" numFmtId="166">
      <sharedItems containsBlank="1" count="4">
        <s v="1403"/>
        <s v="1404"/>
        <m/>
        <s v="" u="1"/>
      </sharedItems>
    </cacheField>
    <cacheField name="فصل توقف" numFmtId="166">
      <sharedItems containsBlank="1" count="6">
        <s v="تابستان"/>
        <s v="پاییز"/>
        <s v="زمستان"/>
        <s v="بهار"/>
        <m/>
        <e v="#N/A" u="1"/>
      </sharedItems>
    </cacheField>
    <cacheField name="ماه توقف" numFmtId="0">
      <sharedItems containsString="0" containsBlank="1" containsNumber="1" containsInteger="1" minValue="0" maxValue="12" count="14">
        <n v="5"/>
        <n v="7"/>
        <n v="8"/>
        <n v="9"/>
        <n v="10"/>
        <n v="11"/>
        <n v="12"/>
        <n v="1"/>
        <n v="2"/>
        <n v="3"/>
        <n v="4"/>
        <n v="6"/>
        <m/>
        <n v="0" u="1"/>
      </sharedItems>
    </cacheField>
    <cacheField name="روز توقف" numFmtId="0">
      <sharedItems containsBlank="1" count="35">
        <s v="01"/>
        <s v="17"/>
        <s v="08"/>
        <s v="10"/>
        <s v="16"/>
        <s v="18"/>
        <s v="04"/>
        <s v="05"/>
        <s v="14"/>
        <s v="19"/>
        <s v="26"/>
        <s v="29"/>
        <s v="30"/>
        <s v="03"/>
        <s v="09"/>
        <s v="24"/>
        <s v="27"/>
        <s v="07"/>
        <s v="11"/>
        <s v="12"/>
        <s v="15"/>
        <s v="20"/>
        <s v="22"/>
        <s v="25"/>
        <s v="21"/>
        <s v="31"/>
        <s v="02"/>
        <s v="06"/>
        <s v="13"/>
        <s v="23"/>
        <s v="28"/>
        <s v="/4"/>
        <s v="/5"/>
        <m/>
        <s v="" u="1"/>
      </sharedItems>
    </cacheField>
    <cacheField name="ساعت توقف2" numFmtId="0">
      <sharedItems containsString="0" containsBlank="1" containsNumber="1" containsInteger="1" minValue="0" maxValue="23"/>
    </cacheField>
    <cacheField name="دقیقه توقف" numFmtId="0">
      <sharedItems containsString="0" containsBlank="1" containsNumber="1" containsInteger="1" minValue="0" maxValue="59"/>
    </cacheField>
    <cacheField name="زمان توقف" numFmtId="0">
      <sharedItems containsString="0" containsBlank="1" containsNumber="1" minValue="737595360" maxValue="738405815"/>
    </cacheField>
    <cacheField name="تاریخ پایان توقف" numFmtId="164">
      <sharedItems/>
    </cacheField>
    <cacheField name="زمان پایان توقف" numFmtId="20">
      <sharedItems containsNonDate="0" containsDate="1" containsString="0" containsBlank="1" minDate="1899-12-30T00:16:00" maxDate="1899-12-30T23:52:00"/>
    </cacheField>
    <cacheField name="سال رفع توقف" numFmtId="0">
      <sharedItems containsBlank="1" count="4">
        <s v="1403"/>
        <s v="1404"/>
        <s v="" u="1"/>
        <m u="1"/>
      </sharedItems>
    </cacheField>
    <cacheField name="فصل رفع توقف" numFmtId="0">
      <sharedItems containsBlank="1" count="9">
        <s v="پاییز"/>
        <s v="زمستان"/>
        <s v="بهار"/>
        <s v="تابستان"/>
        <s v="در حال تعمیر" u="1"/>
        <s v="" u="1"/>
        <e v="#N/A" u="1"/>
        <e v="#VALUE!" u="1"/>
        <m u="1"/>
      </sharedItems>
    </cacheField>
    <cacheField name="ماه رفع توقف" numFmtId="0">
      <sharedItems containsSemiMixedTypes="0" containsString="0" containsNumber="1" containsInteger="1" minValue="0" maxValue="12" count="13">
        <n v="9"/>
        <n v="7"/>
        <n v="8"/>
        <n v="10"/>
        <n v="11"/>
        <n v="12"/>
        <n v="1"/>
        <n v="2"/>
        <n v="3"/>
        <n v="4"/>
        <n v="5"/>
        <n v="6"/>
        <n v="0" u="1"/>
      </sharedItems>
    </cacheField>
    <cacheField name="روز رفع توقف" numFmtId="0">
      <sharedItems/>
    </cacheField>
    <cacheField name="ساعت رفع توقف" numFmtId="0">
      <sharedItems containsSemiMixedTypes="0" containsString="0" containsNumber="1" containsInteger="1" minValue="0" maxValue="23"/>
    </cacheField>
    <cacheField name="دقیقه رفع توقف" numFmtId="0">
      <sharedItems containsSemiMixedTypes="0" containsString="0" containsNumber="1" containsInteger="1" minValue="0" maxValue="59"/>
    </cacheField>
    <cacheField name="زمان رفع توقف" numFmtId="0">
      <sharedItems containsSemiMixedTypes="0" containsString="0" containsNumber="1" containsInteger="1" minValue="737708440" maxValue="738407070"/>
    </cacheField>
    <cacheField name="شرح توقف" numFmtId="0">
      <sharedItems containsBlank="1"/>
    </cacheField>
    <cacheField name="TTR(mints)" numFmtId="2">
      <sharedItems containsSemiMixedTypes="0" containsString="0" containsNumber="1" minValue="0" maxValue="12306212.5"/>
    </cacheField>
    <cacheField name="مبنا MTTR" numFmtId="0">
      <sharedItems containsMixedTypes="1" containsNumber="1" containsInteger="1" minValue="24" maxValue="24"/>
    </cacheField>
    <cacheField name="هدف MTTR" numFmtId="0">
      <sharedItems containsMixedTypes="1" containsNumber="1" minValue="0.2" maxValue="0.2"/>
    </cacheField>
    <cacheField name="مبنا MTBF" numFmtId="0">
      <sharedItems containsString="0" containsBlank="1" containsNumber="1" containsInteger="1" minValue="360" maxValue="360"/>
    </cacheField>
    <cacheField name="هدف MTBF" numFmtId="0">
      <sharedItems containsMixedTypes="1" containsNumber="1" containsInteger="1" minValue="720" maxValue="720"/>
    </cacheField>
    <cacheField name="TBF(hours)" numFmtId="2">
      <sharedItems containsMixedTypes="1" containsNumber="1" minValue="0.11666666666666667" maxValue="6499.1333333333332"/>
    </cacheField>
    <cacheField name="زمان آخرین رفع توقف قبل از توقف فعلی" numFmtId="0">
      <sharedItems containsMixedTypes="1" containsNumber="1" containsInteger="1" minValue="737739187" maxValue="738403000"/>
    </cacheField>
  </cacheFields>
  <extLst>
    <ext xmlns:x14="http://schemas.microsoft.com/office/spreadsheetml/2009/9/main" uri="{725AE2AE-9491-48be-B2B4-4EB974FC3084}">
      <x14:pivotCacheDefinition pivotCacheId="1214876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
  <r>
    <n v="1"/>
    <x v="0"/>
    <x v="0"/>
    <s v="Cutting Machine1"/>
    <x v="0"/>
    <x v="0"/>
    <s v="1403/05/01"/>
    <d v="1899-12-30T00:00:00"/>
    <x v="0"/>
    <x v="0"/>
    <x v="0"/>
    <x v="0"/>
    <n v="0"/>
    <n v="0"/>
    <n v="737595360"/>
    <s v="1403/09/19"/>
    <d v="1899-12-30T19:05:00"/>
    <x v="0"/>
    <x v="0"/>
    <x v="0"/>
    <s v="19"/>
    <n v="19"/>
    <n v="5"/>
    <n v="737798105"/>
    <m/>
    <n v="3379.0833333333335"/>
    <n v="24"/>
    <n v="0.2"/>
    <n v="360"/>
    <n v="720"/>
    <s v=""/>
    <s v=""/>
  </r>
  <r>
    <n v="2"/>
    <x v="1"/>
    <x v="1"/>
    <s v="Glue injector AMP 8200"/>
    <x v="1"/>
    <x v="0"/>
    <s v="1403/07/17"/>
    <d v="1899-12-30T10:13:00"/>
    <x v="0"/>
    <x v="1"/>
    <x v="1"/>
    <x v="1"/>
    <n v="10"/>
    <n v="13"/>
    <n v="737708293"/>
    <s v="1403/07/17"/>
    <d v="1899-12-30T12:40:00"/>
    <x v="0"/>
    <x v="0"/>
    <x v="1"/>
    <s v="17"/>
    <n v="12"/>
    <n v="40"/>
    <n v="737708440"/>
    <s v="خرابی رله"/>
    <n v="2.4500000000000002"/>
    <n v="24"/>
    <n v="0.2"/>
    <n v="360"/>
    <n v="720"/>
    <s v=""/>
    <s v=""/>
  </r>
  <r>
    <n v="3"/>
    <x v="2"/>
    <x v="2"/>
    <m/>
    <x v="2"/>
    <x v="0"/>
    <s v="1403/08/08"/>
    <d v="1899-12-30T20:30:00"/>
    <x v="0"/>
    <x v="1"/>
    <x v="2"/>
    <x v="2"/>
    <n v="20"/>
    <n v="30"/>
    <n v="737739150"/>
    <s v="1403/08/08"/>
    <d v="1899-12-30T21:07:00"/>
    <x v="0"/>
    <x v="0"/>
    <x v="2"/>
    <s v="08"/>
    <n v="21"/>
    <n v="7"/>
    <n v="737739187"/>
    <s v="سوراخ شدن لوله گالوانیزه آب"/>
    <n v="0.6166666666666667"/>
    <n v="24"/>
    <n v="0.2"/>
    <n v="360"/>
    <n v="720"/>
    <s v=""/>
    <s v=""/>
  </r>
  <r>
    <n v="4"/>
    <x v="0"/>
    <x v="3"/>
    <s v="Shrink2"/>
    <x v="3"/>
    <x v="0"/>
    <s v="1403/08/10"/>
    <d v="1899-12-30T12:30:00"/>
    <x v="0"/>
    <x v="1"/>
    <x v="2"/>
    <x v="3"/>
    <n v="12"/>
    <n v="30"/>
    <n v="737741550"/>
    <s v="1403/08/12"/>
    <d v="1899-12-30T09:00:00"/>
    <x v="0"/>
    <x v="0"/>
    <x v="2"/>
    <s v="12"/>
    <n v="9"/>
    <n v="0"/>
    <n v="737744220"/>
    <s v="خرابی گیربکس موتور به دلیل کمبود روغن"/>
    <n v="44.5"/>
    <n v="24"/>
    <n v="0.2"/>
    <n v="360"/>
    <n v="720"/>
    <s v=""/>
    <s v=""/>
  </r>
  <r>
    <n v="5"/>
    <x v="0"/>
    <x v="4"/>
    <s v="Shrink1"/>
    <x v="4"/>
    <x v="0"/>
    <s v="1403/08/16"/>
    <d v="1899-12-30T17:39:00"/>
    <x v="0"/>
    <x v="1"/>
    <x v="2"/>
    <x v="4"/>
    <n v="17"/>
    <n v="39"/>
    <n v="737750499"/>
    <s v="1403/08/16"/>
    <d v="1899-12-30T17:40:00"/>
    <x v="0"/>
    <x v="0"/>
    <x v="2"/>
    <s v="16"/>
    <n v="17"/>
    <n v="40"/>
    <n v="737750500"/>
    <s v="خرابی گیربکس موتور به دلیل کمبود روغن"/>
    <n v="1.6666666666666666E-2"/>
    <n v="24"/>
    <n v="0.2"/>
    <n v="360"/>
    <n v="720"/>
    <s v=""/>
    <s v=""/>
  </r>
  <r>
    <n v="6"/>
    <x v="0"/>
    <x v="5"/>
    <s v="Cutting Machine4"/>
    <x v="5"/>
    <x v="1"/>
    <s v="1403/08/18"/>
    <d v="1899-12-30T09:00:00"/>
    <x v="0"/>
    <x v="1"/>
    <x v="2"/>
    <x v="5"/>
    <n v="9"/>
    <n v="0"/>
    <n v="737752860"/>
    <s v="1403/09/17"/>
    <d v="1899-12-30T17:53:00"/>
    <x v="0"/>
    <x v="0"/>
    <x v="0"/>
    <s v="17"/>
    <n v="17"/>
    <n v="53"/>
    <n v="737795153"/>
    <s v="استفاده از قطعه جهت دستگاهی دیگر"/>
    <n v="704.88333333333333"/>
    <n v="24"/>
    <n v="0.2"/>
    <n v="360"/>
    <n v="720"/>
    <s v=""/>
    <s v=""/>
  </r>
  <r>
    <n v="7"/>
    <x v="0"/>
    <x v="6"/>
    <s v="(Flexographic) Printing Machine2"/>
    <x v="6"/>
    <x v="0"/>
    <s v="1403/09/04"/>
    <d v="1899-12-30T13:45:00"/>
    <x v="0"/>
    <x v="1"/>
    <x v="3"/>
    <x v="6"/>
    <n v="13"/>
    <n v="45"/>
    <n v="737776185"/>
    <s v="1403/09/09"/>
    <d v="1899-12-30T15:00:00"/>
    <x v="0"/>
    <x v="0"/>
    <x v="0"/>
    <s v="09"/>
    <n v="15"/>
    <n v="0"/>
    <n v="737783460"/>
    <s v="شکستن شفت بادی"/>
    <n v="121.25"/>
    <n v="24"/>
    <n v="0.2"/>
    <n v="360"/>
    <n v="720"/>
    <s v=""/>
    <s v=""/>
  </r>
  <r>
    <n v="8"/>
    <x v="0"/>
    <x v="7"/>
    <s v="Cutting Machine2"/>
    <x v="7"/>
    <x v="0"/>
    <s v="1403/09/05"/>
    <d v="1899-12-30T08:00:00"/>
    <x v="0"/>
    <x v="1"/>
    <x v="3"/>
    <x v="7"/>
    <n v="8"/>
    <n v="0"/>
    <n v="737777280"/>
    <s v="1403/09/18"/>
    <d v="1899-12-30T13:48:00"/>
    <x v="0"/>
    <x v="0"/>
    <x v="0"/>
    <s v="18"/>
    <n v="13"/>
    <n v="48"/>
    <n v="737796348"/>
    <m/>
    <n v="317.8"/>
    <n v="24"/>
    <n v="0.2"/>
    <n v="360"/>
    <n v="720"/>
    <s v=""/>
    <s v=""/>
  </r>
  <r>
    <n v="12"/>
    <x v="0"/>
    <x v="8"/>
    <s v="Cutting Machine3"/>
    <x v="8"/>
    <x v="0"/>
    <s v="1403/09/14"/>
    <d v="1899-12-30T09:34:00"/>
    <x v="0"/>
    <x v="1"/>
    <x v="3"/>
    <x v="8"/>
    <n v="9"/>
    <n v="34"/>
    <n v="737790334"/>
    <s v="1403/09/17"/>
    <d v="1899-12-30T12:02:00"/>
    <x v="0"/>
    <x v="0"/>
    <x v="0"/>
    <s v="17"/>
    <n v="12"/>
    <n v="2"/>
    <n v="737794802"/>
    <s v="خرابی شفت ها فولی وچرخ دندها"/>
    <n v="74.466666666666669"/>
    <n v="24"/>
    <n v="0.2"/>
    <n v="360"/>
    <n v="720"/>
    <s v=""/>
    <s v=""/>
  </r>
  <r>
    <n v="13"/>
    <x v="3"/>
    <x v="9"/>
    <s v="NITROGEN GENERATOR"/>
    <x v="9"/>
    <x v="0"/>
    <s v="1403/09/14"/>
    <d v="1899-12-30T10:29:00"/>
    <x v="0"/>
    <x v="1"/>
    <x v="3"/>
    <x v="8"/>
    <n v="10"/>
    <n v="29"/>
    <n v="737790389"/>
    <s v="1403/09/14"/>
    <d v="1899-12-30T11:00:00"/>
    <x v="0"/>
    <x v="0"/>
    <x v="0"/>
    <s v="14"/>
    <n v="11"/>
    <n v="0"/>
    <n v="737790420"/>
    <s v="نامعلوم"/>
    <n v="0.51666666666666672"/>
    <n v="24"/>
    <n v="0.2"/>
    <n v="360"/>
    <n v="720"/>
    <s v=""/>
    <s v=""/>
  </r>
  <r>
    <n v="14"/>
    <x v="3"/>
    <x v="10"/>
    <s v="Nitrogen Reflow Oven"/>
    <x v="10"/>
    <x v="0"/>
    <s v="1403/09/17"/>
    <d v="1899-12-30T11:04:00"/>
    <x v="0"/>
    <x v="1"/>
    <x v="3"/>
    <x v="1"/>
    <n v="11"/>
    <n v="4"/>
    <n v="737794744"/>
    <s v="1403/09/17"/>
    <d v="1899-12-30T11:05:00"/>
    <x v="0"/>
    <x v="0"/>
    <x v="0"/>
    <s v="17"/>
    <n v="11"/>
    <n v="5"/>
    <n v="737794745"/>
    <s v="در حال بررسی مشکل با گراندیل"/>
    <n v="1.6666666666666666E-2"/>
    <n v="24"/>
    <n v="0.2"/>
    <n v="360"/>
    <n v="720"/>
    <s v=""/>
    <s v=""/>
  </r>
  <r>
    <n v="15"/>
    <x v="3"/>
    <x v="11"/>
    <s v="Tray Changer"/>
    <x v="11"/>
    <x v="0"/>
    <s v="1403/09/19"/>
    <d v="1899-12-30T00:37:00"/>
    <x v="0"/>
    <x v="1"/>
    <x v="3"/>
    <x v="9"/>
    <n v="0"/>
    <n v="37"/>
    <n v="737796997"/>
    <s v="1403/09/19"/>
    <d v="1899-12-30T02:10:00"/>
    <x v="0"/>
    <x v="0"/>
    <x v="0"/>
    <s v="19"/>
    <n v="2"/>
    <n v="10"/>
    <n v="737797090"/>
    <s v="نامعلوم - با چندبار روشن و خاموش کردن دستگاه مشکل برطرف شد"/>
    <n v="1.55"/>
    <n v="24"/>
    <n v="0.2"/>
    <n v="360"/>
    <n v="720"/>
    <s v=""/>
    <s v=""/>
  </r>
  <r>
    <n v="16"/>
    <x v="3"/>
    <x v="11"/>
    <s v="Tray Changer"/>
    <x v="12"/>
    <x v="0"/>
    <s v="1403/09/19"/>
    <d v="1899-12-30T07:34:00"/>
    <x v="0"/>
    <x v="1"/>
    <x v="3"/>
    <x v="9"/>
    <n v="7"/>
    <n v="34"/>
    <n v="737797414"/>
    <s v="1403/09/19"/>
    <d v="1899-12-30T08:00:00"/>
    <x v="0"/>
    <x v="0"/>
    <x v="0"/>
    <s v="19"/>
    <n v="8"/>
    <n v="0"/>
    <n v="737797440"/>
    <m/>
    <n v="0.43333333333333335"/>
    <e v="#N/A"/>
    <e v="#N/A"/>
    <n v="360"/>
    <e v="#N/A"/>
    <s v=""/>
    <s v=""/>
  </r>
  <r>
    <n v="17"/>
    <x v="1"/>
    <x v="4"/>
    <s v="Shrink1"/>
    <x v="13"/>
    <x v="0"/>
    <s v="1403/09/26"/>
    <d v="1899-12-30T15:50:00"/>
    <x v="0"/>
    <x v="1"/>
    <x v="3"/>
    <x v="10"/>
    <n v="15"/>
    <n v="50"/>
    <n v="737807990"/>
    <s v="1403/09/27"/>
    <d v="1899-12-30T09:45:00"/>
    <x v="0"/>
    <x v="0"/>
    <x v="0"/>
    <s v="27"/>
    <n v="9"/>
    <n v="45"/>
    <n v="737809065"/>
    <s v="خرابی بلبرینگ شفت"/>
    <n v="17.916666666666668"/>
    <n v="24"/>
    <n v="0.2"/>
    <n v="360"/>
    <n v="720"/>
    <s v=""/>
    <s v=""/>
  </r>
  <r>
    <n v="18"/>
    <x v="3"/>
    <x v="12"/>
    <s v="Vision Screen Printer"/>
    <x v="14"/>
    <x v="0"/>
    <s v="1403/09/29"/>
    <d v="1899-12-30T08:16:00"/>
    <x v="0"/>
    <x v="1"/>
    <x v="3"/>
    <x v="11"/>
    <n v="8"/>
    <n v="16"/>
    <n v="737811856"/>
    <s v="1403/09/30"/>
    <d v="1899-12-30T01:30:00"/>
    <x v="0"/>
    <x v="0"/>
    <x v="0"/>
    <s v="30"/>
    <n v="1"/>
    <n v="30"/>
    <n v="737812890"/>
    <s v="ازتنظیم خارج شدن سنسور"/>
    <n v="17.233333333333334"/>
    <n v="24"/>
    <n v="0.2"/>
    <n v="360"/>
    <n v="720"/>
    <s v=""/>
    <s v=""/>
  </r>
  <r>
    <n v="19"/>
    <x v="3"/>
    <x v="11"/>
    <s v="Tray Changer"/>
    <x v="11"/>
    <x v="0"/>
    <s v="1403/09/30"/>
    <d v="1899-12-30T13:18:00"/>
    <x v="0"/>
    <x v="1"/>
    <x v="3"/>
    <x v="12"/>
    <n v="13"/>
    <n v="18"/>
    <n v="737813598"/>
    <s v="1403/09/30"/>
    <d v="1899-12-30T21:20:00"/>
    <x v="0"/>
    <x v="0"/>
    <x v="0"/>
    <s v="30"/>
    <n v="21"/>
    <n v="20"/>
    <n v="737814080"/>
    <s v="نامعلوم- با ریست و جدا ووصل ماژول مشکل برطرف شد و هماهنگی لازم انجام شده جهت حضور شرکت گراندیل در 2آذر و رفع ایراد این دستگاه "/>
    <n v="8.0333333333333332"/>
    <n v="24"/>
    <n v="0.2"/>
    <n v="360"/>
    <n v="720"/>
    <n v="275.13333333333333"/>
    <n v="737797090"/>
  </r>
  <r>
    <n v="20"/>
    <x v="3"/>
    <x v="13"/>
    <s v="Peak&amp;Place Machine 2"/>
    <x v="15"/>
    <x v="0"/>
    <s v="1403/10/03"/>
    <d v="1899-12-30T11:27:00"/>
    <x v="0"/>
    <x v="2"/>
    <x v="4"/>
    <x v="13"/>
    <n v="11"/>
    <n v="27"/>
    <n v="737817807"/>
    <s v="1403/10/03"/>
    <d v="1899-12-30T12:52:00"/>
    <x v="0"/>
    <x v="1"/>
    <x v="3"/>
    <s v="03"/>
    <n v="12"/>
    <n v="52"/>
    <n v="737817892"/>
    <s v="شکستن یکی از نازل ماژول 1"/>
    <n v="1.4166666666666667"/>
    <n v="24"/>
    <n v="0.2"/>
    <n v="360"/>
    <n v="720"/>
    <s v=""/>
    <s v=""/>
  </r>
  <r>
    <n v="21"/>
    <x v="3"/>
    <x v="14"/>
    <s v="Peak&amp;Place Machine 1"/>
    <x v="16"/>
    <x v="0"/>
    <s v="1403/10/04"/>
    <d v="1899-12-30T11:58:00"/>
    <x v="0"/>
    <x v="2"/>
    <x v="4"/>
    <x v="6"/>
    <n v="11"/>
    <n v="58"/>
    <n v="737819278"/>
    <s v="1403/10/05"/>
    <d v="1899-12-30T11:27:00"/>
    <x v="0"/>
    <x v="1"/>
    <x v="3"/>
    <s v="05"/>
    <n v="11"/>
    <n v="27"/>
    <n v="737820687"/>
    <s v="هد دستگاه pick&amp;place گیر کردن میل راهنمای یکی از نازل های هد ماژول 1"/>
    <n v="23.483333333333334"/>
    <n v="24"/>
    <n v="0.2"/>
    <n v="360"/>
    <n v="720"/>
    <s v=""/>
    <s v=""/>
  </r>
  <r>
    <n v="22"/>
    <x v="3"/>
    <x v="14"/>
    <s v="Peak&amp;Place Machine 1"/>
    <x v="16"/>
    <x v="0"/>
    <s v="1403/10/09"/>
    <d v="1899-12-30T23:40:00"/>
    <x v="0"/>
    <x v="2"/>
    <x v="4"/>
    <x v="14"/>
    <n v="23"/>
    <n v="40"/>
    <n v="737827180"/>
    <s v="1403/10/10"/>
    <d v="1899-12-30T00:20:00"/>
    <x v="0"/>
    <x v="1"/>
    <x v="3"/>
    <s v="10"/>
    <n v="0"/>
    <n v="20"/>
    <n v="737827220"/>
    <s v="ما ژول 2 -مشکل هد دستگاه -یکی از نازل ها شکسته که باید تعویض بشه"/>
    <n v="0.66666666666666663"/>
    <n v="24"/>
    <n v="0.2"/>
    <n v="360"/>
    <n v="720"/>
    <n v="108.21666666666667"/>
    <n v="737820687"/>
  </r>
  <r>
    <n v="23"/>
    <x v="3"/>
    <x v="14"/>
    <s v="Peak&amp;Place Machine1"/>
    <x v="16"/>
    <x v="0"/>
    <s v="1403/10/10"/>
    <d v="1899-12-30T01:50:00"/>
    <x v="0"/>
    <x v="2"/>
    <x v="4"/>
    <x v="3"/>
    <n v="1"/>
    <n v="50"/>
    <n v="737827310"/>
    <s v="1403/10/10"/>
    <d v="1899-12-30T02:20:00"/>
    <x v="0"/>
    <x v="1"/>
    <x v="3"/>
    <s v="10"/>
    <n v="2"/>
    <n v="20"/>
    <n v="737827340"/>
    <s v="ما ژول 2 -مشکل هد دستگاه "/>
    <n v="0.5"/>
    <n v="24"/>
    <n v="0.2"/>
    <n v="360"/>
    <n v="720"/>
    <n v="1.5"/>
    <n v="737827220"/>
  </r>
  <r>
    <n v="24"/>
    <x v="3"/>
    <x v="14"/>
    <s v="Peak&amp;Place Machine1"/>
    <x v="16"/>
    <x v="0"/>
    <s v="1403/10/10"/>
    <d v="1899-12-30T08:40:00"/>
    <x v="0"/>
    <x v="2"/>
    <x v="4"/>
    <x v="3"/>
    <n v="8"/>
    <n v="40"/>
    <n v="737827720"/>
    <s v="1403/10/10"/>
    <d v="1899-12-30T15:47:00"/>
    <x v="0"/>
    <x v="1"/>
    <x v="3"/>
    <s v="10"/>
    <n v="15"/>
    <n v="47"/>
    <n v="737828147"/>
    <s v=" هولدر نازل دستگاه ۱ ماژول ۲ مشکل داشتن (یکی گیر داره، ۳ تا دوران موقعیت دارن) _x000a_مشکل   رفع شد(با skip کردن هولدر های معیوب)"/>
    <n v="7.1166666666666663"/>
    <n v="24"/>
    <n v="0.2"/>
    <n v="360"/>
    <n v="720"/>
    <n v="6.333333333333333"/>
    <n v="737827340"/>
  </r>
  <r>
    <n v="25"/>
    <x v="3"/>
    <x v="15"/>
    <s v="Air Soldering(Oven)"/>
    <x v="17"/>
    <x v="0"/>
    <s v="1403/10/10"/>
    <d v="1899-12-30T12:18:00"/>
    <x v="0"/>
    <x v="2"/>
    <x v="4"/>
    <x v="3"/>
    <n v="12"/>
    <n v="18"/>
    <n v="737827938"/>
    <s v="1403/10/10"/>
    <d v="1899-12-30T15:48:00"/>
    <x v="0"/>
    <x v="1"/>
    <x v="3"/>
    <s v="10"/>
    <n v="15"/>
    <n v="48"/>
    <n v="737828148"/>
    <s v="مشکل در کانوایر و ریل آن"/>
    <n v="3.5"/>
    <n v="24"/>
    <n v="0.2"/>
    <n v="360"/>
    <n v="720"/>
    <s v=""/>
    <s v=""/>
  </r>
  <r>
    <n v="26"/>
    <x v="3"/>
    <x v="14"/>
    <s v="Peak&amp;Place Machine1"/>
    <x v="16"/>
    <x v="0"/>
    <s v="1403/10/10"/>
    <d v="1899-12-30T20:37:00"/>
    <x v="0"/>
    <x v="2"/>
    <x v="4"/>
    <x v="3"/>
    <n v="20"/>
    <n v="37"/>
    <n v="737828437"/>
    <s v="1403/10/12"/>
    <d v="1899-12-30T14:00:00"/>
    <x v="0"/>
    <x v="1"/>
    <x v="3"/>
    <s v="12"/>
    <n v="14"/>
    <n v="0"/>
    <n v="737830920"/>
    <s v="ما ژول 2 -مشکل هد دستگاه / با تعویض هد و‌کالیبره ی دستگاه مشکل حل شد"/>
    <n v="41.383333333333333"/>
    <n v="24"/>
    <n v="0.2"/>
    <n v="360"/>
    <n v="720"/>
    <n v="4.833333333333333"/>
    <n v="737828147"/>
  </r>
  <r>
    <n v="27"/>
    <x v="3"/>
    <x v="13"/>
    <s v="Peak&amp;Place Machine2"/>
    <x v="18"/>
    <x v="0"/>
    <s v="1403/10/18"/>
    <d v="1899-12-30T08:43:00"/>
    <x v="0"/>
    <x v="2"/>
    <x v="4"/>
    <x v="5"/>
    <n v="8"/>
    <n v="43"/>
    <n v="737839243"/>
    <s v="1403/10/19"/>
    <d v="1899-12-30T17:00:00"/>
    <x v="0"/>
    <x v="1"/>
    <x v="3"/>
    <s v="19"/>
    <n v="17"/>
    <n v="0"/>
    <n v="737841180"/>
    <s v="مشکل نرم افزاری دستگاه pick&amp;place ماشین ۲ ماژول ۲-) کارت ماژول خراب شده بود، تهیه و پروگرم و‌جایگزین شد"/>
    <n v="32.283333333333331"/>
    <n v="24"/>
    <n v="0.2"/>
    <n v="360"/>
    <n v="720"/>
    <s v=""/>
    <s v=""/>
  </r>
  <r>
    <n v="28"/>
    <x v="4"/>
    <x v="16"/>
    <s v="رویه قالب 9200"/>
    <x v="19"/>
    <x v="0"/>
    <s v="1403/10/18"/>
    <d v="1899-12-30T15:00:00"/>
    <x v="0"/>
    <x v="2"/>
    <x v="4"/>
    <x v="5"/>
    <n v="15"/>
    <n v="0"/>
    <n v="737839620"/>
    <s v="1403/10/19"/>
    <d v="1899-12-30T16:00:00"/>
    <x v="0"/>
    <x v="1"/>
    <x v="3"/>
    <s v="19"/>
    <n v="16"/>
    <n v="0"/>
    <n v="737841120"/>
    <s v="آسیب دیدگی رویه قالب 9200"/>
    <n v="25"/>
    <e v="#N/A"/>
    <e v="#N/A"/>
    <n v="360"/>
    <e v="#N/A"/>
    <s v=""/>
    <s v=""/>
  </r>
  <r>
    <n v="29"/>
    <x v="0"/>
    <x v="17"/>
    <m/>
    <x v="20"/>
    <x v="0"/>
    <s v="1403/11/24"/>
    <d v="1899-12-30T08:00:00"/>
    <x v="0"/>
    <x v="2"/>
    <x v="5"/>
    <x v="15"/>
    <n v="8"/>
    <n v="0"/>
    <n v="737891040"/>
    <s v="1403/11/24"/>
    <d v="1899-12-30T12:00:00"/>
    <x v="0"/>
    <x v="1"/>
    <x v="4"/>
    <s v="24"/>
    <n v="12"/>
    <n v="0"/>
    <n v="737891280"/>
    <m/>
    <n v="4"/>
    <e v="#N/A"/>
    <e v="#N/A"/>
    <n v="360"/>
    <e v="#N/A"/>
    <s v=""/>
    <s v=""/>
  </r>
  <r>
    <n v="30"/>
    <x v="4"/>
    <x v="18"/>
    <s v="Insole 9200"/>
    <x v="21"/>
    <x v="0"/>
    <s v="1403/11/24"/>
    <d v="1899-12-30T22:35:00"/>
    <x v="0"/>
    <x v="2"/>
    <x v="5"/>
    <x v="15"/>
    <n v="22"/>
    <n v="35"/>
    <n v="737891915"/>
    <s v="1403/11/25"/>
    <d v="1899-12-30T14:00:00"/>
    <x v="0"/>
    <x v="1"/>
    <x v="4"/>
    <s v="25"/>
    <n v="14"/>
    <n v="0"/>
    <n v="737892840"/>
    <s v="گیر کردن کشویی 9200"/>
    <n v="15.416666666666666"/>
    <e v="#N/A"/>
    <e v="#N/A"/>
    <n v="360"/>
    <e v="#N/A"/>
    <s v=""/>
    <s v=""/>
  </r>
  <r>
    <n v="31"/>
    <x v="1"/>
    <x v="19"/>
    <s v="Conveyor line 1/1"/>
    <x v="22"/>
    <x v="0"/>
    <s v="1403/11/27"/>
    <d v="1899-12-30T08:00:00"/>
    <x v="0"/>
    <x v="2"/>
    <x v="5"/>
    <x v="16"/>
    <n v="8"/>
    <n v="0"/>
    <n v="737895360"/>
    <s v="1403/11/27"/>
    <d v="1899-12-30T08:17:00"/>
    <x v="0"/>
    <x v="1"/>
    <x v="4"/>
    <s v="27"/>
    <n v="8"/>
    <n v="17"/>
    <n v="737895377"/>
    <s v="خرابی کانوایر "/>
    <n v="0.28333333333333333"/>
    <e v="#N/A"/>
    <e v="#N/A"/>
    <n v="360"/>
    <e v="#N/A"/>
    <s v=""/>
    <s v=""/>
  </r>
  <r>
    <n v="32"/>
    <x v="0"/>
    <x v="7"/>
    <s v="Cutting Machine2"/>
    <x v="7"/>
    <x v="0"/>
    <s v="1403/12/04"/>
    <d v="1899-12-30T21:50:00"/>
    <x v="0"/>
    <x v="2"/>
    <x v="6"/>
    <x v="6"/>
    <n v="21"/>
    <n v="50"/>
    <n v="737906270"/>
    <s v="1403/12/05"/>
    <d v="1899-12-30T01:00:00"/>
    <x v="0"/>
    <x v="1"/>
    <x v="5"/>
    <s v="05"/>
    <n v="1"/>
    <n v="0"/>
    <n v="737906460"/>
    <s v="بریدن تسمه دستگاه برش "/>
    <n v="3.1666666666666665"/>
    <n v="24"/>
    <n v="0.2"/>
    <n v="360"/>
    <n v="720"/>
    <n v="1832.0333333333333"/>
    <n v="737796348"/>
  </r>
  <r>
    <n v="33"/>
    <x v="0"/>
    <x v="20"/>
    <s v="Brain filler 2"/>
    <x v="3"/>
    <x v="0"/>
    <s v="1403/12/05"/>
    <d v="1899-12-30T03:30:00"/>
    <x v="0"/>
    <x v="2"/>
    <x v="6"/>
    <x v="7"/>
    <n v="3"/>
    <n v="30"/>
    <n v="737906610"/>
    <s v="1403/12/05"/>
    <d v="1899-12-30T15:00:00"/>
    <x v="0"/>
    <x v="1"/>
    <x v="5"/>
    <s v="05"/>
    <n v="15"/>
    <n v="0"/>
    <n v="737907300"/>
    <m/>
    <n v="11.5"/>
    <n v="24"/>
    <n v="0.2"/>
    <n v="360"/>
    <n v="720"/>
    <n v="2706.5"/>
    <n v="737744220"/>
  </r>
  <r>
    <n v="34"/>
    <x v="1"/>
    <x v="21"/>
    <s v="Conveyor line 5/1"/>
    <x v="23"/>
    <x v="0"/>
    <s v="1403/12/07"/>
    <d v="1899-12-30T11:30:00"/>
    <x v="0"/>
    <x v="2"/>
    <x v="6"/>
    <x v="17"/>
    <n v="11"/>
    <n v="30"/>
    <n v="737909970"/>
    <s v="1403/12/07"/>
    <d v="1899-12-30T13:30:00"/>
    <x v="0"/>
    <x v="1"/>
    <x v="5"/>
    <s v="07"/>
    <n v="13"/>
    <n v="30"/>
    <n v="737910090"/>
    <s v="یک لامپ کانوایر 5 سوخته و باعث پریدن فیوز می شود _x000a_"/>
    <n v="2"/>
    <n v="24"/>
    <n v="0.2"/>
    <n v="360"/>
    <n v="720"/>
    <s v=""/>
    <s v=""/>
  </r>
  <r>
    <n v="35"/>
    <x v="0"/>
    <x v="6"/>
    <s v="(Flexographic) Printing Machine2"/>
    <x v="6"/>
    <x v="0"/>
    <s v="1403/12/07"/>
    <d v="1899-12-30T19:08:00"/>
    <x v="0"/>
    <x v="2"/>
    <x v="6"/>
    <x v="17"/>
    <n v="19"/>
    <n v="8"/>
    <n v="737910428"/>
    <s v="1403/12/07"/>
    <d v="1899-12-30T20:34:00"/>
    <x v="0"/>
    <x v="1"/>
    <x v="5"/>
    <s v="07"/>
    <n v="20"/>
    <n v="34"/>
    <n v="737910514"/>
    <s v="خرابی بلبرینگ"/>
    <n v="1.4333333333333333"/>
    <n v="24"/>
    <n v="0.2"/>
    <n v="360"/>
    <n v="720"/>
    <n v="2116.1333333333332"/>
    <n v="737783460"/>
  </r>
  <r>
    <n v="36"/>
    <x v="0"/>
    <x v="0"/>
    <s v="Cutting Machine1"/>
    <x v="0"/>
    <x v="0"/>
    <s v="1403/12/08"/>
    <d v="1899-12-30T22:09:00"/>
    <x v="0"/>
    <x v="2"/>
    <x v="6"/>
    <x v="2"/>
    <n v="22"/>
    <n v="9"/>
    <n v="737912049"/>
    <s v="1403/12/08"/>
    <d v="1899-12-30T22:56:00"/>
    <x v="0"/>
    <x v="1"/>
    <x v="5"/>
    <s v="08"/>
    <n v="22"/>
    <n v="56"/>
    <n v="737912096"/>
    <s v="توقف برش۱ به علت خرابی شفت فولی"/>
    <n v="0.78333333333333333"/>
    <n v="24"/>
    <n v="0.2"/>
    <n v="360"/>
    <n v="720"/>
    <n v="1899.0666666666666"/>
    <n v="737798105"/>
  </r>
  <r>
    <n v="37"/>
    <x v="3"/>
    <x v="12"/>
    <s v="Vision Screen Printer"/>
    <x v="14"/>
    <x v="0"/>
    <s v="1403/12/09"/>
    <d v="1899-12-30T14:07:00"/>
    <x v="0"/>
    <x v="2"/>
    <x v="6"/>
    <x v="14"/>
    <n v="14"/>
    <n v="7"/>
    <n v="737913007"/>
    <s v="1403/12/11"/>
    <d v="1899-12-30T19:07:00"/>
    <x v="0"/>
    <x v="1"/>
    <x v="5"/>
    <s v="11"/>
    <n v="19"/>
    <n v="7"/>
    <n v="737916187"/>
    <s v="خرابی پرینتر (مشکل سنسور)"/>
    <n v="53"/>
    <n v="24"/>
    <n v="0.2"/>
    <n v="360"/>
    <n v="720"/>
    <n v="1668.6166666666666"/>
    <n v="737812890"/>
  </r>
  <r>
    <n v="38"/>
    <x v="0"/>
    <x v="7"/>
    <s v="Cutting Machine2"/>
    <x v="7"/>
    <x v="0"/>
    <s v="1403/12/09"/>
    <d v="1899-12-30T21:05:00"/>
    <x v="0"/>
    <x v="2"/>
    <x v="6"/>
    <x v="14"/>
    <n v="21"/>
    <n v="5"/>
    <n v="737913425"/>
    <s v="1403/12/09"/>
    <d v="1899-12-30T21:10:00"/>
    <x v="0"/>
    <x v="1"/>
    <x v="5"/>
    <s v="09"/>
    <n v="21"/>
    <n v="10"/>
    <n v="737913430"/>
    <s v="تعویض شفت چرخ دندها"/>
    <n v="8.3333333333333329E-2"/>
    <n v="24"/>
    <n v="0.2"/>
    <n v="360"/>
    <n v="720"/>
    <n v="116.08333333333333"/>
    <n v="737906460"/>
  </r>
  <r>
    <n v="39"/>
    <x v="0"/>
    <x v="7"/>
    <s v="Cutting Machine2"/>
    <x v="7"/>
    <x v="0"/>
    <s v="1403/12/10"/>
    <d v="1899-12-30T12:50:00"/>
    <x v="0"/>
    <x v="2"/>
    <x v="6"/>
    <x v="3"/>
    <n v="12"/>
    <n v="50"/>
    <n v="737914370"/>
    <s v="1403/12/10"/>
    <d v="1899-12-30T13:10:00"/>
    <x v="0"/>
    <x v="1"/>
    <x v="5"/>
    <s v="10"/>
    <n v="13"/>
    <n v="10"/>
    <n v="737914390"/>
    <s v="پریدن تیغه ها"/>
    <n v="0.33333333333333331"/>
    <n v="24"/>
    <n v="0.2"/>
    <n v="360"/>
    <n v="720"/>
    <n v="15.666666666666666"/>
    <n v="737913430"/>
  </r>
  <r>
    <n v="40"/>
    <x v="3"/>
    <x v="9"/>
    <s v="NITROGEN GENERATOR"/>
    <x v="9"/>
    <x v="0"/>
    <s v="1403/12/11"/>
    <d v="1899-12-30T22:38:00"/>
    <x v="0"/>
    <x v="2"/>
    <x v="6"/>
    <x v="18"/>
    <n v="22"/>
    <n v="38"/>
    <n v="737916398"/>
    <s v="1403/12/12"/>
    <d v="1899-12-30T01:05:00"/>
    <x v="0"/>
    <x v="1"/>
    <x v="5"/>
    <s v="12"/>
    <n v="1"/>
    <n v="5"/>
    <n v="737916545"/>
    <s v="بالا رفتن دمای کمپرسور هوا"/>
    <n v="2.4500000000000002"/>
    <n v="24"/>
    <n v="0.2"/>
    <n v="360"/>
    <n v="720"/>
    <n v="2099.6333333333332"/>
    <n v="737790420"/>
  </r>
  <r>
    <n v="41"/>
    <x v="0"/>
    <x v="7"/>
    <s v="Cutting Machine2"/>
    <x v="7"/>
    <x v="0"/>
    <s v="1403/12/11"/>
    <d v="1899-12-30T23:02:00"/>
    <x v="0"/>
    <x v="2"/>
    <x v="6"/>
    <x v="18"/>
    <n v="23"/>
    <n v="2"/>
    <n v="737916422"/>
    <s v="1403/12/12"/>
    <d v="1899-12-30T01:05:00"/>
    <x v="0"/>
    <x v="1"/>
    <x v="5"/>
    <s v="12"/>
    <n v="1"/>
    <n v="5"/>
    <n v="737916545"/>
    <s v="بالا رفتن دمای کمپرسور هوا"/>
    <n v="2.0499999999999998"/>
    <n v="24"/>
    <n v="0.2"/>
    <n v="360"/>
    <n v="720"/>
    <n v="33.866666666666667"/>
    <n v="737914390"/>
  </r>
  <r>
    <n v="42"/>
    <x v="0"/>
    <x v="8"/>
    <s v="Cutting Machine3"/>
    <x v="8"/>
    <x v="0"/>
    <s v="1403/12/11"/>
    <d v="1899-12-30T23:02:00"/>
    <x v="0"/>
    <x v="2"/>
    <x v="6"/>
    <x v="18"/>
    <n v="23"/>
    <n v="2"/>
    <n v="737916422"/>
    <s v="1403/12/12"/>
    <d v="1899-12-30T01:05:00"/>
    <x v="0"/>
    <x v="1"/>
    <x v="5"/>
    <s v="12"/>
    <n v="1"/>
    <n v="5"/>
    <n v="737916545"/>
    <s v="بالا رفتن دمای کمپرسور هوا"/>
    <n v="2.0499999999999998"/>
    <n v="24"/>
    <n v="0.2"/>
    <n v="360"/>
    <n v="720"/>
    <n v="2027"/>
    <n v="737794802"/>
  </r>
  <r>
    <n v="43"/>
    <x v="0"/>
    <x v="5"/>
    <s v="Cutting Machine4"/>
    <x v="5"/>
    <x v="0"/>
    <s v="1403/12/11"/>
    <d v="1899-12-30T23:02:00"/>
    <x v="0"/>
    <x v="2"/>
    <x v="6"/>
    <x v="18"/>
    <n v="23"/>
    <n v="2"/>
    <n v="737916422"/>
    <s v="1403/12/12"/>
    <d v="1899-12-30T01:05:00"/>
    <x v="0"/>
    <x v="1"/>
    <x v="5"/>
    <s v="12"/>
    <n v="1"/>
    <n v="5"/>
    <n v="737916545"/>
    <s v="بالا رفتن دمای کمپرسور هوا"/>
    <n v="2.0499999999999998"/>
    <n v="24"/>
    <n v="0.2"/>
    <n v="360"/>
    <n v="720"/>
    <n v="2021.15"/>
    <n v="737795153"/>
  </r>
  <r>
    <n v="44"/>
    <x v="0"/>
    <x v="7"/>
    <s v="Cutting Machine2"/>
    <x v="7"/>
    <x v="0"/>
    <s v="1403/12/12"/>
    <d v="1899-12-30T16:25:00"/>
    <x v="0"/>
    <x v="2"/>
    <x v="6"/>
    <x v="19"/>
    <n v="16"/>
    <n v="25"/>
    <n v="737917465"/>
    <s v="1403/12/12"/>
    <d v="1899-12-30T17:50:00"/>
    <x v="0"/>
    <x v="1"/>
    <x v="5"/>
    <s v="12"/>
    <n v="17"/>
    <n v="50"/>
    <n v="737917550"/>
    <s v="بالا رفتن دمای کمپرسور هوا"/>
    <n v="1.4166666666666667"/>
    <n v="24"/>
    <n v="0.2"/>
    <n v="360"/>
    <n v="720"/>
    <n v="15.333333333333334"/>
    <n v="737916545"/>
  </r>
  <r>
    <n v="45"/>
    <x v="0"/>
    <x v="8"/>
    <s v="Cutting Machine3"/>
    <x v="8"/>
    <x v="0"/>
    <s v="1403/12/12"/>
    <d v="1899-12-30T16:25:00"/>
    <x v="0"/>
    <x v="2"/>
    <x v="6"/>
    <x v="19"/>
    <n v="16"/>
    <n v="25"/>
    <n v="737917465"/>
    <s v="1403/12/12"/>
    <d v="1899-12-30T17:50:00"/>
    <x v="0"/>
    <x v="1"/>
    <x v="5"/>
    <s v="12"/>
    <n v="17"/>
    <n v="50"/>
    <n v="737917550"/>
    <s v="بالا رفتن دمای کمپرسور هوا"/>
    <n v="1.4166666666666667"/>
    <n v="24"/>
    <n v="0.2"/>
    <n v="360"/>
    <n v="720"/>
    <n v="15.333333333333334"/>
    <n v="737916545"/>
  </r>
  <r>
    <n v="46"/>
    <x v="0"/>
    <x v="5"/>
    <s v="Cutting Machine4"/>
    <x v="5"/>
    <x v="0"/>
    <s v="1403/12/12"/>
    <d v="1899-12-30T16:25:00"/>
    <x v="0"/>
    <x v="2"/>
    <x v="6"/>
    <x v="19"/>
    <n v="16"/>
    <n v="25"/>
    <n v="737917465"/>
    <s v="1403/12/12"/>
    <d v="1899-12-30T17:50:00"/>
    <x v="0"/>
    <x v="1"/>
    <x v="5"/>
    <s v="12"/>
    <n v="17"/>
    <n v="50"/>
    <n v="737917550"/>
    <s v="بالا رفتن دمای کمپرسور هوا"/>
    <n v="1.4166666666666667"/>
    <n v="24"/>
    <n v="0.2"/>
    <n v="360"/>
    <n v="720"/>
    <n v="15.333333333333334"/>
    <n v="737916545"/>
  </r>
  <r>
    <n v="47"/>
    <x v="3"/>
    <x v="9"/>
    <s v="NITROGEN GENERATOR"/>
    <x v="9"/>
    <x v="0"/>
    <s v="1403/12/12"/>
    <d v="1899-12-30T16:00:00"/>
    <x v="0"/>
    <x v="2"/>
    <x v="6"/>
    <x v="19"/>
    <n v="16"/>
    <n v="0"/>
    <n v="737917440"/>
    <s v="1403/12/12"/>
    <d v="1899-12-30T17:55:00"/>
    <x v="0"/>
    <x v="1"/>
    <x v="5"/>
    <s v="12"/>
    <n v="17"/>
    <n v="55"/>
    <n v="737917555"/>
    <s v="بالا رفتن دمای کمپرسور هوا"/>
    <n v="1.9166666666666667"/>
    <n v="24"/>
    <n v="0.2"/>
    <n v="360"/>
    <n v="720"/>
    <n v="14.916666666666666"/>
    <n v="737916545"/>
  </r>
  <r>
    <n v="48"/>
    <x v="0"/>
    <x v="6"/>
    <s v="(Flexographic) Printing Machine2"/>
    <x v="6"/>
    <x v="0"/>
    <s v="1403/12/14"/>
    <d v="1899-12-30T10:30:00"/>
    <x v="0"/>
    <x v="2"/>
    <x v="6"/>
    <x v="8"/>
    <n v="10"/>
    <n v="30"/>
    <n v="737919990"/>
    <s v="1403/12/14"/>
    <d v="1899-12-30T15:00:00"/>
    <x v="0"/>
    <x v="1"/>
    <x v="5"/>
    <s v="14"/>
    <n v="15"/>
    <n v="0"/>
    <n v="737920260"/>
    <s v="خرابی بلبرینگ چرخ دنده دوبل و خرابی بلبرینگ چرخ دنده مورب"/>
    <n v="4.5"/>
    <n v="24"/>
    <n v="0.2"/>
    <n v="360"/>
    <n v="720"/>
    <n v="157.93333333333334"/>
    <n v="737910514"/>
  </r>
  <r>
    <n v="49"/>
    <x v="0"/>
    <x v="7"/>
    <s v="Cutting Machine2"/>
    <x v="7"/>
    <x v="0"/>
    <s v="1403/12/15"/>
    <d v="1899-12-30T00:40:00"/>
    <x v="0"/>
    <x v="2"/>
    <x v="6"/>
    <x v="20"/>
    <n v="0"/>
    <n v="40"/>
    <n v="737920840"/>
    <s v="1403/12/15"/>
    <d v="1899-12-30T01:10:00"/>
    <x v="0"/>
    <x v="1"/>
    <x v="5"/>
    <s v="15"/>
    <n v="1"/>
    <n v="10"/>
    <n v="737920870"/>
    <s v="خرابی بلبرینگ شفت تیغه"/>
    <n v="0.5"/>
    <n v="24"/>
    <n v="0.2"/>
    <n v="360"/>
    <n v="720"/>
    <n v="54.833333333333336"/>
    <n v="737917550"/>
  </r>
  <r>
    <n v="50"/>
    <x v="3"/>
    <x v="9"/>
    <s v="NITROGEN GENERATOR"/>
    <x v="9"/>
    <x v="0"/>
    <s v="1403/12/15"/>
    <d v="1899-12-30T08:00:00"/>
    <x v="0"/>
    <x v="2"/>
    <x v="6"/>
    <x v="20"/>
    <n v="8"/>
    <n v="0"/>
    <n v="737921280"/>
    <s v="1403/12/15"/>
    <d v="1899-12-30T08:26:00"/>
    <x v="0"/>
    <x v="1"/>
    <x v="5"/>
    <s v="15"/>
    <n v="8"/>
    <n v="26"/>
    <n v="737921306"/>
    <s v="خرابی کمپرسور هوا"/>
    <n v="0.43333333333333335"/>
    <n v="24"/>
    <n v="0.2"/>
    <n v="360"/>
    <n v="720"/>
    <n v="62.083333333333336"/>
    <n v="737917555"/>
  </r>
  <r>
    <n v="51"/>
    <x v="4"/>
    <x v="22"/>
    <s v="Injection Moulding Machine 3 "/>
    <x v="24"/>
    <x v="0"/>
    <s v="1403/12/15"/>
    <d v="1899-12-30T20:00:00"/>
    <x v="0"/>
    <x v="2"/>
    <x v="6"/>
    <x v="20"/>
    <n v="20"/>
    <n v="0"/>
    <n v="737922000"/>
    <s v="1403/12/16"/>
    <d v="1899-12-30T13:00:00"/>
    <x v="0"/>
    <x v="1"/>
    <x v="5"/>
    <s v="16"/>
    <n v="13"/>
    <n v="0"/>
    <n v="737923020"/>
    <s v="مشکل  در قالب "/>
    <n v="17"/>
    <n v="24"/>
    <n v="0.2"/>
    <n v="360"/>
    <n v="720"/>
    <s v=""/>
    <s v=""/>
  </r>
  <r>
    <n v="52"/>
    <x v="0"/>
    <x v="5"/>
    <s v="Cutting Machine4"/>
    <x v="5"/>
    <x v="0"/>
    <s v="1403/12/16"/>
    <d v="1899-12-30T19:45:00"/>
    <x v="0"/>
    <x v="2"/>
    <x v="6"/>
    <x v="4"/>
    <n v="19"/>
    <n v="45"/>
    <n v="737923425"/>
    <s v="1403/12/16"/>
    <d v="1899-12-30T20:45:00"/>
    <x v="0"/>
    <x v="1"/>
    <x v="5"/>
    <s v="16"/>
    <n v="20"/>
    <n v="45"/>
    <n v="737923485"/>
    <s v="پارگی تسمه"/>
    <n v="1"/>
    <n v="24"/>
    <n v="0.2"/>
    <n v="360"/>
    <n v="720"/>
    <n v="97.916666666666671"/>
    <n v="737917550"/>
  </r>
  <r>
    <n v="53"/>
    <x v="0"/>
    <x v="5"/>
    <s v="Cutting Machine4"/>
    <x v="5"/>
    <x v="0"/>
    <s v="1403/12/18"/>
    <d v="1899-12-30T08:00:00"/>
    <x v="0"/>
    <x v="2"/>
    <x v="6"/>
    <x v="5"/>
    <n v="8"/>
    <n v="0"/>
    <n v="737925600"/>
    <s v="1403/12/18"/>
    <d v="1899-12-30T11:30:00"/>
    <x v="0"/>
    <x v="1"/>
    <x v="5"/>
    <s v="18"/>
    <n v="11"/>
    <n v="30"/>
    <n v="737925810"/>
    <s v="خرابی شفت رولر"/>
    <n v="3.5"/>
    <n v="24"/>
    <n v="0.2"/>
    <n v="360"/>
    <n v="720"/>
    <n v="35.25"/>
    <n v="737923485"/>
  </r>
  <r>
    <n v="54"/>
    <x v="0"/>
    <x v="8"/>
    <s v="Cutting Machine3"/>
    <x v="8"/>
    <x v="0"/>
    <s v="1403/12/20"/>
    <d v="1899-12-30T17:35:00"/>
    <x v="0"/>
    <x v="2"/>
    <x v="6"/>
    <x v="21"/>
    <n v="17"/>
    <n v="35"/>
    <n v="737929055"/>
    <s v="1403/12/21"/>
    <d v="1899-12-30T10:30:00"/>
    <x v="0"/>
    <x v="1"/>
    <x v="5"/>
    <s v="21"/>
    <n v="10"/>
    <n v="30"/>
    <n v="737930070"/>
    <s v="شکستگی تیغه کاتر- فعلا با این شرایط همچنان فعال است"/>
    <n v="16.916666666666668"/>
    <n v="24"/>
    <n v="0.2"/>
    <n v="360"/>
    <n v="720"/>
    <n v="191.75"/>
    <n v="737917550"/>
  </r>
  <r>
    <n v="55"/>
    <x v="0"/>
    <x v="8"/>
    <s v="Cutting Machine3"/>
    <x v="8"/>
    <x v="0"/>
    <s v="1403/12/22"/>
    <d v="1899-12-30T00:00:00"/>
    <x v="0"/>
    <x v="2"/>
    <x v="6"/>
    <x v="22"/>
    <n v="0"/>
    <n v="0"/>
    <n v="737930880"/>
    <s v="1403/12/22"/>
    <d v="1899-12-30T03:40:00"/>
    <x v="0"/>
    <x v="1"/>
    <x v="5"/>
    <s v="22"/>
    <n v="3"/>
    <n v="40"/>
    <n v="737931100"/>
    <s v="خرابی فولی وشفت فولی "/>
    <n v="3.6666666666666665"/>
    <n v="24"/>
    <n v="0.2"/>
    <n v="360"/>
    <n v="720"/>
    <n v="13.5"/>
    <n v="737930070"/>
  </r>
  <r>
    <n v="56"/>
    <x v="0"/>
    <x v="7"/>
    <s v="Cutting Machine2"/>
    <x v="7"/>
    <x v="0"/>
    <s v="1403/12/25"/>
    <d v="1899-12-30T08:26:00"/>
    <x v="0"/>
    <x v="2"/>
    <x v="6"/>
    <x v="23"/>
    <n v="8"/>
    <n v="26"/>
    <n v="737935706"/>
    <s v="1403/12/25"/>
    <d v="1899-12-30T11:20:00"/>
    <x v="0"/>
    <x v="1"/>
    <x v="5"/>
    <s v="25"/>
    <n v="11"/>
    <n v="20"/>
    <n v="737935880"/>
    <s v="خرابی رولربرش"/>
    <n v="2.9"/>
    <n v="24"/>
    <n v="0.2"/>
    <n v="360"/>
    <n v="720"/>
    <n v="247.26666666666668"/>
    <n v="737920870"/>
  </r>
  <r>
    <n v="57"/>
    <x v="0"/>
    <x v="8"/>
    <s v="Cutting Machine3"/>
    <x v="8"/>
    <x v="0"/>
    <s v="1403/12/26"/>
    <d v="1899-12-30T10:06:00"/>
    <x v="0"/>
    <x v="2"/>
    <x v="6"/>
    <x v="10"/>
    <n v="10"/>
    <n v="6"/>
    <n v="737937246"/>
    <s v="1403/12/26"/>
    <d v="1899-12-30T14:21:00"/>
    <x v="0"/>
    <x v="1"/>
    <x v="5"/>
    <s v="26"/>
    <n v="14"/>
    <n v="21"/>
    <n v="737937501"/>
    <s v="              به علت قطعی سیم المنت تیغه برش نایلون"/>
    <n v="4.25"/>
    <n v="24"/>
    <n v="0.2"/>
    <n v="360"/>
    <n v="720"/>
    <n v="102.43333333333334"/>
    <n v="737931100"/>
  </r>
  <r>
    <n v="58"/>
    <x v="0"/>
    <x v="5"/>
    <s v="Cutting Machine4"/>
    <x v="5"/>
    <x v="0"/>
    <s v="1403/12/27"/>
    <d v="1899-12-30T19:30:00"/>
    <x v="0"/>
    <x v="2"/>
    <x v="6"/>
    <x v="16"/>
    <n v="19"/>
    <n v="30"/>
    <n v="737939250"/>
    <s v="1404/01/17"/>
    <d v="1899-12-30T15:13:00"/>
    <x v="1"/>
    <x v="2"/>
    <x v="6"/>
    <s v="17"/>
    <n v="15"/>
    <n v="13"/>
    <n v="737966353"/>
    <s v="به علت قطع شدن تسمه رولر"/>
    <n v="451.71666666666664"/>
    <n v="24"/>
    <n v="0.2"/>
    <n v="360"/>
    <n v="720"/>
    <n v="224"/>
    <n v="737925810"/>
  </r>
  <r>
    <n v="59"/>
    <x v="0"/>
    <x v="7"/>
    <s v="Cutting Machine2"/>
    <x v="7"/>
    <x v="0"/>
    <s v="1404/01/18"/>
    <d v="1899-12-30T09:52:00"/>
    <x v="1"/>
    <x v="3"/>
    <x v="7"/>
    <x v="5"/>
    <n v="9"/>
    <n v="52"/>
    <n v="737967472"/>
    <s v="1404/01/18"/>
    <d v="1899-12-30T11:39:00"/>
    <x v="1"/>
    <x v="2"/>
    <x v="6"/>
    <s v="18"/>
    <n v="11"/>
    <n v="39"/>
    <n v="737967579"/>
    <s v="تعویض تیغه تاکر"/>
    <n v="1.7833333333333334"/>
    <n v="24"/>
    <n v="0.2"/>
    <n v="360"/>
    <n v="720"/>
    <n v="526.5333333333333"/>
    <n v="737935880"/>
  </r>
  <r>
    <n v="60"/>
    <x v="4"/>
    <x v="18"/>
    <s v="Insole 9200"/>
    <x v="25"/>
    <x v="0"/>
    <s v="1404/01/20"/>
    <d v="1899-12-30T09:00:00"/>
    <x v="1"/>
    <x v="3"/>
    <x v="7"/>
    <x v="21"/>
    <n v="9"/>
    <n v="0"/>
    <n v="737970300"/>
    <s v="1404/01/31"/>
    <d v="1899-12-30T12:50:00"/>
    <x v="1"/>
    <x v="2"/>
    <x v="6"/>
    <s v="31"/>
    <n v="12"/>
    <n v="50"/>
    <n v="737986370"/>
    <s v="خرابی اینسرت جای بند کفی 9200"/>
    <n v="267.83333333333331"/>
    <n v="24"/>
    <n v="0.2"/>
    <n v="360"/>
    <n v="720"/>
    <s v=""/>
    <s v=""/>
  </r>
  <r>
    <n v="61"/>
    <x v="0"/>
    <x v="4"/>
    <s v="Shrink1"/>
    <x v="4"/>
    <x v="0"/>
    <s v="1404/01/21"/>
    <d v="1899-12-30T08:16:00"/>
    <x v="1"/>
    <x v="3"/>
    <x v="7"/>
    <x v="24"/>
    <n v="8"/>
    <n v="16"/>
    <n v="737971696"/>
    <s v="1404/01/21"/>
    <d v="1899-12-30T08:59:00"/>
    <x v="1"/>
    <x v="2"/>
    <x v="6"/>
    <s v="21"/>
    <n v="8"/>
    <n v="59"/>
    <n v="737971739"/>
    <s v="قطعی سیم شصتی استراری "/>
    <n v="0.71666666666666667"/>
    <n v="24"/>
    <n v="0.2"/>
    <n v="360"/>
    <n v="720"/>
    <n v="3686.6"/>
    <n v="737750500"/>
  </r>
  <r>
    <n v="62"/>
    <x v="0"/>
    <x v="7"/>
    <s v="Cutting Machine2"/>
    <x v="7"/>
    <x v="0"/>
    <s v="1404/01/25"/>
    <d v="1899-12-30T18:24:00"/>
    <x v="1"/>
    <x v="3"/>
    <x v="7"/>
    <x v="23"/>
    <n v="18"/>
    <n v="24"/>
    <n v="737978064"/>
    <s v="1404/01/25"/>
    <d v="1899-12-30T19:01:00"/>
    <x v="1"/>
    <x v="2"/>
    <x v="6"/>
    <s v="25"/>
    <n v="19"/>
    <n v="1"/>
    <n v="737978101"/>
    <s v="شکستگی بلبرینگ شفت تیغه"/>
    <n v="0.6166666666666667"/>
    <n v="24"/>
    <n v="0.2"/>
    <n v="360"/>
    <n v="720"/>
    <n v="174.75"/>
    <n v="737967579"/>
  </r>
  <r>
    <n v="63"/>
    <x v="1"/>
    <x v="23"/>
    <s v="Bevice Shring 4"/>
    <x v="26"/>
    <x v="0"/>
    <s v="1404/01/26"/>
    <d v="1899-12-30T10:10:00"/>
    <x v="1"/>
    <x v="3"/>
    <x v="7"/>
    <x v="10"/>
    <n v="10"/>
    <n v="10"/>
    <n v="737979010"/>
    <s v="1404/01/26"/>
    <d v="1899-12-30T10:20:00"/>
    <x v="1"/>
    <x v="2"/>
    <x v="6"/>
    <s v="26"/>
    <n v="10"/>
    <n v="20"/>
    <n v="737979020"/>
    <s v="خرابی سنسور تشخیص ساعت "/>
    <n v="0.16666666666666666"/>
    <n v="24"/>
    <n v="0.2"/>
    <n v="360"/>
    <n v="720"/>
    <s v=""/>
    <s v=""/>
  </r>
  <r>
    <n v="64"/>
    <x v="0"/>
    <x v="24"/>
    <s v="(Flexographic) Printing Machine2"/>
    <x v="6"/>
    <x v="0"/>
    <s v="1404/01/26"/>
    <d v="1899-12-30T19:15:00"/>
    <x v="1"/>
    <x v="3"/>
    <x v="7"/>
    <x v="10"/>
    <n v="19"/>
    <n v="15"/>
    <n v="737979555"/>
    <s v="1404/01/26"/>
    <d v="1899-12-30T20:30:00"/>
    <x v="1"/>
    <x v="2"/>
    <x v="6"/>
    <s v="26"/>
    <n v="20"/>
    <n v="30"/>
    <n v="737979630"/>
    <s v="قطع شدن پی در پی برق و پاره شدن کاغذ"/>
    <n v="1.25"/>
    <n v="24"/>
    <n v="0.2"/>
    <n v="360"/>
    <n v="720"/>
    <n v="988.25"/>
    <n v="737920260"/>
  </r>
  <r>
    <n v="65"/>
    <x v="0"/>
    <x v="7"/>
    <s v="Cutting Machine2"/>
    <x v="7"/>
    <x v="0"/>
    <s v="1404/01/26"/>
    <d v="1899-12-30T17:00:00"/>
    <x v="1"/>
    <x v="3"/>
    <x v="7"/>
    <x v="10"/>
    <n v="17"/>
    <n v="0"/>
    <n v="737979420"/>
    <s v="1404/01/26"/>
    <d v="1899-12-30T20:35:00"/>
    <x v="1"/>
    <x v="2"/>
    <x v="6"/>
    <s v="26"/>
    <n v="20"/>
    <n v="35"/>
    <n v="737979635"/>
    <s v="تعویض بلبرینگ "/>
    <n v="3.5833333333333335"/>
    <n v="24"/>
    <n v="0.2"/>
    <n v="360"/>
    <n v="720"/>
    <n v="21.983333333333334"/>
    <n v="737978101"/>
  </r>
  <r>
    <n v="66"/>
    <x v="0"/>
    <x v="25"/>
    <s v="Conveyor- 18 meter"/>
    <x v="27"/>
    <x v="0"/>
    <s v="1404/01/27"/>
    <d v="1899-12-30T10:15:00"/>
    <x v="1"/>
    <x v="3"/>
    <x v="7"/>
    <x v="16"/>
    <n v="10"/>
    <n v="15"/>
    <n v="737980455"/>
    <s v="1404/01/27"/>
    <d v="1899-12-30T11:15:00"/>
    <x v="1"/>
    <x v="2"/>
    <x v="6"/>
    <s v="27"/>
    <n v="11"/>
    <n v="15"/>
    <n v="737980515"/>
    <s v="خرابی موتور کانوایر "/>
    <n v="1"/>
    <n v="24"/>
    <n v="0.2"/>
    <n v="360"/>
    <n v="720"/>
    <s v=""/>
    <s v=""/>
  </r>
  <r>
    <n v="67"/>
    <x v="0"/>
    <x v="7"/>
    <s v="Cutting Machine2"/>
    <x v="7"/>
    <x v="0"/>
    <s v="1404/01/31"/>
    <d v="1899-12-30T09:43:00"/>
    <x v="1"/>
    <x v="3"/>
    <x v="7"/>
    <x v="25"/>
    <n v="9"/>
    <n v="43"/>
    <n v="737986183"/>
    <s v="1404/02/01"/>
    <d v="1899-12-30T16:59:00"/>
    <x v="1"/>
    <x v="2"/>
    <x v="7"/>
    <s v="01"/>
    <n v="16"/>
    <n v="59"/>
    <n v="737988059"/>
    <s v="خرابی رولر و نبود قطعه جایگزین"/>
    <n v="31.266666666666666"/>
    <n v="24"/>
    <n v="0.2"/>
    <n v="360"/>
    <n v="720"/>
    <n v="109.13333333333334"/>
    <n v="737979635"/>
  </r>
  <r>
    <n v="68"/>
    <x v="0"/>
    <x v="8"/>
    <s v="Cutting Machine3"/>
    <x v="8"/>
    <x v="0"/>
    <s v="1404/01/31"/>
    <d v="1899-12-30T09:43:00"/>
    <x v="1"/>
    <x v="3"/>
    <x v="7"/>
    <x v="25"/>
    <n v="9"/>
    <n v="43"/>
    <n v="737986183"/>
    <s v="1404/02/02"/>
    <d v="1899-12-30T16:08:00"/>
    <x v="1"/>
    <x v="2"/>
    <x v="7"/>
    <s v="02"/>
    <n v="16"/>
    <n v="8"/>
    <n v="737989448"/>
    <s v="خرابی رولر و نبود قطعه جایگزین"/>
    <n v="54.416666666666664"/>
    <n v="24"/>
    <n v="0.2"/>
    <n v="360"/>
    <n v="720"/>
    <n v="811.36666666666667"/>
    <n v="737937501"/>
  </r>
  <r>
    <n v="69"/>
    <x v="0"/>
    <x v="0"/>
    <s v="Cutting Machine1"/>
    <x v="0"/>
    <x v="0"/>
    <s v="1404/01/31"/>
    <d v="1899-12-30T11:43:00"/>
    <x v="1"/>
    <x v="3"/>
    <x v="7"/>
    <x v="25"/>
    <n v="11"/>
    <n v="43"/>
    <n v="737986303"/>
    <s v="1404/02/02"/>
    <d v="1899-12-30T16:10:00"/>
    <x v="1"/>
    <x v="2"/>
    <x v="7"/>
    <s v="02"/>
    <n v="16"/>
    <n v="10"/>
    <n v="737989450"/>
    <s v="خرابی شفت فولی "/>
    <n v="52.45"/>
    <n v="24"/>
    <n v="0.2"/>
    <n v="360"/>
    <n v="720"/>
    <n v="1236.7833333333333"/>
    <n v="737912096"/>
  </r>
  <r>
    <n v="70"/>
    <x v="2"/>
    <x v="2"/>
    <m/>
    <x v="2"/>
    <x v="0"/>
    <s v="1404/01/31"/>
    <d v="1899-12-30T16:00:00"/>
    <x v="1"/>
    <x v="3"/>
    <x v="7"/>
    <x v="25"/>
    <n v="16"/>
    <n v="0"/>
    <n v="737986560"/>
    <s v="1404/01/31"/>
    <d v="1899-12-30T16:30:00"/>
    <x v="1"/>
    <x v="2"/>
    <x v="6"/>
    <s v="31"/>
    <n v="16"/>
    <n v="30"/>
    <n v="737986590"/>
    <s v="عدم چرخش آب چیلر "/>
    <n v="0.5"/>
    <n v="24"/>
    <n v="0.2"/>
    <n v="360"/>
    <n v="720"/>
    <n v="4122.8833333333332"/>
    <n v="737739187"/>
  </r>
  <r>
    <n v="71"/>
    <x v="0"/>
    <x v="24"/>
    <s v="(Flexographic) Printing Machine2"/>
    <x v="6"/>
    <x v="0"/>
    <s v="1404/02/02"/>
    <d v="1899-12-30T17:56:00"/>
    <x v="1"/>
    <x v="3"/>
    <x v="8"/>
    <x v="26"/>
    <n v="17"/>
    <n v="56"/>
    <n v="737989556"/>
    <s v="1404/02/03"/>
    <d v="1899-12-30T08:05:00"/>
    <x v="1"/>
    <x v="2"/>
    <x v="7"/>
    <s v="03"/>
    <n v="8"/>
    <n v="5"/>
    <n v="737990405"/>
    <s v="توقف بر اثر احتراق کنتاکتور "/>
    <n v="14.15"/>
    <n v="24"/>
    <n v="0.2"/>
    <n v="360"/>
    <n v="720"/>
    <n v="165.43333333333334"/>
    <n v="737979630"/>
  </r>
  <r>
    <n v="72"/>
    <x v="0"/>
    <x v="8"/>
    <s v="Cutting Machine3"/>
    <x v="8"/>
    <x v="0"/>
    <s v="1404/02/03"/>
    <d v="1899-12-30T21:46:00"/>
    <x v="1"/>
    <x v="3"/>
    <x v="8"/>
    <x v="13"/>
    <n v="21"/>
    <n v="46"/>
    <n v="737991226"/>
    <s v="1404/02/06"/>
    <d v="1899-12-30T18:53:00"/>
    <x v="1"/>
    <x v="2"/>
    <x v="7"/>
    <s v="06"/>
    <n v="18"/>
    <n v="53"/>
    <n v="737995373"/>
    <s v="خرابی رولر شل بودن بیش از حد رول ها"/>
    <n v="69.11666666666666"/>
    <n v="24"/>
    <n v="0.2"/>
    <n v="360"/>
    <n v="720"/>
    <n v="29.633333333333333"/>
    <n v="737989448"/>
  </r>
  <r>
    <n v="73"/>
    <x v="0"/>
    <x v="7"/>
    <s v="Cutting Machine2"/>
    <x v="7"/>
    <x v="0"/>
    <s v="1404/02/06"/>
    <d v="1899-12-30T18:00:00"/>
    <x v="1"/>
    <x v="3"/>
    <x v="8"/>
    <x v="27"/>
    <n v="18"/>
    <n v="0"/>
    <n v="737995320"/>
    <s v="1404/02/07"/>
    <d v="1899-12-30T21:30:00"/>
    <x v="1"/>
    <x v="2"/>
    <x v="7"/>
    <s v="07"/>
    <n v="21"/>
    <n v="30"/>
    <n v="737996970"/>
    <s v="خرابی رولر "/>
    <n v="27.5"/>
    <n v="24"/>
    <n v="0.2"/>
    <n v="360"/>
    <n v="720"/>
    <n v="121.01666666666667"/>
    <n v="737988059"/>
  </r>
  <r>
    <n v="74"/>
    <x v="0"/>
    <x v="5"/>
    <s v="Cutting Machine4"/>
    <x v="5"/>
    <x v="0"/>
    <s v="1404/02/10"/>
    <d v="1899-12-30T11:20:00"/>
    <x v="1"/>
    <x v="3"/>
    <x v="8"/>
    <x v="3"/>
    <n v="11"/>
    <n v="20"/>
    <n v="738000680"/>
    <s v="1404/02/10"/>
    <d v="1899-12-30T11:58:00"/>
    <x v="1"/>
    <x v="2"/>
    <x v="7"/>
    <s v="10"/>
    <n v="11"/>
    <n v="58"/>
    <n v="738000718"/>
    <s v="پارگی تسمه"/>
    <n v="0.6333333333333333"/>
    <n v="24"/>
    <n v="0.2"/>
    <n v="360"/>
    <n v="720"/>
    <n v="572.11666666666667"/>
    <n v="737966353"/>
  </r>
  <r>
    <n v="75"/>
    <x v="0"/>
    <x v="5"/>
    <s v="Cutting Machine4"/>
    <x v="5"/>
    <x v="0"/>
    <s v="1404/02/10"/>
    <d v="1899-12-30T12:50:00"/>
    <x v="1"/>
    <x v="3"/>
    <x v="8"/>
    <x v="3"/>
    <n v="12"/>
    <n v="50"/>
    <n v="738000770"/>
    <s v="1404/02/10"/>
    <d v="1899-12-30T13:20:00"/>
    <x v="1"/>
    <x v="2"/>
    <x v="7"/>
    <s v="10"/>
    <n v="13"/>
    <n v="20"/>
    <n v="738000800"/>
    <s v="پارگی تسمه"/>
    <n v="0.5"/>
    <n v="24"/>
    <n v="0.2"/>
    <n v="360"/>
    <n v="720"/>
    <n v="0.8666666666666667"/>
    <n v="738000718"/>
  </r>
  <r>
    <n v="76"/>
    <x v="0"/>
    <x v="5"/>
    <s v="Cutting Machine4"/>
    <x v="5"/>
    <x v="0"/>
    <s v="1404/02/10"/>
    <d v="1899-12-30T19:11:00"/>
    <x v="1"/>
    <x v="3"/>
    <x v="8"/>
    <x v="3"/>
    <n v="19"/>
    <n v="11"/>
    <n v="738001151"/>
    <s v="1404/02/10"/>
    <d v="1899-12-30T22:07:00"/>
    <x v="1"/>
    <x v="2"/>
    <x v="7"/>
    <s v="10"/>
    <n v="22"/>
    <n v="7"/>
    <n v="738001327"/>
    <s v="خرابی و شل بودن تسمه ها "/>
    <n v="2.9333333333333331"/>
    <n v="24"/>
    <n v="0.2"/>
    <n v="360"/>
    <n v="720"/>
    <n v="5.85"/>
    <n v="738000800"/>
  </r>
  <r>
    <n v="77"/>
    <x v="0"/>
    <x v="24"/>
    <s v="(Flexographic) Printing Machine2"/>
    <x v="6"/>
    <x v="0"/>
    <s v="1404/02/13"/>
    <d v="1899-12-30T08:00:00"/>
    <x v="1"/>
    <x v="3"/>
    <x v="8"/>
    <x v="28"/>
    <n v="8"/>
    <n v="0"/>
    <n v="738004800"/>
    <s v="1404/02/13"/>
    <d v="1899-12-30T08:43:00"/>
    <x v="1"/>
    <x v="2"/>
    <x v="7"/>
    <s v="13"/>
    <n v="8"/>
    <n v="43"/>
    <n v="738004843"/>
    <s v="توقف در حین کار و جابجا کردن کنتاکت های کمکی "/>
    <n v="0.71666666666666667"/>
    <n v="24"/>
    <n v="0.2"/>
    <n v="360"/>
    <n v="720"/>
    <n v="239.91666666666666"/>
    <n v="737990405"/>
  </r>
  <r>
    <n v="78"/>
    <x v="0"/>
    <x v="4"/>
    <s v="Shrink1"/>
    <x v="4"/>
    <x v="0"/>
    <s v="1404/02/14"/>
    <d v="1899-12-30T21:15:00"/>
    <x v="1"/>
    <x v="3"/>
    <x v="8"/>
    <x v="8"/>
    <n v="21"/>
    <n v="15"/>
    <n v="738007035"/>
    <s v="1404/02/14"/>
    <d v="1899-12-30T23:30:00"/>
    <x v="1"/>
    <x v="2"/>
    <x v="7"/>
    <s v="14"/>
    <n v="23"/>
    <n v="30"/>
    <n v="738007170"/>
    <s v="خرابی سنسور القایی"/>
    <n v="2.25"/>
    <n v="24"/>
    <n v="0.2"/>
    <n v="360"/>
    <n v="720"/>
    <n v="588.26666666666665"/>
    <n v="737971739"/>
  </r>
  <r>
    <n v="79"/>
    <x v="2"/>
    <x v="26"/>
    <m/>
    <x v="28"/>
    <x v="0"/>
    <s v="1404/02/15"/>
    <d v="1899-12-30T00:05:00"/>
    <x v="1"/>
    <x v="3"/>
    <x v="8"/>
    <x v="20"/>
    <n v="0"/>
    <n v="5"/>
    <n v="738007205"/>
    <s v="1404/02/15"/>
    <d v="1899-12-30T00:33:00"/>
    <x v="1"/>
    <x v="2"/>
    <x v="7"/>
    <s v="15"/>
    <n v="0"/>
    <n v="33"/>
    <n v="738007233"/>
    <s v="توقف دستگاه به دلیل قطعی مکرر برق "/>
    <n v="0.46666666666666667"/>
    <n v="24"/>
    <n v="0.2"/>
    <n v="360"/>
    <n v="720"/>
    <s v=""/>
    <s v=""/>
  </r>
  <r>
    <n v="80"/>
    <x v="0"/>
    <x v="24"/>
    <s v="(Flexographic) Printing Machine"/>
    <x v="6"/>
    <x v="0"/>
    <s v="1404/02/16"/>
    <d v="1899-12-30T08:43:00"/>
    <x v="1"/>
    <x v="3"/>
    <x v="8"/>
    <x v="4"/>
    <n v="8"/>
    <n v="43"/>
    <n v="738009163"/>
    <s v="1404/02/16"/>
    <d v="1899-12-30T09:08:00"/>
    <x v="1"/>
    <x v="2"/>
    <x v="7"/>
    <s v="16"/>
    <n v="9"/>
    <n v="8"/>
    <n v="738009188"/>
    <s v="یک لاین از کلید منیاتوری خراب شد "/>
    <n v="0.41666666666666669"/>
    <n v="24"/>
    <n v="0.2"/>
    <n v="360"/>
    <n v="720"/>
    <n v="72"/>
    <n v="738004843"/>
  </r>
  <r>
    <n v="81"/>
    <x v="1"/>
    <x v="27"/>
    <s v="Conveyor line 1/2"/>
    <x v="29"/>
    <x v="0"/>
    <s v="1404/02/16"/>
    <d v="1899-12-30T14:20:00"/>
    <x v="1"/>
    <x v="3"/>
    <x v="8"/>
    <x v="4"/>
    <n v="14"/>
    <n v="20"/>
    <n v="738009500"/>
    <s v="1404/02/16"/>
    <d v="1899-12-30T14:30:00"/>
    <x v="1"/>
    <x v="2"/>
    <x v="7"/>
    <s v="16"/>
    <n v="14"/>
    <n v="30"/>
    <n v="738009510"/>
    <s v="اتصال کوتا یکی از اداکتور ها "/>
    <n v="0.16666666666666666"/>
    <n v="24"/>
    <n v="0.2"/>
    <n v="360"/>
    <n v="720"/>
    <s v=""/>
    <s v=""/>
  </r>
  <r>
    <n v="82"/>
    <x v="0"/>
    <x v="4"/>
    <s v="Shrink1"/>
    <x v="4"/>
    <x v="0"/>
    <s v="1404/02/19"/>
    <d v="1899-12-30T08:55:00"/>
    <x v="1"/>
    <x v="3"/>
    <x v="8"/>
    <x v="9"/>
    <n v="8"/>
    <n v="55"/>
    <n v="738013495"/>
    <s v="1404/02/19"/>
    <d v="1899-12-30T10:23:00"/>
    <x v="1"/>
    <x v="2"/>
    <x v="7"/>
    <s v="19"/>
    <n v="10"/>
    <n v="23"/>
    <n v="738013583"/>
    <s v="خرابی جک نگهدارنده تیغه"/>
    <n v="1.4666666666666666"/>
    <n v="24"/>
    <n v="0.2"/>
    <n v="360"/>
    <n v="720"/>
    <n v="105.41666666666667"/>
    <n v="738007170"/>
  </r>
  <r>
    <n v="83"/>
    <x v="0"/>
    <x v="8"/>
    <s v="Cutting Machine3"/>
    <x v="8"/>
    <x v="0"/>
    <s v="1404/02/20"/>
    <d v="1899-12-30T08:00:00"/>
    <x v="1"/>
    <x v="3"/>
    <x v="8"/>
    <x v="21"/>
    <n v="8"/>
    <n v="0"/>
    <n v="738014880"/>
    <s v="1404/02/20"/>
    <d v="1899-12-30T11:26:00"/>
    <x v="1"/>
    <x v="2"/>
    <x v="7"/>
    <s v="20"/>
    <n v="11"/>
    <n v="26"/>
    <n v="738015086"/>
    <s v="خرابی بلبرینگ 6006"/>
    <n v="3.4333333333333331"/>
    <n v="24"/>
    <n v="0.2"/>
    <n v="360"/>
    <n v="720"/>
    <n v="325.11666666666667"/>
    <n v="737995373"/>
  </r>
  <r>
    <n v="84"/>
    <x v="0"/>
    <x v="5"/>
    <s v="Cutting Machine4"/>
    <x v="5"/>
    <x v="0"/>
    <s v="1404/02/21"/>
    <d v="1899-12-30T08:20:00"/>
    <x v="1"/>
    <x v="3"/>
    <x v="8"/>
    <x v="24"/>
    <n v="8"/>
    <n v="20"/>
    <n v="738016340"/>
    <s v="1404/02/21"/>
    <d v="1899-12-30T08:46:00"/>
    <x v="1"/>
    <x v="2"/>
    <x v="7"/>
    <s v="21"/>
    <n v="8"/>
    <n v="46"/>
    <n v="738016366"/>
    <s v="خراب تسمه 450L"/>
    <n v="0.43333333333333335"/>
    <n v="24"/>
    <n v="0.2"/>
    <n v="360"/>
    <n v="720"/>
    <n v="250.21666666666667"/>
    <n v="738001327"/>
  </r>
  <r>
    <n v="85"/>
    <x v="0"/>
    <x v="24"/>
    <s v="(Flexographic) Printing Machine2"/>
    <x v="6"/>
    <x v="0"/>
    <s v="1404/02/21"/>
    <d v="1899-12-30T17:25:00"/>
    <x v="1"/>
    <x v="3"/>
    <x v="8"/>
    <x v="24"/>
    <n v="17"/>
    <n v="25"/>
    <n v="738016885"/>
    <s v="1404/02/21"/>
    <d v="1899-12-30T17:52:00"/>
    <x v="1"/>
    <x v="2"/>
    <x v="7"/>
    <s v="21"/>
    <n v="17"/>
    <n v="52"/>
    <n v="738016912"/>
    <s v="تعویض غلطک هرز گرد کاغذ "/>
    <n v="0.45"/>
    <n v="24"/>
    <n v="0.2"/>
    <n v="360"/>
    <n v="720"/>
    <n v="128.28333333333333"/>
    <n v="738009188"/>
  </r>
  <r>
    <n v="86"/>
    <x v="0"/>
    <x v="7"/>
    <s v="Cutting Machine2"/>
    <x v="7"/>
    <x v="0"/>
    <s v="1404/02/21"/>
    <d v="1899-12-30T19:52:00"/>
    <x v="1"/>
    <x v="3"/>
    <x v="8"/>
    <x v="24"/>
    <n v="19"/>
    <n v="52"/>
    <n v="738017032"/>
    <s v="1404/02/21"/>
    <d v="1899-12-30T20:06:00"/>
    <x v="1"/>
    <x v="2"/>
    <x v="7"/>
    <s v="21"/>
    <n v="20"/>
    <n v="6"/>
    <n v="738017046"/>
    <s v="خراب غلطک سیلیکونی "/>
    <n v="0.23333333333333334"/>
    <n v="24"/>
    <n v="0.2"/>
    <n v="360"/>
    <n v="720"/>
    <n v="334.36666666666667"/>
    <n v="737996970"/>
  </r>
  <r>
    <n v="87"/>
    <x v="0"/>
    <x v="24"/>
    <s v="(Flexographic) Printing Machine2"/>
    <x v="6"/>
    <x v="0"/>
    <s v="1404/02/22"/>
    <d v="1899-12-30T23:23:00"/>
    <x v="1"/>
    <x v="3"/>
    <x v="8"/>
    <x v="22"/>
    <n v="23"/>
    <n v="23"/>
    <n v="738018683"/>
    <s v="1404/02/22"/>
    <d v="1899-12-30T23:52:00"/>
    <x v="1"/>
    <x v="2"/>
    <x v="7"/>
    <s v="22"/>
    <n v="23"/>
    <n v="52"/>
    <n v="738018712"/>
    <s v="خرابی سرشفت سیلندر جمع کن "/>
    <n v="0.48333333333333334"/>
    <n v="24"/>
    <n v="0.2"/>
    <n v="360"/>
    <n v="720"/>
    <n v="29.516666666666666"/>
    <n v="738016912"/>
  </r>
  <r>
    <n v="88"/>
    <x v="0"/>
    <x v="20"/>
    <s v="Brain filler 2"/>
    <x v="3"/>
    <x v="0"/>
    <s v="1404/02/23"/>
    <d v="1899-12-30T15:30:00"/>
    <x v="1"/>
    <x v="3"/>
    <x v="8"/>
    <x v="29"/>
    <n v="15"/>
    <n v="30"/>
    <n v="738019650"/>
    <s v="1404/02/23"/>
    <d v="1899-12-30T16:15:00"/>
    <x v="1"/>
    <x v="2"/>
    <x v="7"/>
    <s v="23"/>
    <n v="16"/>
    <n v="15"/>
    <n v="738019695"/>
    <s v="به دلیل از جا در رفتن موتور کف از محل نصب خود "/>
    <n v="0.75"/>
    <n v="24"/>
    <n v="0.2"/>
    <n v="360"/>
    <n v="720"/>
    <n v="1872.5"/>
    <n v="737907300"/>
  </r>
  <r>
    <n v="89"/>
    <x v="0"/>
    <x v="7"/>
    <s v="Cutting Machine2"/>
    <x v="7"/>
    <x v="0"/>
    <s v="1404/02/23"/>
    <d v="1899-12-30T18:13:00"/>
    <x v="1"/>
    <x v="3"/>
    <x v="8"/>
    <x v="29"/>
    <n v="18"/>
    <n v="13"/>
    <n v="738019813"/>
    <s v="1404/02/23"/>
    <d v="1899-12-30T19:05:00"/>
    <x v="1"/>
    <x v="2"/>
    <x v="7"/>
    <s v="23"/>
    <n v="19"/>
    <n v="5"/>
    <n v="738019865"/>
    <s v="خرابی شفت فولی و بلبرینگ 6006"/>
    <n v="0.8666666666666667"/>
    <n v="24"/>
    <n v="0.2"/>
    <n v="360"/>
    <n v="720"/>
    <n v="46.116666666666667"/>
    <n v="738017046"/>
  </r>
  <r>
    <n v="90"/>
    <x v="0"/>
    <x v="5"/>
    <s v="Cutting Machine4"/>
    <x v="5"/>
    <x v="0"/>
    <s v="1404/02/24"/>
    <d v="1899-12-30T12:08:00"/>
    <x v="1"/>
    <x v="3"/>
    <x v="8"/>
    <x v="15"/>
    <n v="12"/>
    <n v="8"/>
    <n v="738020888"/>
    <s v="1404/02/24"/>
    <d v="1899-12-30T12:45:00"/>
    <x v="1"/>
    <x v="2"/>
    <x v="7"/>
    <s v="24"/>
    <n v="12"/>
    <n v="45"/>
    <n v="738020925"/>
    <s v="جدا شدن سیم فرمان از رله plc"/>
    <n v="0.6166666666666667"/>
    <n v="24"/>
    <n v="0.2"/>
    <n v="360"/>
    <n v="720"/>
    <n v="75.36666666666666"/>
    <n v="738016366"/>
  </r>
  <r>
    <n v="91"/>
    <x v="0"/>
    <x v="7"/>
    <s v="Cutting Machine2"/>
    <x v="7"/>
    <x v="0"/>
    <s v="1404/02/27"/>
    <d v="1899-12-30T17:45:00"/>
    <x v="1"/>
    <x v="3"/>
    <x v="8"/>
    <x v="16"/>
    <n v="17"/>
    <n v="45"/>
    <n v="738025545"/>
    <s v="1404/02/27"/>
    <d v="1899-12-30T18:28:00"/>
    <x v="1"/>
    <x v="2"/>
    <x v="7"/>
    <s v="27"/>
    <n v="18"/>
    <n v="28"/>
    <n v="738025588"/>
    <s v="خرابی ولوم دستگاه "/>
    <n v="0.71666666666666667"/>
    <n v="24"/>
    <n v="0.2"/>
    <n v="360"/>
    <n v="720"/>
    <n v="94.666666666666671"/>
    <n v="738019865"/>
  </r>
  <r>
    <n v="92"/>
    <x v="0"/>
    <x v="28"/>
    <s v="Bevice Shring2"/>
    <x v="3"/>
    <x v="0"/>
    <s v="1404/02/30"/>
    <d v="1899-12-30T08:19:00"/>
    <x v="1"/>
    <x v="3"/>
    <x v="8"/>
    <x v="12"/>
    <n v="8"/>
    <n v="19"/>
    <n v="738029299"/>
    <s v="1404/02/30"/>
    <d v="1899-12-30T09:45:00"/>
    <x v="1"/>
    <x v="2"/>
    <x v="7"/>
    <s v="30"/>
    <n v="9"/>
    <n v="45"/>
    <n v="738029385"/>
    <s v="خرابی سنسور تیغه و لاستیک /راه اندازی موقت"/>
    <n v="1.4333333333333333"/>
    <n v="24"/>
    <n v="0.2"/>
    <n v="360"/>
    <n v="720"/>
    <n v="160.06666666666666"/>
    <n v="738019695"/>
  </r>
  <r>
    <n v="93"/>
    <x v="3"/>
    <x v="29"/>
    <s v=" Conveyer "/>
    <x v="30"/>
    <x v="0"/>
    <s v="1404/02/31"/>
    <d v="1899-12-30T18:00:00"/>
    <x v="1"/>
    <x v="3"/>
    <x v="8"/>
    <x v="25"/>
    <n v="18"/>
    <n v="0"/>
    <n v="738031320"/>
    <s v="1404/03/01"/>
    <d v="1899-12-30T08:31:00"/>
    <x v="1"/>
    <x v="2"/>
    <x v="8"/>
    <s v="01"/>
    <n v="8"/>
    <n v="31"/>
    <n v="738032191"/>
    <s v="خرابی ریجکت کانوایر/بردهای داخل دستگاه با هدر متصل شده اند، احتمالا اتصالشون شل شده بوده"/>
    <n v="14.516666666666667"/>
    <n v="24"/>
    <n v="0.2"/>
    <n v="360"/>
    <n v="720"/>
    <s v=""/>
    <s v=""/>
  </r>
  <r>
    <n v="94"/>
    <x v="3"/>
    <x v="30"/>
    <s v="Reject Conveyor"/>
    <x v="31"/>
    <x v="0"/>
    <s v="1404/02/31"/>
    <d v="1899-12-30T18:00:00"/>
    <x v="1"/>
    <x v="3"/>
    <x v="8"/>
    <x v="25"/>
    <n v="18"/>
    <n v="0"/>
    <n v="738031320"/>
    <s v="1404/02/31"/>
    <d v="1899-12-30T21:30:00"/>
    <x v="1"/>
    <x v="2"/>
    <x v="7"/>
    <s v="31"/>
    <n v="21"/>
    <n v="30"/>
    <n v="738031530"/>
    <s v="شل شدن برد درون دستگاه "/>
    <n v="3.5"/>
    <n v="24"/>
    <n v="0.2"/>
    <n v="360"/>
    <n v="720"/>
    <s v=""/>
    <s v=""/>
  </r>
  <r>
    <n v="95"/>
    <x v="0"/>
    <x v="28"/>
    <s v="Bevice Shring2"/>
    <x v="3"/>
    <x v="0"/>
    <s v="1404/03/01"/>
    <d v="1899-12-30T09:15:00"/>
    <x v="1"/>
    <x v="3"/>
    <x v="9"/>
    <x v="0"/>
    <n v="9"/>
    <n v="15"/>
    <n v="738032235"/>
    <s v="1404/03/01"/>
    <d v="1899-12-30T10:10:00"/>
    <x v="1"/>
    <x v="2"/>
    <x v="8"/>
    <s v="01"/>
    <n v="10"/>
    <n v="10"/>
    <n v="738032290"/>
    <s v="خرابی سنسور تیغه و لاستیک"/>
    <n v="0.91666666666666663"/>
    <n v="24"/>
    <n v="0.2"/>
    <n v="360"/>
    <n v="720"/>
    <n v="47.5"/>
    <n v="738029385"/>
  </r>
  <r>
    <n v="96"/>
    <x v="0"/>
    <x v="0"/>
    <s v="Cutting Machine2"/>
    <x v="0"/>
    <x v="0"/>
    <s v="1404/03/02"/>
    <d v="1899-12-30T17:54:00"/>
    <x v="1"/>
    <x v="3"/>
    <x v="9"/>
    <x v="26"/>
    <n v="17"/>
    <n v="54"/>
    <n v="738034194"/>
    <s v="1404/03/05"/>
    <d v="1899-12-30T00:16:00"/>
    <x v="1"/>
    <x v="2"/>
    <x v="8"/>
    <s v="05"/>
    <n v="0"/>
    <n v="16"/>
    <n v="738037456"/>
    <s v="به علت خرابی مغزی پرکن وعدم اتصال برق مغزی پرکن/راه اندازی برش۱ وتعمیر ونصب کابل برق دستگا"/>
    <n v="54.366666666666667"/>
    <n v="24"/>
    <n v="0.2"/>
    <n v="360"/>
    <n v="720"/>
    <n v="745.73333333333335"/>
    <n v="737989450"/>
  </r>
  <r>
    <n v="97"/>
    <x v="0"/>
    <x v="3"/>
    <s v="Shring2 "/>
    <x v="3"/>
    <x v="0"/>
    <s v="1404/03/05"/>
    <d v="1899-12-30T17:57:00"/>
    <x v="1"/>
    <x v="3"/>
    <x v="9"/>
    <x v="7"/>
    <n v="17"/>
    <n v="57"/>
    <n v="738038517"/>
    <s v="1404/03/06"/>
    <d v="1899-12-30T08:30:00"/>
    <x v="1"/>
    <x v="2"/>
    <x v="8"/>
    <s v="06"/>
    <n v="8"/>
    <n v="30"/>
    <n v="738039390"/>
    <s v="قطع شدن سنسور وخاموشی خط به صورت کامل"/>
    <n v="14.55"/>
    <n v="24"/>
    <n v="0.2"/>
    <n v="360"/>
    <n v="720"/>
    <n v="103.78333333333333"/>
    <n v="738032290"/>
  </r>
  <r>
    <n v="98"/>
    <x v="0"/>
    <x v="25"/>
    <s v="Conveyor- 18 meter"/>
    <x v="27"/>
    <x v="0"/>
    <s v="1404/03/06"/>
    <d v="1899-12-30T10:50:00"/>
    <x v="1"/>
    <x v="3"/>
    <x v="9"/>
    <x v="27"/>
    <n v="10"/>
    <n v="50"/>
    <n v="738039530"/>
    <s v="1404/03/06"/>
    <d v="1899-12-30T15:00:00"/>
    <x v="1"/>
    <x v="2"/>
    <x v="8"/>
    <s v="06"/>
    <n v="15"/>
    <n v="0"/>
    <n v="738039780"/>
    <s v="خرابی گیربکس/تعویض کامل الکتروموتور و گیربکس"/>
    <n v="4.166666666666667"/>
    <n v="24"/>
    <n v="0.2"/>
    <n v="360"/>
    <n v="720"/>
    <n v="983.58333333333337"/>
    <n v="737980515"/>
  </r>
  <r>
    <n v="99"/>
    <x v="0"/>
    <x v="24"/>
    <s v="(Flexographic) Printing Machine"/>
    <x v="6"/>
    <x v="0"/>
    <s v="1404/03/06"/>
    <d v="1899-12-30T13:40:00"/>
    <x v="1"/>
    <x v="3"/>
    <x v="9"/>
    <x v="27"/>
    <n v="13"/>
    <n v="40"/>
    <n v="738039700"/>
    <s v="1404/03/06"/>
    <d v="1899-12-30T18:48:00"/>
    <x v="1"/>
    <x v="2"/>
    <x v="8"/>
    <s v="06"/>
    <n v="18"/>
    <n v="48"/>
    <n v="738040008"/>
    <s v="علت :خرابی سیلندر/ راه انداز ی موقت"/>
    <n v="5.1333333333333337"/>
    <n v="24"/>
    <n v="0.2"/>
    <n v="360"/>
    <n v="720"/>
    <n v="349.8"/>
    <n v="738018712"/>
  </r>
  <r>
    <n v="100"/>
    <x v="0"/>
    <x v="8"/>
    <s v="Cutting Machine3"/>
    <x v="8"/>
    <x v="0"/>
    <s v="1404/03/06"/>
    <d v="1899-12-30T11:32:00"/>
    <x v="1"/>
    <x v="3"/>
    <x v="9"/>
    <x v="27"/>
    <n v="11"/>
    <n v="32"/>
    <n v="738039572"/>
    <s v="1404/03/07"/>
    <d v="1899-12-30T18:51:00"/>
    <x v="1"/>
    <x v="2"/>
    <x v="8"/>
    <s v="07"/>
    <n v="18"/>
    <n v="51"/>
    <n v="738041451"/>
    <s v="شفت بادی برش ۳ خراب است و باد خالی میکند /سوزن  تعویض شد"/>
    <n v="31.316666666666666"/>
    <n v="24"/>
    <n v="0.2"/>
    <n v="360"/>
    <n v="720"/>
    <n v="408.1"/>
    <n v="738015086"/>
  </r>
  <r>
    <n v="101"/>
    <x v="0"/>
    <x v="5"/>
    <s v="Cutting Machine4"/>
    <x v="5"/>
    <x v="0"/>
    <s v="1404/03/07"/>
    <d v="1899-12-30T14:20:00"/>
    <x v="1"/>
    <x v="3"/>
    <x v="9"/>
    <x v="17"/>
    <n v="14"/>
    <n v="20"/>
    <n v="738041180"/>
    <s v="1404/03/07"/>
    <d v="1899-12-30T15:45:00"/>
    <x v="1"/>
    <x v="2"/>
    <x v="8"/>
    <s v="07"/>
    <n v="15"/>
    <n v="45"/>
    <n v="738041265"/>
    <s v="بریدن پیچ جک تاکر /جک پنوماتیکی تاکر تعویض و کورس جک تنظیم شد"/>
    <n v="1.4166666666666667"/>
    <n v="24"/>
    <n v="0.2"/>
    <n v="360"/>
    <n v="720"/>
    <n v="337.58333333333331"/>
    <n v="738020925"/>
  </r>
  <r>
    <n v="102"/>
    <x v="0"/>
    <x v="0"/>
    <s v="Cutting Machine1"/>
    <x v="0"/>
    <x v="0"/>
    <s v="1404/03/07"/>
    <d v="1899-12-30T18:42:00"/>
    <x v="1"/>
    <x v="3"/>
    <x v="9"/>
    <x v="17"/>
    <n v="18"/>
    <n v="42"/>
    <n v="738041442"/>
    <s v="1404/03/08"/>
    <d v="1899-12-30T18:40:00"/>
    <x v="1"/>
    <x v="2"/>
    <x v="8"/>
    <s v="08"/>
    <n v="18"/>
    <n v="40"/>
    <n v="738042880"/>
    <s v="شل بودن رول -خرابی رولر/سفت کردن پیچ رولر"/>
    <n v="23.966666666666665"/>
    <n v="24"/>
    <n v="0.2"/>
    <n v="360"/>
    <n v="720"/>
    <n v="66.433333333333337"/>
    <n v="738037456"/>
  </r>
  <r>
    <n v="103"/>
    <x v="3"/>
    <x v="10"/>
    <s v="Nitrogen Reflow Oven"/>
    <x v="10"/>
    <x v="0"/>
    <s v="1404/03/08"/>
    <d v="1899-12-30T07:36:00"/>
    <x v="1"/>
    <x v="3"/>
    <x v="9"/>
    <x v="2"/>
    <n v="7"/>
    <n v="36"/>
    <n v="738042216"/>
    <s v="1404/03/08"/>
    <d v="1899-12-30T10:05:00"/>
    <x v="1"/>
    <x v="2"/>
    <x v="8"/>
    <s v="08"/>
    <n v="10"/>
    <n v="5"/>
    <n v="738042365"/>
    <s v=" علت خطایی _x000a_conveyor width limit over"/>
    <n v="2.4833333333333334"/>
    <n v="24"/>
    <n v="0.2"/>
    <n v="360"/>
    <n v="720"/>
    <n v="4124.5166666666664"/>
    <n v="737794745"/>
  </r>
  <r>
    <n v="104"/>
    <x v="3"/>
    <x v="31"/>
    <s v="Reject Conveyor"/>
    <x v="32"/>
    <x v="0"/>
    <s v="1404/03/08"/>
    <d v="1899-12-30T07:37:00"/>
    <x v="1"/>
    <x v="3"/>
    <x v="9"/>
    <x v="2"/>
    <n v="7"/>
    <n v="37"/>
    <n v="738042217"/>
    <s v="1404/03/08"/>
    <d v="1899-12-30T08:26:00"/>
    <x v="1"/>
    <x v="2"/>
    <x v="8"/>
    <s v="08"/>
    <n v="8"/>
    <n v="26"/>
    <n v="738042266"/>
    <s v="علت خرابی قطعی سیم تغذیه dc"/>
    <n v="0.81666666666666665"/>
    <n v="24"/>
    <n v="0.2"/>
    <n v="360"/>
    <n v="720"/>
    <s v=""/>
    <s v=""/>
  </r>
  <r>
    <n v="105"/>
    <x v="0"/>
    <x v="7"/>
    <s v="Cutting Machine2"/>
    <x v="7"/>
    <x v="0"/>
    <s v="1404/03/09"/>
    <d v="1899-12-30T00:09:00"/>
    <x v="1"/>
    <x v="3"/>
    <x v="9"/>
    <x v="14"/>
    <n v="0"/>
    <n v="9"/>
    <n v="738043209"/>
    <s v="1404/03/10"/>
    <d v="1899-12-30T10:30:00"/>
    <x v="1"/>
    <x v="2"/>
    <x v="8"/>
    <s v="10"/>
    <n v="10"/>
    <n v="30"/>
    <n v="738045270"/>
    <s v="رها شدن موتور مغزی پرکن توقف برش وخاموشی/جابجایی مغزی پرکن1و2"/>
    <n v="34.35"/>
    <n v="24"/>
    <n v="0.2"/>
    <n v="360"/>
    <n v="720"/>
    <n v="293.68333333333334"/>
    <n v="738025588"/>
  </r>
  <r>
    <n v="106"/>
    <x v="0"/>
    <x v="8"/>
    <s v="Cutting Machine3"/>
    <x v="8"/>
    <x v="0"/>
    <s v="1404/03/10"/>
    <d v="1899-12-30T11:30:00"/>
    <x v="1"/>
    <x v="3"/>
    <x v="9"/>
    <x v="3"/>
    <n v="11"/>
    <n v="30"/>
    <n v="738045330"/>
    <s v="1404/03/10"/>
    <d v="1899-12-30T11:44:00"/>
    <x v="1"/>
    <x v="2"/>
    <x v="8"/>
    <s v="10"/>
    <n v="11"/>
    <n v="44"/>
    <n v="738045344"/>
    <s v="خرابی کلید استارت/تعویض کلید استارت"/>
    <n v="0.23333333333333334"/>
    <n v="24"/>
    <n v="0.2"/>
    <n v="360"/>
    <n v="720"/>
    <n v="64.650000000000006"/>
    <n v="738041451"/>
  </r>
  <r>
    <n v="107"/>
    <x v="0"/>
    <x v="5"/>
    <s v="Cutting Machine4"/>
    <x v="5"/>
    <x v="0"/>
    <s v="1404/03/10"/>
    <d v="1899-12-30T11:58:00"/>
    <x v="1"/>
    <x v="3"/>
    <x v="9"/>
    <x v="3"/>
    <n v="11"/>
    <n v="58"/>
    <n v="738045358"/>
    <s v="1404/03/10"/>
    <d v="1899-12-30T12:04:00"/>
    <x v="1"/>
    <x v="2"/>
    <x v="8"/>
    <s v="10"/>
    <n v="12"/>
    <n v="4"/>
    <n v="738045364"/>
    <s v="خرابی کلید استارت/تعویض کلید استارت"/>
    <n v="0.1"/>
    <n v="24"/>
    <n v="0.2"/>
    <n v="360"/>
    <n v="720"/>
    <n v="68.216666666666669"/>
    <n v="738041265"/>
  </r>
  <r>
    <n v="108"/>
    <x v="0"/>
    <x v="24"/>
    <s v="(Flexographic) Printing Machine"/>
    <x v="6"/>
    <x v="0"/>
    <s v="1404/03/11"/>
    <d v="1899-12-30T11:11:00"/>
    <x v="1"/>
    <x v="3"/>
    <x v="9"/>
    <x v="18"/>
    <n v="11"/>
    <n v="11"/>
    <n v="738046751"/>
    <s v="1404/03/11"/>
    <d v="1899-12-30T11:30:00"/>
    <x v="1"/>
    <x v="2"/>
    <x v="8"/>
    <s v="11"/>
    <n v="11"/>
    <n v="30"/>
    <n v="738046770"/>
    <s v="خرابی فن میانچاپ"/>
    <n v="0.31666666666666665"/>
    <n v="24"/>
    <n v="0.2"/>
    <n v="360"/>
    <n v="720"/>
    <n v="112.38333333333334"/>
    <n v="738040008"/>
  </r>
  <r>
    <n v="109"/>
    <x v="0"/>
    <x v="24"/>
    <s v="(Flexographic) Printing Machine"/>
    <x v="6"/>
    <x v="0"/>
    <s v="1404/03/11"/>
    <d v="1899-12-30T12:18:00"/>
    <x v="1"/>
    <x v="3"/>
    <x v="9"/>
    <x v="18"/>
    <n v="12"/>
    <n v="18"/>
    <n v="738046818"/>
    <s v="1404/03/11"/>
    <d v="1899-12-30T13:09:00"/>
    <x v="1"/>
    <x v="2"/>
    <x v="8"/>
    <s v="11"/>
    <n v="13"/>
    <n v="9"/>
    <n v="738046869"/>
    <s v="بازکردن و نصب مجدد بعد از رفع ایراد از فن میانچاپ"/>
    <n v="0.85"/>
    <n v="24"/>
    <n v="0.2"/>
    <n v="360"/>
    <n v="720"/>
    <n v="0.8"/>
    <n v="738046770"/>
  </r>
  <r>
    <n v="110"/>
    <x v="0"/>
    <x v="8"/>
    <s v="Cutting Machine3"/>
    <x v="8"/>
    <x v="0"/>
    <s v="1404/03/11"/>
    <d v="1899-12-30T15:09:00"/>
    <x v="1"/>
    <x v="3"/>
    <x v="9"/>
    <x v="18"/>
    <n v="15"/>
    <n v="9"/>
    <n v="738046989"/>
    <s v="1404/03/11"/>
    <d v="1899-12-30T16:04:00"/>
    <x v="1"/>
    <x v="2"/>
    <x v="8"/>
    <s v="11"/>
    <n v="16"/>
    <n v="4"/>
    <n v="738047044"/>
    <s v="خرابی انکودر-تعویض انکودر از دستگاه5"/>
    <n v="0.91666666666666663"/>
    <n v="24"/>
    <n v="0.2"/>
    <n v="360"/>
    <n v="720"/>
    <n v="27.416666666666668"/>
    <n v="738045344"/>
  </r>
  <r>
    <n v="111"/>
    <x v="0"/>
    <x v="5"/>
    <s v="Cutting Machine4"/>
    <x v="5"/>
    <x v="0"/>
    <s v="1404/03/13"/>
    <d v="1899-12-30T08:23:00"/>
    <x v="1"/>
    <x v="3"/>
    <x v="9"/>
    <x v="28"/>
    <n v="8"/>
    <n v="23"/>
    <n v="738049463"/>
    <s v="1404/03/13"/>
    <d v="1899-12-30T08:31:00"/>
    <x v="1"/>
    <x v="2"/>
    <x v="8"/>
    <s v="13"/>
    <n v="8"/>
    <n v="31"/>
    <n v="738049471"/>
    <s v="خرابی کلید بالابرنده رولر"/>
    <n v="0.13333333333333333"/>
    <n v="24"/>
    <n v="0.2"/>
    <n v="360"/>
    <n v="720"/>
    <n v="68.316666666666663"/>
    <n v="738045364"/>
  </r>
  <r>
    <n v="112"/>
    <x v="0"/>
    <x v="8"/>
    <s v="Cutting Machine3"/>
    <x v="8"/>
    <x v="0"/>
    <s v="1404/03/17"/>
    <d v="1899-12-30T09:24:00"/>
    <x v="1"/>
    <x v="3"/>
    <x v="9"/>
    <x v="1"/>
    <n v="9"/>
    <n v="24"/>
    <n v="738055284"/>
    <s v="1404/03/17"/>
    <d v="1899-12-30T10:30:00"/>
    <x v="1"/>
    <x v="2"/>
    <x v="8"/>
    <s v="17"/>
    <n v="10"/>
    <n v="30"/>
    <n v="738055350"/>
    <s v="خرابی جک بوم"/>
    <n v="1.1000000000000001"/>
    <n v="24"/>
    <n v="0.2"/>
    <n v="360"/>
    <n v="720"/>
    <n v="137.33333333333334"/>
    <n v="738047044"/>
  </r>
  <r>
    <n v="113"/>
    <x v="0"/>
    <x v="0"/>
    <s v="Cutting Machine1"/>
    <x v="0"/>
    <x v="0"/>
    <s v="1404/03/17"/>
    <d v="1899-12-30T08:00:00"/>
    <x v="1"/>
    <x v="3"/>
    <x v="9"/>
    <x v="1"/>
    <n v="8"/>
    <n v="0"/>
    <n v="738055200"/>
    <s v="1404/03/17"/>
    <d v="1899-12-30T16:10:00"/>
    <x v="1"/>
    <x v="2"/>
    <x v="8"/>
    <s v="17"/>
    <n v="16"/>
    <n v="10"/>
    <n v="738055690"/>
    <s v="خرابی تیغه تاکر"/>
    <n v="8.1666666666666661"/>
    <n v="24"/>
    <n v="0.2"/>
    <n v="360"/>
    <n v="720"/>
    <n v="205.33333333333334"/>
    <n v="738042880"/>
  </r>
  <r>
    <n v="114"/>
    <x v="0"/>
    <x v="4"/>
    <s v="Shrink1"/>
    <x v="4"/>
    <x v="0"/>
    <s v="1404/03/21"/>
    <d v="1899-12-30T09:45:00"/>
    <x v="1"/>
    <x v="3"/>
    <x v="9"/>
    <x v="24"/>
    <n v="9"/>
    <n v="45"/>
    <n v="738061065"/>
    <s v="1404/03/21"/>
    <d v="1899-12-30T10:13:00"/>
    <x v="1"/>
    <x v="2"/>
    <x v="8"/>
    <s v="21"/>
    <n v="10"/>
    <n v="13"/>
    <n v="738061093"/>
    <s v="اتصال سیم های زیر شیرینگ"/>
    <n v="0.46666666666666667"/>
    <n v="24"/>
    <n v="0.2"/>
    <n v="360"/>
    <n v="720"/>
    <n v="791.36666666666667"/>
    <n v="738013583"/>
  </r>
  <r>
    <n v="115"/>
    <x v="0"/>
    <x v="5"/>
    <s v="Cutting Machine4"/>
    <x v="5"/>
    <x v="0"/>
    <s v="1404/03/21"/>
    <d v="1899-12-30T13:31:00"/>
    <x v="1"/>
    <x v="3"/>
    <x v="9"/>
    <x v="24"/>
    <n v="13"/>
    <n v="31"/>
    <n v="738061291"/>
    <s v="1404/03/21"/>
    <d v="1899-12-30T14:20:00"/>
    <x v="1"/>
    <x v="2"/>
    <x v="8"/>
    <s v="21"/>
    <n v="14"/>
    <n v="20"/>
    <n v="738061340"/>
    <s v="تعویض سیلندر جمع کن دستگاه چاپ"/>
    <n v="0.81666666666666665"/>
    <n v="24"/>
    <n v="0.2"/>
    <n v="360"/>
    <n v="720"/>
    <n v="197"/>
    <n v="738049471"/>
  </r>
  <r>
    <n v="116"/>
    <x v="0"/>
    <x v="24"/>
    <s v="(Flexographic) Printing Machine"/>
    <x v="6"/>
    <x v="0"/>
    <s v="1404/03/21"/>
    <d v="1899-12-30T17:00:00"/>
    <x v="1"/>
    <x v="3"/>
    <x v="9"/>
    <x v="24"/>
    <n v="17"/>
    <n v="0"/>
    <n v="738061500"/>
    <s v="1404/03/21"/>
    <d v="1899-12-30T19:18:00"/>
    <x v="1"/>
    <x v="2"/>
    <x v="8"/>
    <s v="21"/>
    <n v="19"/>
    <n v="18"/>
    <n v="738061638"/>
    <s v="تعویض سیلندر جمع کن دستگاه چاپ"/>
    <n v="2.2999999999999998"/>
    <n v="24"/>
    <n v="0.2"/>
    <n v="360"/>
    <n v="720"/>
    <n v="243.85"/>
    <n v="738046869"/>
  </r>
  <r>
    <n v="117"/>
    <x v="4"/>
    <x v="32"/>
    <m/>
    <x v="33"/>
    <x v="0"/>
    <s v="1404/03/21"/>
    <d v="1899-12-30T20:00:00"/>
    <x v="1"/>
    <x v="3"/>
    <x v="9"/>
    <x v="24"/>
    <n v="20"/>
    <n v="0"/>
    <n v="738061680"/>
    <s v="1404/03/22"/>
    <d v="1899-12-30T03:00:00"/>
    <x v="1"/>
    <x v="2"/>
    <x v="8"/>
    <s v="22"/>
    <n v="3"/>
    <n v="0"/>
    <n v="738062100"/>
    <s v="پوسیدگی و نشتی کویته سه قالب سردریچه"/>
    <n v="7"/>
    <n v="24"/>
    <n v="0.2"/>
    <n v="360"/>
    <n v="720"/>
    <s v=""/>
    <s v=""/>
  </r>
  <r>
    <n v="118"/>
    <x v="3"/>
    <x v="33"/>
    <s v="Air Soldering(Oven) "/>
    <x v="17"/>
    <x v="0"/>
    <s v="1404/03/21"/>
    <d v="1899-12-30T15:00:00"/>
    <x v="1"/>
    <x v="3"/>
    <x v="9"/>
    <x v="24"/>
    <n v="15"/>
    <n v="0"/>
    <n v="738061380"/>
    <s v="1404/03/22"/>
    <d v="1899-12-30T21:00:00"/>
    <x v="1"/>
    <x v="2"/>
    <x v="8"/>
    <s v="22"/>
    <n v="21"/>
    <n v="0"/>
    <n v="738063180"/>
    <s v="خرابی فن"/>
    <n v="30"/>
    <n v="24"/>
    <n v="0.2"/>
    <n v="360"/>
    <n v="720"/>
    <n v="3887.2"/>
    <n v="737828148"/>
  </r>
  <r>
    <n v="119"/>
    <x v="0"/>
    <x v="4"/>
    <s v="Shrink1"/>
    <x v="4"/>
    <x v="0"/>
    <s v="1404/03/24"/>
    <d v="1899-12-30T21:00:00"/>
    <x v="1"/>
    <x v="3"/>
    <x v="9"/>
    <x v="15"/>
    <n v="21"/>
    <n v="0"/>
    <n v="738066060"/>
    <s v="1404/03/24"/>
    <d v="1899-12-30T22:30:00"/>
    <x v="1"/>
    <x v="2"/>
    <x v="8"/>
    <s v="24"/>
    <n v="22"/>
    <n v="30"/>
    <n v="738066150"/>
    <s v="خارج شدن لیمیت سوییچ از تنظیم"/>
    <n v="1.5"/>
    <n v="24"/>
    <n v="0.2"/>
    <n v="360"/>
    <n v="720"/>
    <n v="82.783333333333331"/>
    <n v="738061093"/>
  </r>
  <r>
    <n v="120"/>
    <x v="1"/>
    <x v="4"/>
    <s v="Shrink1"/>
    <x v="13"/>
    <x v="0"/>
    <s v="1404/03/26"/>
    <d v="1899-12-30T14:24:00"/>
    <x v="1"/>
    <x v="3"/>
    <x v="9"/>
    <x v="10"/>
    <n v="14"/>
    <n v="24"/>
    <n v="738068544"/>
    <s v="1404/03/26"/>
    <d v="1899-12-30T14:51:00"/>
    <x v="1"/>
    <x v="2"/>
    <x v="8"/>
    <s v="26"/>
    <n v="14"/>
    <n v="51"/>
    <n v="738068571"/>
    <s v="ریل دستگاه کوره شیرینک به صدا افتاده؛یازمنده گریس نسوز "/>
    <n v="0.45"/>
    <n v="24"/>
    <n v="0.2"/>
    <n v="360"/>
    <n v="720"/>
    <n v="4324.6499999999996"/>
    <n v="737809065"/>
  </r>
  <r>
    <n v="121"/>
    <x v="0"/>
    <x v="24"/>
    <s v="(Flexographic) Printing Machine"/>
    <x v="6"/>
    <x v="0"/>
    <s v="1404/03/25"/>
    <d v="1899-12-30T08:00:00"/>
    <x v="1"/>
    <x v="3"/>
    <x v="9"/>
    <x v="23"/>
    <n v="8"/>
    <n v="0"/>
    <n v="738066720"/>
    <s v="1404/03/27"/>
    <d v="1899-12-30T15:32:00"/>
    <x v="1"/>
    <x v="2"/>
    <x v="8"/>
    <s v="27"/>
    <n v="15"/>
    <n v="32"/>
    <n v="738070052"/>
    <s v="تویض برخی قطعات مکانیکی معیوب"/>
    <n v="55.533333333333331"/>
    <n v="24"/>
    <n v="0.2"/>
    <n v="360"/>
    <n v="720"/>
    <n v="84.7"/>
    <n v="738061638"/>
  </r>
  <r>
    <n v="122"/>
    <x v="0"/>
    <x v="24"/>
    <s v="(Flexographic) Printing Machine"/>
    <x v="6"/>
    <x v="0"/>
    <s v="1404/03/28"/>
    <d v="1899-12-30T17:15:00"/>
    <x v="1"/>
    <x v="3"/>
    <x v="9"/>
    <x v="30"/>
    <n v="17"/>
    <n v="15"/>
    <n v="738071595"/>
    <s v="1404/04/02"/>
    <d v="1899-12-30T15:00:00"/>
    <x v="1"/>
    <x v="3"/>
    <x v="9"/>
    <s v="02"/>
    <n v="15"/>
    <n v="0"/>
    <n v="738078660"/>
    <s v="خرابی بلبرینگ قفلی"/>
    <n v="117.75"/>
    <n v="24"/>
    <n v="0.2"/>
    <n v="360"/>
    <n v="720"/>
    <n v="25.716666666666665"/>
    <n v="738070052"/>
  </r>
  <r>
    <n v="123"/>
    <x v="0"/>
    <x v="24"/>
    <s v="(Flexographic) Printing Machine"/>
    <x v="6"/>
    <x v="0"/>
    <s v="1404/04/07"/>
    <d v="1899-12-30T08:29:00"/>
    <x v="1"/>
    <x v="0"/>
    <x v="10"/>
    <x v="17"/>
    <n v="8"/>
    <n v="29"/>
    <n v="738085469"/>
    <s v="1404/04/07"/>
    <d v="1899-12-30T08:46:00"/>
    <x v="1"/>
    <x v="3"/>
    <x v="9"/>
    <s v="07"/>
    <n v="8"/>
    <n v="46"/>
    <n v="738085486"/>
    <s v="خرابی کلید روشن و خاموش"/>
    <n v="0.28333333333333333"/>
    <n v="24"/>
    <n v="0.2"/>
    <n v="360"/>
    <n v="720"/>
    <n v="113.48333333333333"/>
    <n v="738078660"/>
  </r>
  <r>
    <n v="124"/>
    <x v="0"/>
    <x v="25"/>
    <s v="Conveyor- 18 meter"/>
    <x v="27"/>
    <x v="0"/>
    <s v="1404/04/07"/>
    <d v="1899-12-30T16:10:00"/>
    <x v="1"/>
    <x v="0"/>
    <x v="10"/>
    <x v="17"/>
    <n v="16"/>
    <n v="10"/>
    <n v="738085930"/>
    <s v="1404/04/07"/>
    <d v="1899-12-30T18:00:00"/>
    <x v="1"/>
    <x v="3"/>
    <x v="9"/>
    <s v="07"/>
    <n v="18"/>
    <n v="0"/>
    <n v="738086040"/>
    <s v="خرابی در سیمکشی شصتی استوپ و خرابی خود استوپ در 3 قسمت"/>
    <n v="1.8333333333333333"/>
    <n v="24"/>
    <n v="0.2"/>
    <n v="360"/>
    <n v="720"/>
    <n v="769.16666666666663"/>
    <n v="738039780"/>
  </r>
  <r>
    <n v="125"/>
    <x v="0"/>
    <x v="7"/>
    <s v="Cutting Machine2"/>
    <x v="7"/>
    <x v="0"/>
    <s v="1404/04/17"/>
    <d v="1899-12-30T21:48:00"/>
    <x v="1"/>
    <x v="0"/>
    <x v="10"/>
    <x v="1"/>
    <n v="21"/>
    <n v="48"/>
    <n v="738100668"/>
    <s v="1404/04/18"/>
    <d v="1899-12-30T11:12:00"/>
    <x v="1"/>
    <x v="3"/>
    <x v="9"/>
    <s v="18"/>
    <n v="11"/>
    <n v="12"/>
    <n v="738101472"/>
    <s v="توقف دستگاه برش ۲ شکستن چر خ دنده رولر"/>
    <n v="13.4"/>
    <n v="24"/>
    <n v="0.2"/>
    <n v="360"/>
    <n v="720"/>
    <n v="923.3"/>
    <n v="738045270"/>
  </r>
  <r>
    <n v="126"/>
    <x v="0"/>
    <x v="5"/>
    <s v="Cutting Machine4"/>
    <x v="5"/>
    <x v="0"/>
    <s v="1404/04/18"/>
    <d v="1899-12-30T06:59:00"/>
    <x v="1"/>
    <x v="0"/>
    <x v="10"/>
    <x v="5"/>
    <n v="6"/>
    <n v="59"/>
    <n v="738101219"/>
    <s v="1404/04/18"/>
    <d v="1899-12-30T09:39:00"/>
    <x v="1"/>
    <x v="3"/>
    <x v="9"/>
    <s v="18"/>
    <n v="9"/>
    <n v="39"/>
    <n v="738101379"/>
    <s v="شکسته شدن جک تیغه تاکر درساعت6:45 توقف برش4"/>
    <n v="2.6666666666666665"/>
    <n v="24"/>
    <n v="0.2"/>
    <n v="360"/>
    <n v="720"/>
    <n v="664.65"/>
    <n v="738061340"/>
  </r>
  <r>
    <n v="127"/>
    <x v="3"/>
    <x v="14"/>
    <s v="Peak&amp;Place Machine1"/>
    <x v="16"/>
    <x v="0"/>
    <s v="1404/04/18"/>
    <d v="1899-12-30T08:10:00"/>
    <x v="1"/>
    <x v="0"/>
    <x v="10"/>
    <x v="5"/>
    <n v="8"/>
    <n v="10"/>
    <n v="738101290"/>
    <s v="1404/04/18"/>
    <d v="1899-12-30T08:50:00"/>
    <x v="1"/>
    <x v="3"/>
    <x v="9"/>
    <s v="18"/>
    <n v="8"/>
    <n v="50"/>
    <n v="738101330"/>
    <s v="خطای nozzle station دستگاه pick &amp; place_x000a_خطای مذکور پس از سرویس انجام شده برطرف گردید"/>
    <n v="0.66666666666666663"/>
    <n v="24"/>
    <n v="0.2"/>
    <n v="360"/>
    <n v="720"/>
    <n v="4506.166666666667"/>
    <n v="737830920"/>
  </r>
  <r>
    <n v="128"/>
    <x v="0"/>
    <x v="7"/>
    <s v="Cutting Machine2"/>
    <x v="7"/>
    <x v="0"/>
    <s v="1404/04/18"/>
    <d v="1899-12-30T20:30:00"/>
    <x v="1"/>
    <x v="0"/>
    <x v="10"/>
    <x v="5"/>
    <n v="20"/>
    <n v="30"/>
    <n v="738102030"/>
    <s v="1404/04/18"/>
    <d v="1899-12-30T20:40:00"/>
    <x v="1"/>
    <x v="3"/>
    <x v="9"/>
    <s v="18"/>
    <n v="20"/>
    <n v="40"/>
    <n v="738102040"/>
    <s v="بریدگی تسمه 600"/>
    <n v="0.16666666666666666"/>
    <n v="24"/>
    <n v="0.2"/>
    <n v="360"/>
    <n v="720"/>
    <n v="9.3000000000000007"/>
    <n v="738101472"/>
  </r>
  <r>
    <n v="129"/>
    <x v="0"/>
    <x v="5"/>
    <s v="Cutting Machine4"/>
    <x v="5"/>
    <x v="0"/>
    <s v="1404/04/19"/>
    <d v="1899-12-30T04:35:00"/>
    <x v="1"/>
    <x v="0"/>
    <x v="10"/>
    <x v="9"/>
    <n v="4"/>
    <n v="35"/>
    <n v="738102515"/>
    <s v="1404/04/19"/>
    <d v="1899-12-30T04:58:00"/>
    <x v="1"/>
    <x v="3"/>
    <x v="9"/>
    <s v="19"/>
    <n v="4"/>
    <n v="58"/>
    <n v="738102538"/>
    <s v="تعویض تیغه های برش"/>
    <n v="0.38333333333333336"/>
    <n v="24"/>
    <n v="0.2"/>
    <n v="360"/>
    <n v="720"/>
    <n v="18.933333333333334"/>
    <n v="738101379"/>
  </r>
  <r>
    <n v="130"/>
    <x v="0"/>
    <x v="5"/>
    <s v="Cutting Machine4"/>
    <x v="5"/>
    <x v="0"/>
    <s v="1404/04/23"/>
    <d v="1899-12-30T18:54:00"/>
    <x v="1"/>
    <x v="0"/>
    <x v="10"/>
    <x v="29"/>
    <n v="18"/>
    <n v="54"/>
    <n v="738109134"/>
    <s v="1404/04/23"/>
    <d v="1899-12-30T19:34:00"/>
    <x v="1"/>
    <x v="3"/>
    <x v="9"/>
    <s v="23"/>
    <n v="19"/>
    <n v="34"/>
    <n v="738109174"/>
    <s v=" پریدن تیغه های برش"/>
    <n v="0.66666666666666663"/>
    <n v="24"/>
    <n v="0.2"/>
    <n v="360"/>
    <n v="720"/>
    <n v="109.93333333333334"/>
    <n v="738102538"/>
  </r>
  <r>
    <n v="131"/>
    <x v="3"/>
    <x v="14"/>
    <s v="Peak&amp;Place Machine1"/>
    <x v="16"/>
    <x v="0"/>
    <s v="1404/04/25"/>
    <d v="1899-12-30T17:30:00"/>
    <x v="1"/>
    <x v="0"/>
    <x v="10"/>
    <x v="23"/>
    <n v="17"/>
    <n v="30"/>
    <n v="738111930"/>
    <s v="1404/04/25"/>
    <d v="1899-12-30T18:00:00"/>
    <x v="1"/>
    <x v="3"/>
    <x v="9"/>
    <s v="25"/>
    <n v="18"/>
    <n v="0"/>
    <n v="738111960"/>
    <s v="خطا در قرار دادن قطعه دستگاه pick&amp;place _x000a_مشکل ذکر شده با اصلاح برنامه دستگاه برطرف شد"/>
    <n v="0.5"/>
    <n v="24"/>
    <n v="0.2"/>
    <n v="360"/>
    <n v="720"/>
    <n v="176.66666666666666"/>
    <n v="738101330"/>
  </r>
  <r>
    <n v="132"/>
    <x v="3"/>
    <x v="10"/>
    <s v="Nitrogen Reflow Oven"/>
    <x v="10"/>
    <x v="0"/>
    <s v="1404/04/25"/>
    <d v="1899-12-30T07:10:00"/>
    <x v="1"/>
    <x v="0"/>
    <x v="10"/>
    <x v="23"/>
    <n v="7"/>
    <n v="10"/>
    <n v="738111310"/>
    <s v="1404/04/25"/>
    <d v="1899-12-30T07:22:00"/>
    <x v="1"/>
    <x v="3"/>
    <x v="9"/>
    <s v="25"/>
    <n v="7"/>
    <n v="22"/>
    <n v="738111322"/>
    <s v="توقف تولید به علت بالا بودن دمای FRONT ZONE"/>
    <n v="0.2"/>
    <n v="24"/>
    <n v="0.2"/>
    <n v="360"/>
    <n v="720"/>
    <n v="1149.0833333333333"/>
    <n v="738042365"/>
  </r>
  <r>
    <n v="133"/>
    <x v="3"/>
    <x v="10"/>
    <s v="Nitrogen Reflow Oven"/>
    <x v="10"/>
    <x v="0"/>
    <s v="1404/04/25"/>
    <d v="1899-12-30T13:50:00"/>
    <x v="1"/>
    <x v="0"/>
    <x v="10"/>
    <x v="23"/>
    <n v="13"/>
    <n v="50"/>
    <n v="738111710"/>
    <s v="1404/04/25"/>
    <d v="1899-12-30T14:20:00"/>
    <x v="1"/>
    <x v="3"/>
    <x v="9"/>
    <s v="25"/>
    <n v="14"/>
    <n v="20"/>
    <n v="738111740"/>
    <s v="به دلیل دمای بالای front zone"/>
    <n v="0.5"/>
    <n v="24"/>
    <n v="0.2"/>
    <n v="360"/>
    <n v="720"/>
    <n v="6.4666666666666668"/>
    <n v="738111322"/>
  </r>
  <r>
    <n v="134"/>
    <x v="2"/>
    <x v="2"/>
    <m/>
    <x v="2"/>
    <x v="0"/>
    <s v="1404/04/28"/>
    <d v="1899-12-30T10:19:00"/>
    <x v="1"/>
    <x v="0"/>
    <x v="10"/>
    <x v="30"/>
    <n v="10"/>
    <n v="19"/>
    <n v="738115819"/>
    <s v="1404/04/28"/>
    <d v="1899-12-30T15:30:00"/>
    <x v="1"/>
    <x v="3"/>
    <x v="9"/>
    <s v="28"/>
    <n v="15"/>
    <n v="30"/>
    <n v="738116130"/>
    <s v="ارور چیلر آب سرد و تعویض آب چیلر-خرابی رگولاتور فشار آب"/>
    <n v="5.1833333333333336"/>
    <n v="24"/>
    <n v="0.2"/>
    <n v="360"/>
    <n v="720"/>
    <n v="2153.8166666666666"/>
    <n v="737986590"/>
  </r>
  <r>
    <n v="135"/>
    <x v="0"/>
    <x v="25"/>
    <s v="Conveyor- 18 meter"/>
    <x v="34"/>
    <x v="0"/>
    <s v="1404/04/29"/>
    <d v="1899-12-30T08:55:00"/>
    <x v="1"/>
    <x v="0"/>
    <x v="10"/>
    <x v="11"/>
    <n v="8"/>
    <n v="55"/>
    <n v="738117175"/>
    <s v="1404/04/29"/>
    <d v="1899-12-30T09:35:00"/>
    <x v="1"/>
    <x v="3"/>
    <x v="9"/>
    <s v="29"/>
    <n v="9"/>
    <n v="35"/>
    <n v="738117215"/>
    <s v="شکستگی خط جدا کننده رول"/>
    <n v="0.66666666666666663"/>
    <n v="24"/>
    <n v="0.2"/>
    <n v="360"/>
    <n v="720"/>
    <s v=""/>
    <s v=""/>
  </r>
  <r>
    <n v="136"/>
    <x v="0"/>
    <x v="5"/>
    <s v="Cutting Machine4"/>
    <x v="5"/>
    <x v="0"/>
    <s v="1404/05/01"/>
    <d v="1899-12-30T09:32:00"/>
    <x v="1"/>
    <x v="0"/>
    <x v="0"/>
    <x v="0"/>
    <n v="9"/>
    <n v="32"/>
    <n v="738121532"/>
    <s v="1404/05/01"/>
    <d v="1899-12-30T14:15:00"/>
    <x v="1"/>
    <x v="3"/>
    <x v="10"/>
    <s v="01"/>
    <n v="14"/>
    <n v="15"/>
    <n v="738121815"/>
    <s v="تعویض بوم دستگاه 4 به علت گشادشدن پایه جک63"/>
    <n v="4.7166666666666668"/>
    <n v="24"/>
    <n v="0.2"/>
    <n v="360"/>
    <n v="720"/>
    <n v="205.96666666666667"/>
    <n v="738109174"/>
  </r>
  <r>
    <n v="137"/>
    <x v="0"/>
    <x v="7"/>
    <s v="Cutting Machine2"/>
    <x v="7"/>
    <x v="0"/>
    <s v="1404/05/02"/>
    <d v="1899-12-30T08:14:00"/>
    <x v="1"/>
    <x v="0"/>
    <x v="0"/>
    <x v="26"/>
    <n v="8"/>
    <n v="14"/>
    <n v="738122894"/>
    <s v="1404/05/02"/>
    <d v="1899-12-30T08:20:00"/>
    <x v="1"/>
    <x v="3"/>
    <x v="10"/>
    <s v="02"/>
    <n v="8"/>
    <n v="20"/>
    <n v="738122900"/>
    <s v="تعویض تاکر دستگاه برش 2"/>
    <n v="0.1"/>
    <n v="24"/>
    <n v="0.2"/>
    <n v="360"/>
    <n v="720"/>
    <n v="347.56666666666666"/>
    <n v="738102040"/>
  </r>
  <r>
    <n v="138"/>
    <x v="4"/>
    <x v="32"/>
    <m/>
    <x v="33"/>
    <x v="0"/>
    <s v="1404/05/04"/>
    <d v="1899-12-30T23:35:00"/>
    <x v="1"/>
    <x v="0"/>
    <x v="0"/>
    <x v="6"/>
    <n v="23"/>
    <n v="35"/>
    <n v="738126695"/>
    <s v="1404/05/05"/>
    <d v="1899-12-30T13:15:00"/>
    <x v="1"/>
    <x v="3"/>
    <x v="10"/>
    <s v="05"/>
    <n v="13"/>
    <n v="15"/>
    <n v="738127515"/>
    <s v="خرابی و سوختن اتصال یکی از المنت های قالب سردریچه(این قالب برای فناپ نیست)"/>
    <n v="13.666666666666666"/>
    <n v="24"/>
    <n v="0.2"/>
    <n v="360"/>
    <n v="720"/>
    <n v="1076.5833333333333"/>
    <n v="738062100"/>
  </r>
  <r>
    <n v="139"/>
    <x v="0"/>
    <x v="4"/>
    <s v="Shrink1"/>
    <x v="4"/>
    <x v="0"/>
    <s v="1404/05/05"/>
    <d v="1899-12-30T08:00:00"/>
    <x v="1"/>
    <x v="0"/>
    <x v="0"/>
    <x v="7"/>
    <n v="8"/>
    <n v="0"/>
    <n v="738127200"/>
    <s v="1404/05/05"/>
    <d v="1899-12-30T11:00:00"/>
    <x v="1"/>
    <x v="3"/>
    <x v="10"/>
    <s v="05"/>
    <n v="11"/>
    <n v="0"/>
    <n v="738127380"/>
    <s v="شل شدن اتصالات به علت چکش زدن بر روی دستگاه"/>
    <n v="3"/>
    <n v="24"/>
    <n v="0.2"/>
    <n v="360"/>
    <n v="720"/>
    <n v="1017.5"/>
    <n v="738066150"/>
  </r>
  <r>
    <n v="140"/>
    <x v="4"/>
    <x v="32"/>
    <m/>
    <x v="33"/>
    <x v="0"/>
    <s v="1404/05/05"/>
    <d v="1899-12-30T23:00:00"/>
    <x v="1"/>
    <x v="0"/>
    <x v="0"/>
    <x v="7"/>
    <n v="23"/>
    <n v="0"/>
    <n v="738128100"/>
    <s v="1404/05/06"/>
    <d v="1899-12-30T13:00:00"/>
    <x v="1"/>
    <x v="3"/>
    <x v="10"/>
    <s v="06"/>
    <n v="13"/>
    <n v="0"/>
    <n v="738128940"/>
    <s v="خرابی المنت قالب "/>
    <n v="14"/>
    <n v="24"/>
    <n v="0.2"/>
    <n v="360"/>
    <n v="720"/>
    <n v="9.75"/>
    <n v="738127515"/>
  </r>
  <r>
    <n v="141"/>
    <x v="2"/>
    <x v="2"/>
    <m/>
    <x v="2"/>
    <x v="0"/>
    <s v="1404/05/06"/>
    <d v="1899-12-30T13:15:00"/>
    <x v="1"/>
    <x v="0"/>
    <x v="0"/>
    <x v="27"/>
    <n v="13"/>
    <n v="15"/>
    <n v="738128955"/>
    <s v="1404/06/06"/>
    <d v="1899-12-30T17:30:00"/>
    <x v="1"/>
    <x v="3"/>
    <x v="11"/>
    <s v="06"/>
    <n v="17"/>
    <n v="30"/>
    <n v="738173850"/>
    <s v="خرابی چیلر اب "/>
    <n v="748.25"/>
    <n v="24"/>
    <n v="0.2"/>
    <n v="360"/>
    <n v="720"/>
    <n v="213.75"/>
    <n v="738116130"/>
  </r>
  <r>
    <n v="142"/>
    <x v="3"/>
    <x v="34"/>
    <s v="Pick&amp;Place CP45"/>
    <x v="35"/>
    <x v="0"/>
    <s v="1404/05/06"/>
    <d v="1899-12-30T20:50:00"/>
    <x v="1"/>
    <x v="0"/>
    <x v="0"/>
    <x v="27"/>
    <n v="20"/>
    <n v="50"/>
    <n v="738129410"/>
    <s v="1404/05/06"/>
    <d v="1899-12-30T21:10:00"/>
    <x v="1"/>
    <x v="3"/>
    <x v="10"/>
    <s v="06"/>
    <n v="21"/>
    <n v="10"/>
    <n v="738129430"/>
    <s v="خطای افت فشار هوای نازل "/>
    <n v="0.33333333333333331"/>
    <n v="24"/>
    <n v="0.2"/>
    <n v="360"/>
    <n v="720"/>
    <s v=""/>
    <s v=""/>
  </r>
  <r>
    <n v="143"/>
    <x v="4"/>
    <x v="32"/>
    <m/>
    <x v="33"/>
    <x v="0"/>
    <s v="1404/05/05"/>
    <d v="1899-12-30T23:00:00"/>
    <x v="1"/>
    <x v="0"/>
    <x v="0"/>
    <x v="7"/>
    <n v="23"/>
    <n v="0"/>
    <n v="738128100"/>
    <s v="1404/05/06"/>
    <d v="1899-12-30T13:00:00"/>
    <x v="1"/>
    <x v="3"/>
    <x v="10"/>
    <s v="06"/>
    <n v="13"/>
    <n v="0"/>
    <n v="738128940"/>
    <s v="خرابی المنت قالب - تعویض المنت قالب سردریچه و فیوزهای هات رانر"/>
    <n v="14"/>
    <n v="24"/>
    <n v="0.2"/>
    <n v="360"/>
    <n v="720"/>
    <n v="9.75"/>
    <n v="738127515"/>
  </r>
  <r>
    <n v="144"/>
    <x v="4"/>
    <x v="35"/>
    <m/>
    <x v="36"/>
    <x v="0"/>
    <s v="1404/05/06"/>
    <d v="1899-12-30T13:00:00"/>
    <x v="1"/>
    <x v="0"/>
    <x v="0"/>
    <x v="27"/>
    <n v="13"/>
    <n v="0"/>
    <n v="738128940"/>
    <s v="1404/05/06"/>
    <d v="1899-12-30T17:30:00"/>
    <x v="1"/>
    <x v="3"/>
    <x v="10"/>
    <s v="06"/>
    <n v="17"/>
    <n v="30"/>
    <n v="738129210"/>
    <s v="خرابی چیلر آب سرد "/>
    <n v="4.5"/>
    <n v="24"/>
    <n v="0.2"/>
    <n v="360"/>
    <n v="720"/>
    <s v=""/>
    <s v=""/>
  </r>
  <r>
    <n v="145"/>
    <x v="3"/>
    <x v="14"/>
    <s v="Peak&amp;Place Machine1"/>
    <x v="16"/>
    <x v="0"/>
    <s v="1404/05/05"/>
    <d v="1899-12-30T20:50:00"/>
    <x v="1"/>
    <x v="0"/>
    <x v="0"/>
    <x v="7"/>
    <n v="20"/>
    <n v="50"/>
    <n v="738127970"/>
    <s v="1404/05/05"/>
    <d v="1899-12-30T21:10:00"/>
    <x v="1"/>
    <x v="3"/>
    <x v="10"/>
    <s v="05"/>
    <n v="21"/>
    <n v="10"/>
    <n v="738127990"/>
    <s v="خطای افت فشار هوای نازل -سرویس انجام شد و فعلا مشکل مرتفع شده"/>
    <n v="0.33333333333333331"/>
    <n v="24"/>
    <n v="0.2"/>
    <n v="360"/>
    <n v="720"/>
    <n v="266.83333333333331"/>
    <n v="738111960"/>
  </r>
  <r>
    <n v="146"/>
    <x v="3"/>
    <x v="36"/>
    <s v="Server"/>
    <x v="37"/>
    <x v="0"/>
    <s v="1404/05/06"/>
    <d v="1899-12-30T00:30:00"/>
    <x v="1"/>
    <x v="0"/>
    <x v="0"/>
    <x v="27"/>
    <n v="0"/>
    <n v="30"/>
    <n v="738128190"/>
    <s v="1404/05/06"/>
    <d v="1899-12-30T00:33:00"/>
    <x v="1"/>
    <x v="3"/>
    <x v="10"/>
    <s v="06"/>
    <n v="0"/>
    <n v="33"/>
    <n v="738128193"/>
    <s v="قطع شدن سرور"/>
    <n v="0.05"/>
    <n v="24"/>
    <n v="0.2"/>
    <n v="360"/>
    <n v="720"/>
    <s v=""/>
    <s v=""/>
  </r>
  <r>
    <n v="147"/>
    <x v="3"/>
    <x v="36"/>
    <s v="Server"/>
    <x v="37"/>
    <x v="0"/>
    <s v="1404/05/06"/>
    <d v="1899-12-30T13:59:00"/>
    <x v="1"/>
    <x v="0"/>
    <x v="0"/>
    <x v="27"/>
    <n v="13"/>
    <n v="59"/>
    <n v="738128999"/>
    <s v="1404/05/06"/>
    <d v="1899-12-30T14:02:00"/>
    <x v="1"/>
    <x v="3"/>
    <x v="10"/>
    <s v="06"/>
    <n v="14"/>
    <n v="2"/>
    <n v="738129002"/>
    <s v="قطع شدن سرور"/>
    <n v="0.05"/>
    <n v="24"/>
    <n v="0.2"/>
    <n v="360"/>
    <n v="720"/>
    <n v="13.433333333333334"/>
    <n v="738128193"/>
  </r>
  <r>
    <n v="148"/>
    <x v="3"/>
    <x v="36"/>
    <s v="Server"/>
    <x v="37"/>
    <x v="0"/>
    <s v="1404/05/06"/>
    <d v="1899-12-30T15:00:00"/>
    <x v="1"/>
    <x v="0"/>
    <x v="0"/>
    <x v="27"/>
    <n v="15"/>
    <n v="0"/>
    <n v="738129060"/>
    <s v="1404/05/06"/>
    <d v="1899-12-30T15:35:00"/>
    <x v="1"/>
    <x v="3"/>
    <x v="10"/>
    <s v="06"/>
    <n v="15"/>
    <n v="35"/>
    <n v="738129095"/>
    <s v="قطع شدن سرور"/>
    <n v="0.58333333333333337"/>
    <n v="24"/>
    <n v="0.2"/>
    <n v="360"/>
    <n v="720"/>
    <n v="0.96666666666666667"/>
    <n v="738129002"/>
  </r>
  <r>
    <n v="149"/>
    <x v="3"/>
    <x v="37"/>
    <s v="Automated Optical Inspection (AOI)"/>
    <x v="38"/>
    <x v="0"/>
    <s v="1404/05/08"/>
    <d v="1899-12-30T08:11:00"/>
    <x v="1"/>
    <x v="0"/>
    <x v="0"/>
    <x v="2"/>
    <n v="8"/>
    <n v="11"/>
    <n v="738131531"/>
    <s v="1404/05/08"/>
    <d v="1899-12-30T08:40:00"/>
    <x v="1"/>
    <x v="3"/>
    <x v="10"/>
    <s v="08"/>
    <n v="8"/>
    <n v="40"/>
    <n v="738131560"/>
    <s v="خطای دستگاه AOI- با نظر آقای غلام پور داخل دستگاه رو هوا گرفتن"/>
    <n v="0.48333333333333334"/>
    <n v="24"/>
    <n v="0.2"/>
    <n v="360"/>
    <n v="720"/>
    <s v=""/>
    <s v=""/>
  </r>
  <r>
    <n v="150"/>
    <x v="4"/>
    <x v="32"/>
    <m/>
    <x v="39"/>
    <x v="0"/>
    <s v="1404/05/09"/>
    <d v="1899-12-30T07:19:00"/>
    <x v="1"/>
    <x v="0"/>
    <x v="0"/>
    <x v="14"/>
    <n v="7"/>
    <n v="19"/>
    <n v="738132919"/>
    <s v="1404/05/09"/>
    <d v="1899-12-30T12:30:00"/>
    <x v="1"/>
    <x v="3"/>
    <x v="10"/>
    <s v="09"/>
    <n v="12"/>
    <n v="30"/>
    <n v="738133230"/>
    <s v="توقف دستگاه 4 بعلت خرابی سوکت هاترانر  سردریچه "/>
    <n v="5.1833333333333336"/>
    <n v="24"/>
    <n v="0.2"/>
    <n v="360"/>
    <n v="720"/>
    <s v=""/>
    <s v=""/>
  </r>
  <r>
    <n v="151"/>
    <x v="3"/>
    <x v="37"/>
    <s v="Automated Optical Inspection (AOI)"/>
    <x v="38"/>
    <x v="0"/>
    <s v="1404/05/09"/>
    <d v="1899-12-30T09:15:00"/>
    <x v="1"/>
    <x v="0"/>
    <x v="0"/>
    <x v="14"/>
    <n v="9"/>
    <n v="15"/>
    <n v="738133035"/>
    <s v="1404/05/09"/>
    <d v="1899-12-30T10:20:00"/>
    <x v="1"/>
    <x v="3"/>
    <x v="10"/>
    <s v="09"/>
    <n v="10"/>
    <n v="20"/>
    <n v="738133100"/>
    <s v="خطای دستگاه AOI - طبق آخرین صحبتی که با آقای غلام پور شدقرار بر این شد که اگر خطای مجدد رخ دهد باید pc دستگاه رو تمیز کاری کنیم"/>
    <n v="1.0833333333333333"/>
    <n v="24"/>
    <n v="0.2"/>
    <n v="360"/>
    <n v="720"/>
    <n v="24.583333333333332"/>
    <n v="738131560"/>
  </r>
  <r>
    <n v="152"/>
    <x v="0"/>
    <x v="20"/>
    <s v="Brain filler 2"/>
    <x v="3"/>
    <x v="0"/>
    <s v="1404/05/10"/>
    <d v="1899-12-30T12:47:00"/>
    <x v="1"/>
    <x v="0"/>
    <x v="0"/>
    <x v="3"/>
    <n v="12"/>
    <n v="47"/>
    <n v="738134687"/>
    <s v="1404/05/10"/>
    <d v="1899-12-30T16:30:00"/>
    <x v="1"/>
    <x v="3"/>
    <x v="10"/>
    <s v="10"/>
    <n v="16"/>
    <n v="30"/>
    <n v="738134910"/>
    <s v="خرابی شفت"/>
    <n v="3.7166666666666668"/>
    <n v="24"/>
    <n v="0.2"/>
    <n v="360"/>
    <n v="720"/>
    <n v="1588.2833333333333"/>
    <n v="738039390"/>
  </r>
  <r>
    <n v="153"/>
    <x v="0"/>
    <x v="7"/>
    <s v="Cutting Machine2"/>
    <x v="7"/>
    <x v="0"/>
    <s v="1404/05/11"/>
    <d v="1899-12-30T11:20:00"/>
    <x v="1"/>
    <x v="0"/>
    <x v="0"/>
    <x v="18"/>
    <n v="11"/>
    <n v="20"/>
    <n v="738136040"/>
    <s v="1404/05/11"/>
    <d v="1899-12-30T14:15:00"/>
    <x v="1"/>
    <x v="3"/>
    <x v="10"/>
    <s v="11"/>
    <n v="14"/>
    <n v="15"/>
    <n v="738136215"/>
    <m/>
    <n v="2.9166666666666665"/>
    <n v="24"/>
    <n v="0.2"/>
    <n v="360"/>
    <n v="720"/>
    <n v="219"/>
    <n v="738122900"/>
  </r>
  <r>
    <n v="154"/>
    <x v="0"/>
    <x v="8"/>
    <s v="Cutting Machine3"/>
    <x v="8"/>
    <x v="0"/>
    <s v="1404/05/11"/>
    <d v="1899-12-30T12:25:00"/>
    <x v="1"/>
    <x v="0"/>
    <x v="0"/>
    <x v="18"/>
    <n v="12"/>
    <n v="25"/>
    <n v="738136105"/>
    <s v="1404/05/11"/>
    <d v="1899-12-30T15:55:00"/>
    <x v="1"/>
    <x v="3"/>
    <x v="10"/>
    <s v="11"/>
    <n v="15"/>
    <n v="55"/>
    <n v="738136315"/>
    <m/>
    <n v="3.5"/>
    <n v="24"/>
    <n v="0.2"/>
    <n v="360"/>
    <n v="720"/>
    <n v="1345.9166666666667"/>
    <n v="738055350"/>
  </r>
  <r>
    <n v="155"/>
    <x v="0"/>
    <x v="4"/>
    <s v="Shrink1"/>
    <x v="13"/>
    <x v="0"/>
    <s v="1404/05/12"/>
    <d v="1899-12-30T00:10:00"/>
    <x v="1"/>
    <x v="0"/>
    <x v="0"/>
    <x v="19"/>
    <n v="0"/>
    <n v="10"/>
    <n v="738136810"/>
    <s v="1404/05/12"/>
    <d v="1899-12-30T00:40:00"/>
    <x v="1"/>
    <x v="3"/>
    <x v="10"/>
    <s v="12"/>
    <n v="0"/>
    <n v="40"/>
    <n v="738136840"/>
    <s v="قطع شدن سیم اتو"/>
    <n v="0.5"/>
    <n v="24"/>
    <n v="0.2"/>
    <n v="360"/>
    <n v="720"/>
    <n v="1137.3166666666666"/>
    <n v="738068571"/>
  </r>
  <r>
    <n v="156"/>
    <x v="0"/>
    <x v="38"/>
    <s v="Brain filler 3"/>
    <x v="40"/>
    <x v="0"/>
    <s v="1404/05/12"/>
    <d v="1899-12-30T16:10:00"/>
    <x v="1"/>
    <x v="0"/>
    <x v="0"/>
    <x v="19"/>
    <n v="16"/>
    <n v="10"/>
    <n v="738137770"/>
    <s v="1404/05/13"/>
    <d v="1899-12-30T09:15:00"/>
    <x v="1"/>
    <x v="3"/>
    <x v="10"/>
    <s v="13"/>
    <n v="9"/>
    <n v="15"/>
    <n v="738138795"/>
    <m/>
    <n v="17.083333333333332"/>
    <n v="24"/>
    <n v="0.2"/>
    <n v="360"/>
    <n v="720"/>
    <s v=""/>
    <s v=""/>
  </r>
  <r>
    <n v="157"/>
    <x v="0"/>
    <x v="5"/>
    <s v="Cutting Machine4"/>
    <x v="5"/>
    <x v="0"/>
    <s v="1404/05/15"/>
    <d v="1899-12-30T18:51:00"/>
    <x v="1"/>
    <x v="0"/>
    <x v="0"/>
    <x v="20"/>
    <n v="18"/>
    <n v="51"/>
    <n v="738142251"/>
    <s v="1404/05/19"/>
    <d v="1899-12-30T13:03:00"/>
    <x v="1"/>
    <x v="3"/>
    <x v="10"/>
    <s v="19"/>
    <n v="13"/>
    <n v="3"/>
    <n v="738147663"/>
    <s v="خرابی تسمه مادر "/>
    <n v="90.2"/>
    <n v="24"/>
    <n v="0.2"/>
    <n v="360"/>
    <n v="720"/>
    <n v="340.6"/>
    <n v="738121815"/>
  </r>
  <r>
    <n v="158"/>
    <x v="0"/>
    <x v="8"/>
    <s v="Cutting Machine3"/>
    <x v="8"/>
    <x v="0"/>
    <s v="1404/05/18"/>
    <d v="1899-12-30T09:15:00"/>
    <x v="1"/>
    <x v="0"/>
    <x v="0"/>
    <x v="5"/>
    <n v="9"/>
    <n v="15"/>
    <n v="738145995"/>
    <s v="1404/05/18"/>
    <d v="1899-12-30T09:51:00"/>
    <x v="1"/>
    <x v="3"/>
    <x v="10"/>
    <s v="18"/>
    <n v="9"/>
    <n v="51"/>
    <n v="738146031"/>
    <s v="جهت تعمیر و تعویض اسپیسر"/>
    <n v="0.6"/>
    <n v="24"/>
    <n v="0.2"/>
    <n v="360"/>
    <n v="720"/>
    <n v="161.33333333333334"/>
    <n v="738136315"/>
  </r>
  <r>
    <n v="159"/>
    <x v="0"/>
    <x v="24"/>
    <s v="(Flexographic) Printing Machine"/>
    <x v="6"/>
    <x v="0"/>
    <s v="1404/05/18"/>
    <d v="1899-12-30T09:30:00"/>
    <x v="1"/>
    <x v="0"/>
    <x v="0"/>
    <x v="5"/>
    <n v="9"/>
    <n v="30"/>
    <n v="738146010"/>
    <s v="1404/05/18"/>
    <d v="1899-12-30T15:42:00"/>
    <x v="1"/>
    <x v="3"/>
    <x v="10"/>
    <s v="18"/>
    <n v="15"/>
    <n v="42"/>
    <n v="738146382"/>
    <s v="تعویض غلطک آنیلوکس"/>
    <n v="6.2"/>
    <n v="24"/>
    <n v="0.2"/>
    <n v="360"/>
    <n v="720"/>
    <n v="1008.7333333333333"/>
    <n v="738085486"/>
  </r>
  <r>
    <n v="160"/>
    <x v="0"/>
    <x v="5"/>
    <s v="Cutting Machine4"/>
    <x v="5"/>
    <x v="0"/>
    <s v="1404/05/19"/>
    <d v="1899-12-30T07:00:00"/>
    <x v="1"/>
    <x v="0"/>
    <x v="0"/>
    <x v="9"/>
    <n v="7"/>
    <n v="0"/>
    <n v="738147300"/>
    <s v="1404/05/19"/>
    <d v="1899-12-30T20:30:00"/>
    <x v="1"/>
    <x v="3"/>
    <x v="10"/>
    <s v="19"/>
    <n v="20"/>
    <n v="30"/>
    <n v="738148110"/>
    <s v="خرابی بلبرینگ رولر برش 4"/>
    <n v="13.5"/>
    <n v="24"/>
    <n v="0.2"/>
    <n v="360"/>
    <n v="720"/>
    <n v="424.75"/>
    <n v="738121815"/>
  </r>
  <r>
    <n v="161"/>
    <x v="0"/>
    <x v="5"/>
    <s v="Cutting Machine4"/>
    <x v="5"/>
    <x v="0"/>
    <s v="1404/05/19"/>
    <d v="1899-12-30T10:42:00"/>
    <x v="1"/>
    <x v="0"/>
    <x v="0"/>
    <x v="9"/>
    <n v="10"/>
    <n v="42"/>
    <n v="738147522"/>
    <s v="1404/05/19"/>
    <d v="1899-12-30T13:03:00"/>
    <x v="1"/>
    <x v="3"/>
    <x v="10"/>
    <s v="19"/>
    <n v="13"/>
    <n v="3"/>
    <n v="738147663"/>
    <s v="قطعی تسمه 450L"/>
    <n v="2.35"/>
    <n v="24"/>
    <n v="0.2"/>
    <n v="360"/>
    <n v="720"/>
    <n v="428.45"/>
    <n v="738121815"/>
  </r>
  <r>
    <n v="162"/>
    <x v="0"/>
    <x v="5"/>
    <s v="Cutting Machine4"/>
    <x v="5"/>
    <x v="0"/>
    <s v="1404/05/19"/>
    <d v="1899-12-30T15:40:00"/>
    <x v="1"/>
    <x v="0"/>
    <x v="0"/>
    <x v="9"/>
    <n v="15"/>
    <n v="40"/>
    <n v="738147820"/>
    <s v="1404/05/19"/>
    <d v="1899-12-30T16:15:00"/>
    <x v="1"/>
    <x v="3"/>
    <x v="10"/>
    <s v="19"/>
    <n v="16"/>
    <n v="15"/>
    <n v="738147855"/>
    <s v="پارگی تسمه 450L - دلیل آن گشاد شدن پایه نگه دارنده شفت چرخدنده تسمه"/>
    <n v="0.58333333333333337"/>
    <n v="24"/>
    <n v="0.2"/>
    <n v="360"/>
    <n v="720"/>
    <n v="2.6166666666666667"/>
    <n v="738147663"/>
  </r>
  <r>
    <n v="163"/>
    <x v="4"/>
    <x v="39"/>
    <s v="Plastic injection mold cooling chiller"/>
    <x v="36"/>
    <x v="1"/>
    <s v="1404/05/25"/>
    <d v="1899-12-30T08:37:00"/>
    <x v="1"/>
    <x v="0"/>
    <x v="0"/>
    <x v="23"/>
    <n v="8"/>
    <n v="37"/>
    <n v="738156037"/>
    <s v="1404/05/25"/>
    <d v="1899-12-30T09:00:00"/>
    <x v="1"/>
    <x v="3"/>
    <x v="10"/>
    <s v="25"/>
    <n v="9"/>
    <n v="0"/>
    <n v="738156060"/>
    <s v="تعویض رگولاتور اب چیلر"/>
    <n v="0.38333333333333336"/>
    <n v="24"/>
    <n v="0.2"/>
    <n v="360"/>
    <n v="720"/>
    <n v="447.11666666666667"/>
    <n v="738129210"/>
  </r>
  <r>
    <n v="164"/>
    <x v="0"/>
    <x v="24"/>
    <s v="(Flexographic) Printing Machine"/>
    <x v="6"/>
    <x v="0"/>
    <s v="1404/05/25"/>
    <d v="1899-12-30T07:00:00"/>
    <x v="1"/>
    <x v="0"/>
    <x v="0"/>
    <x v="23"/>
    <n v="7"/>
    <n v="0"/>
    <n v="738155940"/>
    <s v="1404/05/25"/>
    <d v="1899-12-30T09:30:00"/>
    <x v="1"/>
    <x v="3"/>
    <x v="10"/>
    <s v="25"/>
    <n v="9"/>
    <n v="30"/>
    <n v="738156090"/>
    <s v="از کار افتادن هیدرو موتوردستگاه"/>
    <n v="2.5"/>
    <n v="24"/>
    <n v="0.2"/>
    <n v="360"/>
    <n v="720"/>
    <n v="159.30000000000001"/>
    <n v="738146382"/>
  </r>
  <r>
    <n v="165"/>
    <x v="0"/>
    <x v="4"/>
    <s v="Shrink1"/>
    <x v="13"/>
    <x v="0"/>
    <s v="1404/05/25"/>
    <d v="1899-12-30T09:16:00"/>
    <x v="1"/>
    <x v="0"/>
    <x v="0"/>
    <x v="23"/>
    <n v="9"/>
    <n v="16"/>
    <n v="738156076"/>
    <s v="1404/05/25"/>
    <d v="1899-12-30T09:47:00"/>
    <x v="1"/>
    <x v="3"/>
    <x v="10"/>
    <s v="25"/>
    <n v="9"/>
    <n v="47"/>
    <n v="738156107"/>
    <s v="بدلیل رطوبت بالای هوا اختلال در عملکرد تجهیزات"/>
    <n v="0.51666666666666672"/>
    <n v="24"/>
    <n v="0.2"/>
    <n v="360"/>
    <n v="720"/>
    <n v="320.60000000000002"/>
    <n v="738136840"/>
  </r>
  <r>
    <n v="166"/>
    <x v="0"/>
    <x v="3"/>
    <s v="Shrink2"/>
    <x v="41"/>
    <x v="0"/>
    <s v="1404/05/27"/>
    <d v="1899-12-30T09:10:00"/>
    <x v="1"/>
    <x v="0"/>
    <x v="0"/>
    <x v="16"/>
    <n v="9"/>
    <n v="10"/>
    <n v="738158950"/>
    <s v="1404/05/27"/>
    <d v="1899-12-30T13:00:00"/>
    <x v="1"/>
    <x v="3"/>
    <x v="10"/>
    <s v="27"/>
    <n v="13"/>
    <n v="0"/>
    <n v="738159180"/>
    <s v="خرابی میکروسوییچ"/>
    <n v="3.8333333333333335"/>
    <n v="24"/>
    <n v="0.2"/>
    <n v="360"/>
    <n v="720"/>
    <s v=""/>
    <s v=""/>
  </r>
  <r>
    <n v="167"/>
    <x v="0"/>
    <x v="4"/>
    <s v="Shrink1"/>
    <x v="13"/>
    <x v="0"/>
    <s v="1404/05/28"/>
    <d v="1899-12-30T08:30:00"/>
    <x v="1"/>
    <x v="0"/>
    <x v="0"/>
    <x v="30"/>
    <n v="8"/>
    <n v="30"/>
    <n v="738160350"/>
    <s v="1404/05/28"/>
    <d v="1899-12-30T09:15:00"/>
    <x v="1"/>
    <x v="3"/>
    <x v="10"/>
    <s v="28"/>
    <n v="9"/>
    <n v="15"/>
    <n v="738160395"/>
    <s v="خرابی میکروسوییچ"/>
    <n v="0.75"/>
    <n v="24"/>
    <n v="0.2"/>
    <n v="360"/>
    <n v="720"/>
    <n v="70.716666666666669"/>
    <n v="738156107"/>
  </r>
  <r>
    <n v="168"/>
    <x v="0"/>
    <x v="3"/>
    <s v="Shrink2"/>
    <x v="41"/>
    <x v="0"/>
    <s v="1404/05/29"/>
    <d v="1899-12-30T07:00:00"/>
    <x v="1"/>
    <x v="0"/>
    <x v="0"/>
    <x v="11"/>
    <n v="7"/>
    <n v="0"/>
    <n v="738161700"/>
    <s v="1404/05/29"/>
    <d v="1899-12-30T08:30:00"/>
    <x v="1"/>
    <x v="3"/>
    <x v="10"/>
    <s v="29"/>
    <n v="8"/>
    <n v="30"/>
    <n v="738161790"/>
    <m/>
    <n v="1.5"/>
    <n v="24"/>
    <n v="0.2"/>
    <n v="360"/>
    <n v="720"/>
    <n v="42"/>
    <n v="738159180"/>
  </r>
  <r>
    <n v="169"/>
    <x v="4"/>
    <x v="40"/>
    <s v="Template TOP modem ONT"/>
    <x v="42"/>
    <x v="0"/>
    <s v="1404/06/03"/>
    <d v="1899-12-30T13:00:00"/>
    <x v="1"/>
    <x v="0"/>
    <x v="11"/>
    <x v="13"/>
    <n v="13"/>
    <n v="0"/>
    <n v="738169260"/>
    <s v="1404/06/03"/>
    <d v="1899-12-30T14:30:00"/>
    <x v="1"/>
    <x v="3"/>
    <x v="11"/>
    <s v="03"/>
    <n v="14"/>
    <n v="30"/>
    <n v="738169350"/>
    <s v="خرابی قالب"/>
    <n v="1.5"/>
    <n v="24"/>
    <n v="0.2"/>
    <n v="360"/>
    <n v="720"/>
    <s v=""/>
    <s v=""/>
  </r>
  <r>
    <n v="170"/>
    <x v="0"/>
    <x v="24"/>
    <s v="(Flexographic) Printing Machine"/>
    <x v="6"/>
    <x v="0"/>
    <s v="1404/06/03"/>
    <d v="1899-12-30T16:28:00"/>
    <x v="1"/>
    <x v="0"/>
    <x v="11"/>
    <x v="13"/>
    <n v="16"/>
    <n v="28"/>
    <n v="738169468"/>
    <s v="1404/06/05"/>
    <d v="1899-12-30T16:30:00"/>
    <x v="1"/>
    <x v="3"/>
    <x v="11"/>
    <s v="05"/>
    <n v="16"/>
    <n v="30"/>
    <n v="738172350"/>
    <s v="خرابی کاسه نمد گیربکس موتور بالایی دستگاه چاپ ( روغن ریزی زیاد دارد وباعث میشود روی کاغذ ریخته شود)"/>
    <n v="48.033333333333331"/>
    <n v="24"/>
    <n v="0.2"/>
    <n v="360"/>
    <n v="720"/>
    <n v="222.96666666666667"/>
    <n v="738156090"/>
  </r>
  <r>
    <n v="171"/>
    <x v="0"/>
    <x v="41"/>
    <s v="Brain filler 4"/>
    <x v="26"/>
    <x v="0"/>
    <s v="1404/06/05"/>
    <d v="1899-12-30T08:25:00"/>
    <x v="1"/>
    <x v="0"/>
    <x v="11"/>
    <x v="7"/>
    <n v="8"/>
    <n v="25"/>
    <n v="738171865"/>
    <s v="1404/06/05"/>
    <d v="1899-12-30T08:55:00"/>
    <x v="1"/>
    <x v="3"/>
    <x v="11"/>
    <s v="05"/>
    <n v="8"/>
    <n v="55"/>
    <n v="738171895"/>
    <m/>
    <n v="0.5"/>
    <n v="24"/>
    <n v="0.2"/>
    <n v="360"/>
    <n v="720"/>
    <n v="3214.0833333333335"/>
    <n v="737979020"/>
  </r>
  <r>
    <n v="172"/>
    <x v="0"/>
    <x v="41"/>
    <s v="Brain filler 4"/>
    <x v="26"/>
    <x v="0"/>
    <s v="1404/06/05"/>
    <d v="1899-12-30T10:13:00"/>
    <x v="1"/>
    <x v="0"/>
    <x v="11"/>
    <x v="7"/>
    <n v="10"/>
    <n v="13"/>
    <n v="738171973"/>
    <s v="1404/06/05"/>
    <d v="1899-12-30T10:35:00"/>
    <x v="1"/>
    <x v="3"/>
    <x v="11"/>
    <s v="05"/>
    <n v="10"/>
    <n v="35"/>
    <n v="738171995"/>
    <m/>
    <n v="0.36666666666666664"/>
    <n v="24"/>
    <n v="0.2"/>
    <n v="360"/>
    <n v="720"/>
    <n v="1.3"/>
    <n v="738171895"/>
  </r>
  <r>
    <n v="173"/>
    <x v="0"/>
    <x v="4"/>
    <s v="Shrink1"/>
    <x v="13"/>
    <x v="0"/>
    <s v="1404/06/06"/>
    <d v="1899-12-30T11:00:00"/>
    <x v="1"/>
    <x v="0"/>
    <x v="11"/>
    <x v="27"/>
    <n v="11"/>
    <n v="0"/>
    <n v="738173460"/>
    <s v="1404/06/06"/>
    <d v="1899-12-30T11:26:00"/>
    <x v="1"/>
    <x v="3"/>
    <x v="11"/>
    <s v="06"/>
    <n v="11"/>
    <n v="26"/>
    <n v="738173486"/>
    <m/>
    <n v="0.43333333333333335"/>
    <n v="24"/>
    <n v="0.2"/>
    <n v="360"/>
    <n v="720"/>
    <n v="217.75"/>
    <n v="738160395"/>
  </r>
  <r>
    <n v="174"/>
    <x v="0"/>
    <x v="20"/>
    <s v="Brain filler2"/>
    <x v="3"/>
    <x v="0"/>
    <s v="1404/06/08"/>
    <d v="1899-12-30T08:20:00"/>
    <x v="1"/>
    <x v="0"/>
    <x v="11"/>
    <x v="2"/>
    <n v="8"/>
    <n v="20"/>
    <n v="738176180"/>
    <s v="1404/06/08"/>
    <d v="1899-12-30T08:31:00"/>
    <x v="1"/>
    <x v="3"/>
    <x v="11"/>
    <s v="08"/>
    <n v="8"/>
    <n v="31"/>
    <n v="738176191"/>
    <m/>
    <n v="0.18333333333333332"/>
    <n v="24"/>
    <n v="0.2"/>
    <n v="360"/>
    <n v="720"/>
    <n v="687.83333333333337"/>
    <n v="738134910"/>
  </r>
  <r>
    <n v="175"/>
    <x v="0"/>
    <x v="4"/>
    <s v="Shrink1"/>
    <x v="13"/>
    <x v="0"/>
    <s v="1404/06/08"/>
    <d v="1899-12-30T14:30:00"/>
    <x v="1"/>
    <x v="0"/>
    <x v="11"/>
    <x v="2"/>
    <n v="14"/>
    <n v="30"/>
    <n v="738176550"/>
    <s v="1404/06/08"/>
    <d v="1899-12-30T14:45:00"/>
    <x v="1"/>
    <x v="3"/>
    <x v="11"/>
    <s v="08"/>
    <n v="14"/>
    <n v="45"/>
    <n v="738176565"/>
    <m/>
    <n v="0.25"/>
    <n v="24"/>
    <n v="0.2"/>
    <n v="360"/>
    <n v="720"/>
    <n v="51.06666666666667"/>
    <n v="738173486"/>
  </r>
  <r>
    <n v="176"/>
    <x v="0"/>
    <x v="24"/>
    <s v="(Flexographic) Printing Machine"/>
    <x v="6"/>
    <x v="0"/>
    <s v="1404/06/09"/>
    <d v="1899-12-30T09:15:00"/>
    <x v="1"/>
    <x v="0"/>
    <x v="11"/>
    <x v="14"/>
    <n v="9"/>
    <n v="15"/>
    <n v="738177675"/>
    <s v="1404/06/09"/>
    <d v="1899-12-30T11:55:00"/>
    <x v="1"/>
    <x v="3"/>
    <x v="11"/>
    <s v="09"/>
    <n v="11"/>
    <n v="55"/>
    <n v="738177835"/>
    <s v="خرابی بلبرینگ قفلی 35 واحد چاپ3"/>
    <n v="2.6666666666666665"/>
    <n v="24"/>
    <n v="0.2"/>
    <n v="360"/>
    <n v="720"/>
    <n v="88.75"/>
    <n v="738172350"/>
  </r>
  <r>
    <n v="177"/>
    <x v="0"/>
    <x v="42"/>
    <s v="Vision Screen Printer"/>
    <x v="14"/>
    <x v="0"/>
    <s v="1404/06/11"/>
    <d v="1899-12-30T09:24:00"/>
    <x v="1"/>
    <x v="0"/>
    <x v="11"/>
    <x v="18"/>
    <n v="9"/>
    <n v="24"/>
    <n v="738180564"/>
    <s v="1404/06/11"/>
    <d v="1899-12-30T09:40:00"/>
    <x v="1"/>
    <x v="3"/>
    <x v="11"/>
    <s v="11"/>
    <n v="9"/>
    <n v="40"/>
    <n v="738180580"/>
    <s v="توقف دستگاه پرینتر به دلیل خطای mask y2"/>
    <n v="0.26666666666666666"/>
    <n v="24"/>
    <n v="0.2"/>
    <n v="360"/>
    <n v="720"/>
    <n v="4406.2833333333338"/>
    <n v="737916187"/>
  </r>
  <r>
    <n v="178"/>
    <x v="0"/>
    <x v="43"/>
    <s v="Shrink3"/>
    <x v="43"/>
    <x v="0"/>
    <s v="1404/06/11"/>
    <d v="1899-12-30T14:37:00"/>
    <x v="1"/>
    <x v="0"/>
    <x v="11"/>
    <x v="18"/>
    <n v="14"/>
    <n v="37"/>
    <n v="738180877"/>
    <s v="1404/07/12"/>
    <d v="1899-12-30T10:40:00"/>
    <x v="1"/>
    <x v="0"/>
    <x v="1"/>
    <s v="12"/>
    <n v="10"/>
    <n v="40"/>
    <n v="738226720"/>
    <s v="خرابی پایه تیغه شرینک"/>
    <n v="764.05"/>
    <n v="24"/>
    <n v="0.2"/>
    <n v="360"/>
    <n v="720"/>
    <s v=""/>
    <s v=""/>
  </r>
  <r>
    <n v="179"/>
    <x v="0"/>
    <x v="4"/>
    <s v="Shrink1"/>
    <x v="13"/>
    <x v="0"/>
    <s v="1404/06/17"/>
    <d v="1899-12-30T22:14:00"/>
    <x v="1"/>
    <x v="0"/>
    <x v="11"/>
    <x v="1"/>
    <n v="22"/>
    <n v="14"/>
    <n v="738189974"/>
    <s v="1404/06/17"/>
    <d v="1899-12-30T22:48:00"/>
    <x v="1"/>
    <x v="3"/>
    <x v="11"/>
    <s v="17"/>
    <n v="22"/>
    <n v="48"/>
    <n v="738190008"/>
    <s v="خرابی شیر باد جک شیرینگ"/>
    <n v="0.56666666666666665"/>
    <n v="24"/>
    <n v="0.2"/>
    <n v="360"/>
    <n v="720"/>
    <n v="223.48333333333332"/>
    <n v="738176565"/>
  </r>
  <r>
    <n v="180"/>
    <x v="0"/>
    <x v="4"/>
    <s v="Shrink1"/>
    <x v="13"/>
    <x v="0"/>
    <s v="1404/06/18"/>
    <d v="1899-12-30T11:17:00"/>
    <x v="1"/>
    <x v="0"/>
    <x v="11"/>
    <x v="5"/>
    <n v="11"/>
    <n v="17"/>
    <n v="738190757"/>
    <s v="1404/06/18"/>
    <d v="1899-12-30T11:35:00"/>
    <x v="1"/>
    <x v="3"/>
    <x v="11"/>
    <s v="18"/>
    <n v="11"/>
    <n v="35"/>
    <n v="738190775"/>
    <s v="خرابی جک نگهدارنده رول"/>
    <n v="0.3"/>
    <n v="24"/>
    <n v="0.2"/>
    <n v="360"/>
    <n v="720"/>
    <n v="12.483333333333333"/>
    <n v="738190008"/>
  </r>
  <r>
    <n v="181"/>
    <x v="3"/>
    <x v="42"/>
    <s v="Vision Screen Printer"/>
    <x v="14"/>
    <x v="0"/>
    <s v="1404/06/19"/>
    <d v="1899-12-30T09:20:00"/>
    <x v="1"/>
    <x v="0"/>
    <x v="11"/>
    <x v="9"/>
    <n v="9"/>
    <n v="20"/>
    <n v="738192080"/>
    <s v="1404/06/19"/>
    <d v="1899-12-30T09:50:00"/>
    <x v="1"/>
    <x v="3"/>
    <x v="11"/>
    <s v="19"/>
    <n v="9"/>
    <n v="50"/>
    <n v="738192110"/>
    <s v="توقف تولید به مدت ۳۰ دقیقه، _x000a_علت بررسی مشکل کلینر دستگاه پرینتر، _x000a_مشکل در عدم پاشش الکل با فشار جهت تمیز کاری استنسیل می باشد._x000a_طبق مشورت با شرکت گراندیل و بررسی های  صورت گرفته، به احتمال زیاد فشار پمپ کاهش پیدا کرده است"/>
    <n v="0.5"/>
    <n v="24"/>
    <n v="0.2"/>
    <n v="360"/>
    <n v="720"/>
    <n v="191.66666666666666"/>
    <n v="738180580"/>
  </r>
  <r>
    <n v="182"/>
    <x v="4"/>
    <x v="44"/>
    <s v="Template TOP modem ONT"/>
    <x v="42"/>
    <x v="0"/>
    <s v="1404/06/23"/>
    <d v="1899-12-30T19:40:00"/>
    <x v="1"/>
    <x v="0"/>
    <x v="11"/>
    <x v="29"/>
    <n v="19"/>
    <n v="40"/>
    <n v="738198460"/>
    <s v="1404/06/23"/>
    <d v="1899-12-30T21:10:00"/>
    <x v="1"/>
    <x v="3"/>
    <x v="11"/>
    <s v="23"/>
    <n v="21"/>
    <n v="10"/>
    <n v="738198550"/>
    <s v="بریدن پیچ نگهدارنده پین قالب در قیمت راهگاه"/>
    <n v="1.5"/>
    <n v="24"/>
    <n v="0.2"/>
    <n v="360"/>
    <n v="720"/>
    <n v="485.16666666666669"/>
    <n v="738169350"/>
  </r>
  <r>
    <n v="183"/>
    <x v="0"/>
    <x v="38"/>
    <s v="Brain filler3"/>
    <x v="40"/>
    <x v="0"/>
    <s v="1404/06/24"/>
    <d v="1899-12-30T13:40:00"/>
    <x v="1"/>
    <x v="0"/>
    <x v="11"/>
    <x v="15"/>
    <n v="13"/>
    <n v="40"/>
    <n v="738199540"/>
    <s v="1404/06/24"/>
    <d v="1899-12-30T16:10:00"/>
    <x v="1"/>
    <x v="3"/>
    <x v="11"/>
    <s v="24"/>
    <n v="16"/>
    <n v="10"/>
    <n v="738199690"/>
    <m/>
    <n v="2.5"/>
    <n v="24"/>
    <n v="0.2"/>
    <n v="360"/>
    <n v="720"/>
    <n v="1012.4166666666666"/>
    <n v="738138795"/>
  </r>
  <r>
    <n v="184"/>
    <x v="4"/>
    <x v="44"/>
    <s v="Template TOP modem ONT"/>
    <x v="42"/>
    <x v="0"/>
    <s v="1404/06/24"/>
    <d v="1899-12-30T09:45:00"/>
    <x v="1"/>
    <x v="0"/>
    <x v="11"/>
    <x v="15"/>
    <n v="9"/>
    <n v="45"/>
    <n v="738199305"/>
    <s v="1404/06/24"/>
    <d v="1899-12-30T10:55:00"/>
    <x v="1"/>
    <x v="3"/>
    <x v="11"/>
    <s v="24"/>
    <n v="10"/>
    <n v="55"/>
    <n v="738199375"/>
    <s v="خرابی پران قالب"/>
    <n v="1.1666666666666667"/>
    <n v="24"/>
    <n v="0.2"/>
    <n v="360"/>
    <n v="720"/>
    <n v="12.583333333333334"/>
    <n v="738198550"/>
  </r>
  <r>
    <n v="185"/>
    <x v="0"/>
    <x v="24"/>
    <s v="(Flexographic) Printing Machine"/>
    <x v="6"/>
    <x v="0"/>
    <s v="1404/06/24"/>
    <d v="1899-12-30T18:45:00"/>
    <x v="1"/>
    <x v="0"/>
    <x v="11"/>
    <x v="15"/>
    <n v="18"/>
    <n v="45"/>
    <n v="738199845"/>
    <s v="1404/06/24"/>
    <d v="1899-12-30T19:08:00"/>
    <x v="1"/>
    <x v="3"/>
    <x v="11"/>
    <s v="24"/>
    <n v="19"/>
    <n v="8"/>
    <n v="738199868"/>
    <s v="خرابی شفت بادی - با تعویض شفت بادی مشکل برطرف شد"/>
    <n v="0.38333333333333336"/>
    <n v="24"/>
    <n v="0.2"/>
    <n v="360"/>
    <n v="720"/>
    <n v="366.83333333333331"/>
    <n v="738177835"/>
  </r>
  <r>
    <n v="186"/>
    <x v="0"/>
    <x v="24"/>
    <s v="(Flexographic) Printing Machine"/>
    <x v="6"/>
    <x v="0"/>
    <s v="1404/06/24"/>
    <d v="1899-12-30T23:26:00"/>
    <x v="1"/>
    <x v="0"/>
    <x v="11"/>
    <x v="15"/>
    <n v="23"/>
    <n v="26"/>
    <n v="738200126"/>
    <s v="1404/06/25"/>
    <m/>
    <x v="1"/>
    <x v="3"/>
    <x v="11"/>
    <s v="25"/>
    <n v="0"/>
    <n v="0"/>
    <n v="738200160"/>
    <s v="هرز بودن جای پیچ والف باد"/>
    <n v="0.56666666666666665"/>
    <n v="24"/>
    <n v="0.2"/>
    <n v="360"/>
    <n v="720"/>
    <n v="4.3"/>
    <n v="738199868"/>
  </r>
  <r>
    <n v="187"/>
    <x v="0"/>
    <x v="5"/>
    <s v="Cutting Machine4"/>
    <x v="5"/>
    <x v="0"/>
    <s v="1404/06/26"/>
    <d v="1899-12-30T20:45:00"/>
    <x v="1"/>
    <x v="0"/>
    <x v="11"/>
    <x v="10"/>
    <n v="20"/>
    <n v="45"/>
    <n v="738202845"/>
    <s v="1404/06/26"/>
    <d v="1899-12-30T20:58:00"/>
    <x v="1"/>
    <x v="3"/>
    <x v="11"/>
    <s v="26"/>
    <n v="20"/>
    <n v="58"/>
    <n v="738202858"/>
    <s v="شکستن چرخ دنده شفت بادی"/>
    <n v="0.21666666666666667"/>
    <n v="24"/>
    <n v="0.2"/>
    <n v="360"/>
    <n v="720"/>
    <n v="912.25"/>
    <n v="738148110"/>
  </r>
  <r>
    <n v="188"/>
    <x v="3"/>
    <x v="45"/>
    <s v="Pick&amp;Place CP45"/>
    <x v="35"/>
    <x v="0"/>
    <s v="1404/06/27"/>
    <d v="1899-12-30T09:15:00"/>
    <x v="1"/>
    <x v="0"/>
    <x v="11"/>
    <x v="16"/>
    <n v="9"/>
    <n v="15"/>
    <n v="738203595"/>
    <s v="1404/06/27"/>
    <d v="1899-12-30T11:25:00"/>
    <x v="1"/>
    <x v="3"/>
    <x v="11"/>
    <s v="27"/>
    <n v="11"/>
    <n v="25"/>
    <n v="738203725"/>
    <s v="خرابی کانکتور اسپ موتور"/>
    <n v="2.1666666666666665"/>
    <n v="24"/>
    <n v="0.2"/>
    <n v="360"/>
    <n v="720"/>
    <n v="1236.0833333333333"/>
    <n v="738129430"/>
  </r>
  <r>
    <n v="189"/>
    <x v="0"/>
    <x v="38"/>
    <s v="Brain filler3"/>
    <x v="40"/>
    <x v="0"/>
    <s v="1404/06/27"/>
    <d v="1899-12-30T09:45:00"/>
    <x v="1"/>
    <x v="0"/>
    <x v="11"/>
    <x v="16"/>
    <n v="9"/>
    <n v="45"/>
    <n v="738203625"/>
    <s v="1404/06/27"/>
    <d v="1899-12-30T10:17:00"/>
    <x v="1"/>
    <x v="3"/>
    <x v="11"/>
    <s v="27"/>
    <n v="10"/>
    <n v="17"/>
    <n v="738203657"/>
    <s v="خرابی کنترل فاز"/>
    <n v="0.53333333333333333"/>
    <n v="24"/>
    <n v="0.2"/>
    <n v="360"/>
    <n v="720"/>
    <n v="65.583333333333329"/>
    <n v="738199690"/>
  </r>
  <r>
    <n v="190"/>
    <x v="0"/>
    <x v="24"/>
    <s v="(Flexographic) Printing Machine"/>
    <x v="6"/>
    <x v="0"/>
    <s v="1404/06/27"/>
    <d v="1899-12-30T14:30:00"/>
    <x v="1"/>
    <x v="0"/>
    <x v="11"/>
    <x v="16"/>
    <n v="14"/>
    <n v="30"/>
    <n v="738203910"/>
    <s v="1404/06/27"/>
    <d v="1899-12-30T15:30:00"/>
    <x v="1"/>
    <x v="3"/>
    <x v="11"/>
    <s v="27"/>
    <n v="15"/>
    <n v="30"/>
    <n v="738203970"/>
    <s v="خرابی شفت بادی"/>
    <n v="1"/>
    <n v="24"/>
    <n v="0.2"/>
    <n v="360"/>
    <n v="720"/>
    <n v="62.5"/>
    <n v="738200160"/>
  </r>
  <r>
    <n v="191"/>
    <x v="0"/>
    <x v="7"/>
    <s v="Cutting Machine2"/>
    <x v="7"/>
    <x v="0"/>
    <s v="1404/06/27"/>
    <d v="1899-12-30T17:00:00"/>
    <x v="1"/>
    <x v="0"/>
    <x v="11"/>
    <x v="16"/>
    <n v="17"/>
    <n v="0"/>
    <n v="738204060"/>
    <s v="1404/06/27"/>
    <d v="1899-12-30T17:45:00"/>
    <x v="1"/>
    <x v="3"/>
    <x v="11"/>
    <s v="27"/>
    <n v="17"/>
    <n v="45"/>
    <n v="738204105"/>
    <s v="بریدن تسمه رولر"/>
    <n v="0.75"/>
    <n v="24"/>
    <n v="0.2"/>
    <n v="360"/>
    <n v="720"/>
    <n v="1130.75"/>
    <n v="738136215"/>
  </r>
  <r>
    <n v="192"/>
    <x v="0"/>
    <x v="4"/>
    <s v="Shrink1"/>
    <x v="13"/>
    <x v="0"/>
    <s v="1404/06/28"/>
    <d v="1899-12-30T08:20:00"/>
    <x v="1"/>
    <x v="0"/>
    <x v="11"/>
    <x v="30"/>
    <n v="8"/>
    <n v="20"/>
    <n v="738204980"/>
    <s v="1404/06/28"/>
    <d v="1899-12-30T10:20:00"/>
    <x v="1"/>
    <x v="3"/>
    <x v="11"/>
    <s v="28"/>
    <n v="10"/>
    <n v="20"/>
    <n v="738205100"/>
    <m/>
    <n v="2"/>
    <n v="24"/>
    <n v="0.2"/>
    <n v="360"/>
    <n v="720"/>
    <n v="236.75"/>
    <n v="738190775"/>
  </r>
  <r>
    <n v="193"/>
    <x v="3"/>
    <x v="46"/>
    <s v="Peak&amp;Place Machine3"/>
    <x v="15"/>
    <x v="0"/>
    <s v="1404/06/30"/>
    <d v="1899-12-30T08:00:00"/>
    <x v="1"/>
    <x v="0"/>
    <x v="11"/>
    <x v="12"/>
    <n v="8"/>
    <n v="0"/>
    <n v="738207840"/>
    <s v="1404/06/30"/>
    <d v="1899-12-30T08:46:00"/>
    <x v="1"/>
    <x v="3"/>
    <x v="11"/>
    <s v="30"/>
    <n v="8"/>
    <n v="46"/>
    <n v="738207886"/>
    <s v="دلیل نشتی هوا کلمپ هد_x000a_با تعویض اورینگ "/>
    <n v="0.76666666666666672"/>
    <n v="24"/>
    <n v="0.2"/>
    <n v="360"/>
    <n v="720"/>
    <n v="6499.1333333333332"/>
    <n v="737817892"/>
  </r>
  <r>
    <n v="194"/>
    <x v="1"/>
    <x v="5"/>
    <s v="Cutting Machine4"/>
    <x v="5"/>
    <x v="0"/>
    <s v="1404/07/01"/>
    <d v="1899-12-30T20:00:00"/>
    <x v="1"/>
    <x v="1"/>
    <x v="1"/>
    <x v="0"/>
    <n v="20"/>
    <n v="0"/>
    <n v="738211440"/>
    <s v="1404/07/01"/>
    <d v="1899-12-30T20:40:00"/>
    <x v="1"/>
    <x v="0"/>
    <x v="1"/>
    <s v="01"/>
    <n v="20"/>
    <n v="40"/>
    <n v="738211480"/>
    <s v="خرابی استارت "/>
    <n v="0.66666666666666663"/>
    <n v="24"/>
    <n v="0.2"/>
    <n v="360"/>
    <n v="720"/>
    <n v="143.03333333333333"/>
    <n v="738202858"/>
  </r>
  <r>
    <n v="195"/>
    <x v="0"/>
    <x v="4"/>
    <s v="Shrink1"/>
    <x v="13"/>
    <x v="0"/>
    <s v="1404/07/02"/>
    <d v="1899-12-30T15:15:00"/>
    <x v="1"/>
    <x v="1"/>
    <x v="1"/>
    <x v="26"/>
    <n v="15"/>
    <n v="15"/>
    <n v="738212595"/>
    <s v="1404/07/03"/>
    <d v="1899-12-30T11:00:00"/>
    <x v="1"/>
    <x v="0"/>
    <x v="1"/>
    <s v="03"/>
    <n v="11"/>
    <n v="0"/>
    <n v="738213780"/>
    <s v="خرابی برق تیغه  و سپس خرابی ریل تیغه و عدم موجودی (سفارش خرید دارد) جهت جهت جایگزینی"/>
    <n v="19.75"/>
    <n v="24"/>
    <n v="0.2"/>
    <n v="360"/>
    <n v="720"/>
    <n v="124.91666666666667"/>
    <n v="738205100"/>
  </r>
  <r>
    <n v="196"/>
    <x v="4"/>
    <x v="44"/>
    <s v="Template TOP modem ONT"/>
    <x v="42"/>
    <x v="0"/>
    <s v="1404/07/03"/>
    <d v="1899-12-30T13:45:00"/>
    <x v="1"/>
    <x v="1"/>
    <x v="1"/>
    <x v="13"/>
    <n v="13"/>
    <n v="45"/>
    <n v="738213945"/>
    <s v="1404/07/04"/>
    <d v="1899-12-30T14:55:00"/>
    <x v="1"/>
    <x v="0"/>
    <x v="1"/>
    <s v="04"/>
    <n v="14"/>
    <n v="55"/>
    <n v="738215455"/>
    <s v="شکستن پین پران قالب رویه مودم ONT"/>
    <n v="25.166666666666668"/>
    <n v="24"/>
    <n v="0.2"/>
    <n v="360"/>
    <n v="720"/>
    <n v="242.83333333333334"/>
    <n v="738199375"/>
  </r>
  <r>
    <n v="197"/>
    <x v="0"/>
    <x v="4"/>
    <s v="Shrink1"/>
    <x v="13"/>
    <x v="0"/>
    <s v="1404/07/05"/>
    <d v="1899-12-30T20:01:00"/>
    <x v="1"/>
    <x v="1"/>
    <x v="1"/>
    <x v="7"/>
    <n v="20"/>
    <n v="1"/>
    <n v="738217201"/>
    <s v="1404/07/05"/>
    <d v="1899-12-30T20:58:00"/>
    <x v="1"/>
    <x v="0"/>
    <x v="1"/>
    <s v="05"/>
    <n v="20"/>
    <n v="58"/>
    <n v="738217258"/>
    <s v="خرابی سنسور نوری کانوایر متصل به شرینک"/>
    <n v="0.95"/>
    <n v="24"/>
    <n v="0.2"/>
    <n v="360"/>
    <n v="720"/>
    <n v="57.016666666666666"/>
    <n v="738213780"/>
  </r>
  <r>
    <n v="198"/>
    <x v="2"/>
    <x v="2"/>
    <m/>
    <x v="2"/>
    <x v="0"/>
    <s v="1404/07/05"/>
    <d v="1899-12-30T20:50:00"/>
    <x v="1"/>
    <x v="1"/>
    <x v="1"/>
    <x v="7"/>
    <n v="20"/>
    <n v="50"/>
    <n v="738217250"/>
    <s v="1404/07/05"/>
    <d v="1899-12-30T23:10:00"/>
    <x v="1"/>
    <x v="0"/>
    <x v="1"/>
    <s v="05"/>
    <n v="23"/>
    <n v="10"/>
    <n v="738217390"/>
    <s v="سوراخ شدن لوله گالوانیزه آب"/>
    <n v="2.3333333333333335"/>
    <n v="24"/>
    <n v="0.2"/>
    <n v="360"/>
    <n v="720"/>
    <n v="723.33333333333337"/>
    <n v="738173850"/>
  </r>
  <r>
    <n v="199"/>
    <x v="4"/>
    <x v="44"/>
    <s v="Template TOP modem ONT"/>
    <x v="42"/>
    <x v="0"/>
    <s v="1404/07/07"/>
    <d v="1899-12-30T09:35:00"/>
    <x v="1"/>
    <x v="1"/>
    <x v="1"/>
    <x v="17"/>
    <n v="9"/>
    <n v="35"/>
    <n v="738219455"/>
    <s v="1404/07/07"/>
    <d v="1899-12-30T12:20:00"/>
    <x v="1"/>
    <x v="0"/>
    <x v="1"/>
    <s v="07"/>
    <n v="12"/>
    <n v="20"/>
    <n v="738219620"/>
    <s v=" شکستن پین پران قالب رویه مودم ONT "/>
    <n v="2.75"/>
    <n v="24"/>
    <n v="0.2"/>
    <n v="360"/>
    <n v="720"/>
    <n v="66.666666666666671"/>
    <n v="738215455"/>
  </r>
  <r>
    <n v="200"/>
    <x v="4"/>
    <x v="44"/>
    <s v="Template TOP modem ONT"/>
    <x v="42"/>
    <x v="0"/>
    <s v="1404/07/09"/>
    <d v="1899-12-30T00:45:00"/>
    <x v="1"/>
    <x v="1"/>
    <x v="1"/>
    <x v="14"/>
    <n v="0"/>
    <n v="45"/>
    <n v="738221805"/>
    <s v="1404/10/02"/>
    <d v="1899-12-30T10:30:00"/>
    <x v="1"/>
    <x v="1"/>
    <x v="3"/>
    <s v="02"/>
    <n v="10"/>
    <n v="30"/>
    <n v="738341910"/>
    <s v=" شکستن پین پران قالب رویه مودم ONT - ارسال به تهران جهت تعمیر"/>
    <n v="2001.75"/>
    <n v="24"/>
    <n v="0.2"/>
    <n v="360"/>
    <n v="720"/>
    <n v="36.416666666666664"/>
    <n v="738219620"/>
  </r>
  <r>
    <n v="201"/>
    <x v="0"/>
    <x v="5"/>
    <s v="Cutting Machine4"/>
    <x v="5"/>
    <x v="0"/>
    <s v="1404/07/10"/>
    <d v="1899-12-30T06:30:00"/>
    <x v="1"/>
    <x v="1"/>
    <x v="1"/>
    <x v="3"/>
    <n v="6"/>
    <n v="30"/>
    <n v="738223590"/>
    <s v="1404/07/10"/>
    <d v="1899-12-30T20:35:00"/>
    <x v="1"/>
    <x v="0"/>
    <x v="1"/>
    <s v="10"/>
    <n v="20"/>
    <n v="35"/>
    <n v="738224435"/>
    <s v="خرابی بلبرینگ شفت رولر"/>
    <n v="14.083333333333334"/>
    <n v="24"/>
    <n v="0.2"/>
    <n v="360"/>
    <n v="720"/>
    <n v="201.83333333333334"/>
    <n v="738211480"/>
  </r>
  <r>
    <n v="202"/>
    <x v="0"/>
    <x v="24"/>
    <s v="(Flexographic) Printing Machine"/>
    <x v="6"/>
    <x v="0"/>
    <s v="1404/07/11"/>
    <d v="1899-12-30T12:05:00"/>
    <x v="1"/>
    <x v="1"/>
    <x v="1"/>
    <x v="18"/>
    <n v="12"/>
    <n v="5"/>
    <n v="738225365"/>
    <s v="1404/07/11"/>
    <d v="1899-12-30T13:05:00"/>
    <x v="1"/>
    <x v="0"/>
    <x v="1"/>
    <s v="11"/>
    <n v="13"/>
    <n v="5"/>
    <n v="738225425"/>
    <s v="خرابی سوزن شفت بادی "/>
    <n v="1"/>
    <n v="24"/>
    <n v="0.2"/>
    <n v="360"/>
    <n v="720"/>
    <n v="356.58333333333331"/>
    <n v="738203970"/>
  </r>
  <r>
    <n v="203"/>
    <x v="0"/>
    <x v="7"/>
    <s v="Cutting Machine2"/>
    <x v="7"/>
    <x v="0"/>
    <s v="1404/07/14"/>
    <d v="1899-12-30T10:00:00"/>
    <x v="1"/>
    <x v="1"/>
    <x v="1"/>
    <x v="8"/>
    <n v="10"/>
    <n v="0"/>
    <n v="738229560"/>
    <s v="1404/07/14"/>
    <d v="1899-12-30T10:12:00"/>
    <x v="1"/>
    <x v="0"/>
    <x v="1"/>
    <s v="14"/>
    <n v="10"/>
    <n v="12"/>
    <n v="738229572"/>
    <s v="خرابی دکمه استارت "/>
    <n v="0.2"/>
    <n v="24"/>
    <n v="0.2"/>
    <n v="360"/>
    <n v="720"/>
    <n v="424.25"/>
    <n v="738204105"/>
  </r>
  <r>
    <n v="204"/>
    <x v="0"/>
    <x v="4"/>
    <s v="Shrink1"/>
    <x v="13"/>
    <x v="0"/>
    <s v="1404/07/14"/>
    <d v="1899-12-30T10:51:00"/>
    <x v="1"/>
    <x v="1"/>
    <x v="1"/>
    <x v="8"/>
    <n v="10"/>
    <n v="51"/>
    <n v="738229611"/>
    <s v="1404/07/14"/>
    <d v="1899-12-30T10:51:00"/>
    <x v="1"/>
    <x v="0"/>
    <x v="1"/>
    <s v="14"/>
    <n v="10"/>
    <n v="51"/>
    <n v="738229611"/>
    <s v="خرابی سنسور  تیغه"/>
    <n v="0"/>
    <n v="24"/>
    <n v="0.2"/>
    <n v="360"/>
    <n v="720"/>
    <n v="205.88333333333333"/>
    <n v="738217258"/>
  </r>
  <r>
    <n v="205"/>
    <x v="0"/>
    <x v="4"/>
    <s v="Shrink1"/>
    <x v="13"/>
    <x v="0"/>
    <s v="1404/07/14"/>
    <d v="1899-12-30T10:58:00"/>
    <x v="1"/>
    <x v="1"/>
    <x v="1"/>
    <x v="8"/>
    <n v="10"/>
    <n v="58"/>
    <n v="738229618"/>
    <s v="1404/07/14"/>
    <d v="1899-12-30T10:58:00"/>
    <x v="1"/>
    <x v="0"/>
    <x v="1"/>
    <s v="14"/>
    <n v="10"/>
    <n v="58"/>
    <n v="738229618"/>
    <s v="د_x000a_لیمیت سویچ رو از دستگاه جدا کردیم و سنسور پراکسی میتی جایگزین شد"/>
    <n v="0"/>
    <n v="24"/>
    <n v="0.2"/>
    <n v="360"/>
    <n v="720"/>
    <n v="0.11666666666666667"/>
    <n v="738229611"/>
  </r>
  <r>
    <n v="206"/>
    <x v="0"/>
    <x v="38"/>
    <s v="Brain filler3"/>
    <x v="40"/>
    <x v="0"/>
    <s v="1404/07/15"/>
    <d v="1899-12-30T12:25:00"/>
    <x v="1"/>
    <x v="1"/>
    <x v="1"/>
    <x v="20"/>
    <n v="12"/>
    <n v="25"/>
    <n v="738231145"/>
    <s v="1404/07/15"/>
    <d v="1899-12-30T12:57:00"/>
    <x v="1"/>
    <x v="0"/>
    <x v="1"/>
    <s v="15"/>
    <n v="12"/>
    <n v="57"/>
    <n v="738231177"/>
    <m/>
    <n v="0.53333333333333333"/>
    <n v="24"/>
    <n v="0.2"/>
    <n v="360"/>
    <n v="720"/>
    <n v="458.13333333333333"/>
    <n v="738203657"/>
  </r>
  <r>
    <n v="207"/>
    <x v="0"/>
    <x v="47"/>
    <s v="Cutting Machine3"/>
    <x v="8"/>
    <x v="0"/>
    <s v="1404/07/16"/>
    <d v="1899-12-30T08:00:00"/>
    <x v="1"/>
    <x v="1"/>
    <x v="1"/>
    <x v="4"/>
    <n v="8"/>
    <n v="0"/>
    <n v="738232320"/>
    <s v="1404/07/16"/>
    <d v="1899-12-30T09:00:00"/>
    <x v="1"/>
    <x v="0"/>
    <x v="1"/>
    <s v="16"/>
    <n v="9"/>
    <n v="0"/>
    <n v="738232380"/>
    <s v="خرابی رولر"/>
    <n v="1"/>
    <n v="24"/>
    <n v="0.2"/>
    <n v="360"/>
    <n v="720"/>
    <n v="1438.15"/>
    <n v="738146031"/>
  </r>
  <r>
    <n v="208"/>
    <x v="0"/>
    <x v="48"/>
    <s v="Cutting Machine4"/>
    <x v="5"/>
    <x v="0"/>
    <s v="1404/07/16"/>
    <d v="1899-12-30T09:00:00"/>
    <x v="1"/>
    <x v="1"/>
    <x v="1"/>
    <x v="4"/>
    <n v="9"/>
    <n v="0"/>
    <n v="738232380"/>
    <s v="1404/07/16"/>
    <d v="1899-12-30T09:10:00"/>
    <x v="1"/>
    <x v="0"/>
    <x v="1"/>
    <s v="16"/>
    <n v="9"/>
    <n v="10"/>
    <n v="738232390"/>
    <s v="خرابی شفت فولی مادر"/>
    <n v="0.16666666666666666"/>
    <n v="24"/>
    <n v="0.2"/>
    <n v="360"/>
    <n v="720"/>
    <n v="132.41666666666666"/>
    <n v="738224435"/>
  </r>
  <r>
    <n v="209"/>
    <x v="0"/>
    <x v="24"/>
    <s v="(Flexographic) Printing Machine"/>
    <x v="6"/>
    <x v="0"/>
    <s v="1404/07/17"/>
    <d v="1899-12-30T11:00:00"/>
    <x v="1"/>
    <x v="1"/>
    <x v="1"/>
    <x v="1"/>
    <n v="11"/>
    <n v="0"/>
    <n v="738233940"/>
    <s v="1404/07/17"/>
    <d v="1899-12-30T11:20:00"/>
    <x v="1"/>
    <x v="0"/>
    <x v="1"/>
    <s v="17"/>
    <n v="11"/>
    <n v="20"/>
    <n v="738233960"/>
    <s v="خرابی روکش گریپ"/>
    <n v="0.33333333333333331"/>
    <n v="24"/>
    <n v="0.2"/>
    <n v="360"/>
    <n v="720"/>
    <n v="141.91666666666666"/>
    <n v="738225425"/>
  </r>
  <r>
    <n v="210"/>
    <x v="0"/>
    <x v="24"/>
    <s v="(Flexographic) Printing Machine"/>
    <x v="6"/>
    <x v="0"/>
    <s v="1404/07/17"/>
    <d v="1899-12-30T14:00:00"/>
    <x v="1"/>
    <x v="1"/>
    <x v="1"/>
    <x v="1"/>
    <n v="14"/>
    <n v="0"/>
    <n v="738234120"/>
    <s v="1404/07/17"/>
    <d v="1899-12-30T14:25:00"/>
    <x v="1"/>
    <x v="0"/>
    <x v="1"/>
    <s v="17"/>
    <n v="14"/>
    <n v="25"/>
    <n v="738234145"/>
    <s v="خرابی بلبرینگ و شفت رولر"/>
    <n v="0.41666666666666669"/>
    <n v="24"/>
    <n v="0.2"/>
    <n v="360"/>
    <n v="720"/>
    <n v="2.6666666666666665"/>
    <n v="738233960"/>
  </r>
  <r>
    <n v="211"/>
    <x v="0"/>
    <x v="47"/>
    <s v="Cutting Machine3"/>
    <x v="8"/>
    <x v="0"/>
    <s v="1404/07/19"/>
    <d v="1899-12-30T12:40:00"/>
    <x v="1"/>
    <x v="1"/>
    <x v="1"/>
    <x v="9"/>
    <n v="12"/>
    <n v="40"/>
    <n v="738236920"/>
    <s v="1404/07/19"/>
    <d v="1899-12-30T13:10:00"/>
    <x v="1"/>
    <x v="0"/>
    <x v="1"/>
    <s v="19"/>
    <n v="13"/>
    <n v="10"/>
    <n v="738236950"/>
    <m/>
    <n v="0.5"/>
    <n v="24"/>
    <n v="0.2"/>
    <n v="360"/>
    <n v="720"/>
    <n v="75.666666666666671"/>
    <n v="738232380"/>
  </r>
  <r>
    <n v="212"/>
    <x v="0"/>
    <x v="24"/>
    <s v="(Flexographic) Printing Machine"/>
    <x v="6"/>
    <x v="0"/>
    <s v="1404/7/20"/>
    <d v="1899-12-30T13:15:00"/>
    <x v="1"/>
    <x v="1"/>
    <x v="1"/>
    <x v="21"/>
    <n v="13"/>
    <n v="15"/>
    <n v="738238395"/>
    <s v="1404/07/20"/>
    <d v="1899-12-30T13:54:00"/>
    <x v="1"/>
    <x v="0"/>
    <x v="1"/>
    <s v="20"/>
    <n v="13"/>
    <n v="54"/>
    <n v="738238434"/>
    <s v="خرابی زنجیر و خورشیدی ها"/>
    <n v="0.65"/>
    <n v="24"/>
    <n v="0.2"/>
    <n v="360"/>
    <n v="720"/>
    <n v="70.833333333333329"/>
    <n v="738234145"/>
  </r>
  <r>
    <n v="213"/>
    <x v="0"/>
    <x v="24"/>
    <s v="(Flexographic) Printing Machine"/>
    <x v="6"/>
    <x v="0"/>
    <s v="1404/7/20"/>
    <d v="1899-12-30T15:20:00"/>
    <x v="1"/>
    <x v="1"/>
    <x v="1"/>
    <x v="21"/>
    <n v="15"/>
    <n v="20"/>
    <n v="738238520"/>
    <s v="1404/07/20"/>
    <d v="1899-12-30T15:50:00"/>
    <x v="1"/>
    <x v="0"/>
    <x v="1"/>
    <s v="20"/>
    <n v="15"/>
    <n v="50"/>
    <n v="738238550"/>
    <s v="خرابی زنجیر و خورشیدی ها"/>
    <n v="0.5"/>
    <n v="24"/>
    <n v="0.2"/>
    <n v="360"/>
    <n v="720"/>
    <n v="1.4333333333333333"/>
    <n v="738238434"/>
  </r>
  <r>
    <n v="214"/>
    <x v="0"/>
    <x v="49"/>
    <s v="Shrink2"/>
    <x v="3"/>
    <x v="0"/>
    <s v="1404/07/24"/>
    <d v="1899-12-30T10:55:00"/>
    <x v="1"/>
    <x v="1"/>
    <x v="1"/>
    <x v="15"/>
    <n v="10"/>
    <n v="55"/>
    <n v="738244015"/>
    <s v="1404/07/24"/>
    <d v="1899-12-30T11:15:00"/>
    <x v="1"/>
    <x v="0"/>
    <x v="1"/>
    <s v="24"/>
    <n v="11"/>
    <n v="15"/>
    <n v="738244035"/>
    <m/>
    <n v="0.33333333333333331"/>
    <n v="24"/>
    <n v="0.2"/>
    <n v="360"/>
    <n v="720"/>
    <n v="1130.4000000000001"/>
    <n v="738176191"/>
  </r>
  <r>
    <n v="215"/>
    <x v="0"/>
    <x v="50"/>
    <s v="Shrink1"/>
    <x v="4"/>
    <x v="0"/>
    <s v="1404/07/26"/>
    <d v="1899-12-30T08:35:00"/>
    <x v="1"/>
    <x v="1"/>
    <x v="1"/>
    <x v="10"/>
    <n v="8"/>
    <n v="35"/>
    <n v="738246755"/>
    <s v="1404/07/26"/>
    <d v="1899-12-30T09:16:00"/>
    <x v="1"/>
    <x v="0"/>
    <x v="1"/>
    <s v="26"/>
    <n v="9"/>
    <n v="16"/>
    <n v="738246796"/>
    <m/>
    <n v="0.68333333333333335"/>
    <n v="24"/>
    <n v="0.2"/>
    <n v="360"/>
    <n v="720"/>
    <n v="1989.5833333333333"/>
    <n v="738127380"/>
  </r>
  <r>
    <n v="216"/>
    <x v="0"/>
    <x v="7"/>
    <s v="Cutting Machine2"/>
    <x v="7"/>
    <x v="0"/>
    <s v="1404/07/28"/>
    <d v="1899-12-30T08:20:00"/>
    <x v="1"/>
    <x v="1"/>
    <x v="1"/>
    <x v="30"/>
    <n v="8"/>
    <n v="20"/>
    <n v="738249620"/>
    <s v="1404/07/28"/>
    <d v="1899-12-30T14:15:00"/>
    <x v="1"/>
    <x v="0"/>
    <x v="1"/>
    <s v="28"/>
    <n v="14"/>
    <n v="15"/>
    <n v="738249975"/>
    <s v="تعویض تیغه های برش و بلبرینگهای شفت چرخ دنده اتصال کابل های کنترل تیشن"/>
    <n v="5.916666666666667"/>
    <n v="24"/>
    <n v="0.2"/>
    <n v="360"/>
    <n v="720"/>
    <n v="334.13333333333333"/>
    <n v="738229572"/>
  </r>
  <r>
    <n v="217"/>
    <x v="0"/>
    <x v="7"/>
    <s v="Cutting Machine2"/>
    <x v="7"/>
    <x v="0"/>
    <s v="1404/07/29"/>
    <d v="1899-12-30T09:00:00"/>
    <x v="1"/>
    <x v="1"/>
    <x v="1"/>
    <x v="11"/>
    <n v="9"/>
    <n v="0"/>
    <n v="738251100"/>
    <s v="1404/07/29"/>
    <d v="1899-12-30T12:00:00"/>
    <x v="1"/>
    <x v="0"/>
    <x v="1"/>
    <s v="29"/>
    <n v="12"/>
    <n v="0"/>
    <n v="738251280"/>
    <s v="خرابی تیغه  های فرمان و رله ها"/>
    <n v="3"/>
    <n v="24"/>
    <n v="0.2"/>
    <n v="360"/>
    <n v="720"/>
    <n v="18.75"/>
    <n v="738249975"/>
  </r>
  <r>
    <n v="218"/>
    <x v="0"/>
    <x v="47"/>
    <s v="Cutting Machine3"/>
    <x v="8"/>
    <x v="0"/>
    <s v="1404/07/30"/>
    <d v="1899-12-30T18:05:00"/>
    <x v="1"/>
    <x v="1"/>
    <x v="1"/>
    <x v="12"/>
    <n v="18"/>
    <n v="5"/>
    <n v="738253085"/>
    <s v="1404/07/30"/>
    <d v="1899-12-30T18:20:00"/>
    <x v="1"/>
    <x v="0"/>
    <x v="1"/>
    <s v="30"/>
    <n v="18"/>
    <n v="20"/>
    <n v="738253100"/>
    <s v="علت خرابی عدم برش صحیح تیغه ها"/>
    <n v="0.25"/>
    <n v="24"/>
    <n v="0.2"/>
    <n v="360"/>
    <n v="720"/>
    <n v="268.91666666666669"/>
    <n v="738236950"/>
  </r>
  <r>
    <n v="219"/>
    <x v="0"/>
    <x v="48"/>
    <s v="Cutting Machine4"/>
    <x v="5"/>
    <x v="0"/>
    <s v="1404/08/01"/>
    <d v="1899-12-30T15:00:00"/>
    <x v="1"/>
    <x v="1"/>
    <x v="2"/>
    <x v="0"/>
    <n v="15"/>
    <n v="0"/>
    <n v="738254340"/>
    <s v="1404/08/01"/>
    <d v="1899-12-30T16:45:00"/>
    <x v="1"/>
    <x v="0"/>
    <x v="2"/>
    <s v="01"/>
    <n v="16"/>
    <n v="45"/>
    <n v="738254445"/>
    <s v="شکسته شدن خار و چرخ دنده رولر وپاره شدن تسمه"/>
    <n v="1.75"/>
    <n v="24"/>
    <n v="0.2"/>
    <n v="360"/>
    <n v="720"/>
    <n v="365.83333333333331"/>
    <n v="738232390"/>
  </r>
  <r>
    <n v="220"/>
    <x v="0"/>
    <x v="48"/>
    <s v="Cutting Machine4"/>
    <x v="5"/>
    <x v="0"/>
    <s v="1404/08/01"/>
    <d v="1899-12-30T19:55:00"/>
    <x v="1"/>
    <x v="1"/>
    <x v="2"/>
    <x v="0"/>
    <n v="19"/>
    <n v="55"/>
    <n v="738254635"/>
    <s v="1404/08/03"/>
    <d v="1899-12-30T09:15:00"/>
    <x v="1"/>
    <x v="0"/>
    <x v="2"/>
    <s v="03"/>
    <n v="9"/>
    <n v="15"/>
    <n v="738256875"/>
    <s v="مشکل برقی.سیم های فرمان و تیغه های فرمان (کلید سلکتوری)"/>
    <n v="37.333333333333336"/>
    <n v="24"/>
    <n v="0.2"/>
    <n v="360"/>
    <n v="720"/>
    <n v="3.1666666666666665"/>
    <n v="738254445"/>
  </r>
  <r>
    <n v="221"/>
    <x v="0"/>
    <x v="50"/>
    <s v="Shrink1"/>
    <x v="4"/>
    <x v="0"/>
    <s v="1404/08/02"/>
    <d v="1899-12-30T06:15:00"/>
    <x v="1"/>
    <x v="1"/>
    <x v="2"/>
    <x v="26"/>
    <n v="6"/>
    <n v="15"/>
    <n v="738255255"/>
    <s v="1404/08/03"/>
    <d v="1899-12-30T13:00:00"/>
    <x v="1"/>
    <x v="0"/>
    <x v="2"/>
    <s v="03"/>
    <n v="13"/>
    <n v="0"/>
    <n v="738257100"/>
    <s v="جابجایی گیربکس "/>
    <n v="30.75"/>
    <n v="24"/>
    <n v="0.2"/>
    <n v="360"/>
    <n v="720"/>
    <n v="140.98333333333332"/>
    <n v="738246796"/>
  </r>
  <r>
    <n v="222"/>
    <x v="2"/>
    <x v="51"/>
    <m/>
    <x v="44"/>
    <x v="0"/>
    <s v="1404/08/04"/>
    <d v="1899-12-30T07:00:00"/>
    <x v="1"/>
    <x v="1"/>
    <x v="2"/>
    <x v="6"/>
    <n v="7"/>
    <n v="0"/>
    <n v="738258180"/>
    <s v="1404/08/04"/>
    <d v="1899-12-30T08:10:00"/>
    <x v="1"/>
    <x v="0"/>
    <x v="2"/>
    <s v="04"/>
    <n v="8"/>
    <n v="10"/>
    <n v="738258250"/>
    <s v="تنظیمات کنترل فاز"/>
    <n v="1.1666666666666667"/>
    <n v="24"/>
    <n v="0.2"/>
    <n v="360"/>
    <n v="720"/>
    <s v=""/>
    <s v=""/>
  </r>
  <r>
    <n v="223"/>
    <x v="0"/>
    <x v="38"/>
    <s v="Brain filler3"/>
    <x v="45"/>
    <x v="0"/>
    <s v="1404/08/04"/>
    <d v="1899-12-30T08:00:00"/>
    <x v="1"/>
    <x v="1"/>
    <x v="2"/>
    <x v="6"/>
    <n v="8"/>
    <n v="0"/>
    <n v="738258240"/>
    <s v="1404/08/04"/>
    <d v="1899-12-30T08:30:00"/>
    <x v="1"/>
    <x v="0"/>
    <x v="2"/>
    <s v="04"/>
    <n v="8"/>
    <n v="30"/>
    <n v="738258270"/>
    <m/>
    <n v="0.5"/>
    <n v="24"/>
    <n v="0.2"/>
    <n v="360"/>
    <n v="720"/>
    <s v=""/>
    <s v=""/>
  </r>
  <r>
    <n v="224"/>
    <x v="0"/>
    <x v="52"/>
    <s v="Cutting Machine4"/>
    <x v="5"/>
    <x v="0"/>
    <s v="1404/08/04"/>
    <d v="1899-12-30T08:55:00"/>
    <x v="1"/>
    <x v="1"/>
    <x v="2"/>
    <x v="6"/>
    <n v="8"/>
    <n v="55"/>
    <n v="738258295"/>
    <s v="1404/08/04"/>
    <d v="1899-12-30T10:14:00"/>
    <x v="1"/>
    <x v="0"/>
    <x v="2"/>
    <s v="04"/>
    <n v="10"/>
    <n v="14"/>
    <n v="738258374"/>
    <s v="خرابی رولر دستگاه "/>
    <n v="1.3166666666666667"/>
    <n v="24"/>
    <n v="0.2"/>
    <n v="360"/>
    <n v="720"/>
    <n v="23.666666666666668"/>
    <n v="738256875"/>
  </r>
  <r>
    <n v="225"/>
    <x v="0"/>
    <x v="50"/>
    <s v="Shrink1"/>
    <x v="4"/>
    <x v="0"/>
    <s v="1404/08/4"/>
    <d v="1899-12-30T19:00:00"/>
    <x v="1"/>
    <x v="1"/>
    <x v="2"/>
    <x v="31"/>
    <n v="19"/>
    <n v="0"/>
    <n v="738253716.00000012"/>
    <s v="1404/0804"/>
    <d v="1899-12-30T23:15:00"/>
    <x v="1"/>
    <x v="0"/>
    <x v="2"/>
    <s v="04"/>
    <n v="23"/>
    <n v="15"/>
    <n v="738259155"/>
    <m/>
    <n v="90.649999998013172"/>
    <n v="24"/>
    <n v="0.2"/>
    <n v="360"/>
    <n v="720"/>
    <n v="115.33333333532015"/>
    <n v="738246796"/>
  </r>
  <r>
    <n v="226"/>
    <x v="0"/>
    <x v="48"/>
    <s v="Cutting Machine4"/>
    <x v="5"/>
    <x v="0"/>
    <s v="1404/08/5"/>
    <d v="1899-12-30T08:00:00"/>
    <x v="1"/>
    <x v="1"/>
    <x v="2"/>
    <x v="32"/>
    <n v="8"/>
    <n v="0"/>
    <n v="738253200"/>
    <s v="1404/08/05"/>
    <d v="1899-12-30T09:35:00"/>
    <x v="1"/>
    <x v="0"/>
    <x v="2"/>
    <s v="05"/>
    <n v="9"/>
    <n v="35"/>
    <n v="738259775"/>
    <s v="خرابی رولر"/>
    <n v="109.58333333333333"/>
    <n v="24"/>
    <n v="0.2"/>
    <n v="360"/>
    <n v="720"/>
    <n v="346.83333333333331"/>
    <n v="738232390"/>
  </r>
  <r>
    <n v="227"/>
    <x v="0"/>
    <x v="48"/>
    <s v="Cutting Machine4"/>
    <x v="5"/>
    <x v="0"/>
    <s v="1404/08/5"/>
    <d v="1899-12-30T10:00:00"/>
    <x v="1"/>
    <x v="1"/>
    <x v="2"/>
    <x v="32"/>
    <n v="10"/>
    <n v="0"/>
    <n v="738253320"/>
    <s v="1404/08/05"/>
    <d v="1899-12-30T11:23:00"/>
    <x v="1"/>
    <x v="0"/>
    <x v="2"/>
    <s v="05"/>
    <n v="11"/>
    <n v="23"/>
    <n v="738259883"/>
    <s v="خرابی رولر"/>
    <n v="109.38333333333334"/>
    <n v="24"/>
    <n v="0.2"/>
    <n v="360"/>
    <n v="720"/>
    <n v="348.83333333333331"/>
    <n v="738232390"/>
  </r>
  <r>
    <n v="228"/>
    <x v="0"/>
    <x v="24"/>
    <s v="(Flexographic) Printing Machine"/>
    <x v="6"/>
    <x v="0"/>
    <s v="1404/08/05"/>
    <d v="1899-12-30T16:34:00"/>
    <x v="1"/>
    <x v="1"/>
    <x v="2"/>
    <x v="7"/>
    <n v="16"/>
    <n v="34"/>
    <n v="738260194"/>
    <s v="1404/08/05"/>
    <d v="1899-12-30T16:50:00"/>
    <x v="1"/>
    <x v="0"/>
    <x v="2"/>
    <s v="05"/>
    <n v="16"/>
    <n v="50"/>
    <n v="738260210"/>
    <s v="در رفتن زنجیر"/>
    <n v="0.26666666666666666"/>
    <n v="24"/>
    <n v="0.2"/>
    <n v="360"/>
    <n v="720"/>
    <n v="360.73333333333335"/>
    <n v="738238550"/>
  </r>
  <r>
    <n v="229"/>
    <x v="3"/>
    <x v="37"/>
    <s v="Automated Optical Inspection (AOI"/>
    <x v="38"/>
    <x v="0"/>
    <s v="1404/08/06"/>
    <d v="1899-12-30T17:59:00"/>
    <x v="1"/>
    <x v="1"/>
    <x v="2"/>
    <x v="27"/>
    <n v="17"/>
    <n v="59"/>
    <n v="738261719"/>
    <s v="1404/08/06"/>
    <d v="1899-12-30T18:10:00"/>
    <x v="1"/>
    <x v="0"/>
    <x v="2"/>
    <s v="06"/>
    <n v="18"/>
    <n v="10"/>
    <n v="738261730"/>
    <s v="خطای ارتباط روشنایی"/>
    <n v="0.18333333333333332"/>
    <n v="24"/>
    <n v="0.2"/>
    <n v="360"/>
    <n v="720"/>
    <n v="2143.65"/>
    <n v="738133100"/>
  </r>
  <r>
    <n v="230"/>
    <x v="0"/>
    <x v="53"/>
    <s v="Cutting Machine2"/>
    <x v="7"/>
    <x v="0"/>
    <s v="1404/08/07"/>
    <d v="1899-12-30T17:00:00"/>
    <x v="1"/>
    <x v="1"/>
    <x v="2"/>
    <x v="17"/>
    <n v="17"/>
    <n v="0"/>
    <n v="738263100"/>
    <s v="1404/08/07"/>
    <d v="1899-12-30T18:11:00"/>
    <x v="1"/>
    <x v="0"/>
    <x v="2"/>
    <s v="07"/>
    <n v="18"/>
    <n v="11"/>
    <n v="738263171"/>
    <s v="برق(خرابی رله فرمان و تیغه استارت)"/>
    <n v="1.1833333333333333"/>
    <n v="24"/>
    <n v="0.2"/>
    <n v="360"/>
    <n v="720"/>
    <n v="197"/>
    <n v="738251280"/>
  </r>
  <r>
    <n v="231"/>
    <x v="0"/>
    <x v="48"/>
    <s v="Cutting Machine4"/>
    <x v="5"/>
    <x v="0"/>
    <s v="1404/08/07"/>
    <d v="1899-12-30T17:00:00"/>
    <x v="1"/>
    <x v="1"/>
    <x v="2"/>
    <x v="17"/>
    <n v="17"/>
    <n v="0"/>
    <n v="738263100"/>
    <s v="1404/08/07"/>
    <d v="1899-12-30T18:42:00"/>
    <x v="1"/>
    <x v="0"/>
    <x v="2"/>
    <s v="07"/>
    <n v="18"/>
    <n v="42"/>
    <n v="738263202"/>
    <m/>
    <n v="1.7"/>
    <n v="24"/>
    <n v="0.2"/>
    <n v="360"/>
    <n v="720"/>
    <n v="53.616666666666667"/>
    <n v="738259883"/>
  </r>
  <r>
    <n v="232"/>
    <x v="0"/>
    <x v="50"/>
    <s v="Shrink1"/>
    <x v="4"/>
    <x v="0"/>
    <s v="1404/08/10"/>
    <d v="1899-12-30T15:00:00"/>
    <x v="1"/>
    <x v="1"/>
    <x v="2"/>
    <x v="3"/>
    <n v="15"/>
    <n v="0"/>
    <n v="738267300"/>
    <s v="1404/08/10"/>
    <d v="1899-12-30T15:15:00"/>
    <x v="1"/>
    <x v="0"/>
    <x v="2"/>
    <s v="10"/>
    <n v="15"/>
    <n v="15"/>
    <n v="738267315"/>
    <s v="خرابی جک دپو"/>
    <n v="0.25"/>
    <n v="24"/>
    <n v="0.2"/>
    <n v="360"/>
    <n v="720"/>
    <n v="135.75"/>
    <n v="738259155"/>
  </r>
  <r>
    <n v="233"/>
    <x v="0"/>
    <x v="47"/>
    <s v="Cutting Machine3"/>
    <x v="8"/>
    <x v="0"/>
    <s v="1404/08/11"/>
    <d v="1899-12-30T08:55:00"/>
    <x v="1"/>
    <x v="1"/>
    <x v="2"/>
    <x v="18"/>
    <n v="8"/>
    <n v="55"/>
    <n v="738268375"/>
    <s v="1404/08/11"/>
    <d v="1899-12-30T11:16:00"/>
    <x v="1"/>
    <x v="0"/>
    <x v="2"/>
    <s v="11"/>
    <n v="11"/>
    <n v="16"/>
    <n v="738268516"/>
    <s v="بردن تسمه چرخدنده"/>
    <n v="2.35"/>
    <n v="24"/>
    <n v="0.2"/>
    <n v="360"/>
    <n v="720"/>
    <n v="254.58333333333334"/>
    <n v="738253100"/>
  </r>
  <r>
    <n v="234"/>
    <x v="0"/>
    <x v="50"/>
    <s v="Shrink1"/>
    <x v="4"/>
    <x v="0"/>
    <s v="1404/08/11"/>
    <d v="1899-12-30T10:20:00"/>
    <x v="1"/>
    <x v="1"/>
    <x v="2"/>
    <x v="18"/>
    <n v="10"/>
    <n v="20"/>
    <n v="738268460"/>
    <s v="1404/08/11"/>
    <d v="1899-12-30T11:10:00"/>
    <x v="1"/>
    <x v="0"/>
    <x v="2"/>
    <s v="11"/>
    <n v="11"/>
    <n v="10"/>
    <n v="738268510"/>
    <s v="خرابی جک دپو"/>
    <n v="0.83333333333333337"/>
    <n v="24"/>
    <n v="0.2"/>
    <n v="360"/>
    <n v="720"/>
    <n v="19.083333333333332"/>
    <n v="738267315"/>
  </r>
  <r>
    <n v="235"/>
    <x v="0"/>
    <x v="7"/>
    <s v="Cutting Machine2"/>
    <x v="7"/>
    <x v="0"/>
    <s v="1404/08/11"/>
    <d v="1899-12-30T13:45:00"/>
    <x v="1"/>
    <x v="1"/>
    <x v="2"/>
    <x v="18"/>
    <n v="13"/>
    <n v="45"/>
    <n v="738268665"/>
    <s v="1404/08/11"/>
    <d v="1899-12-30T14:10:00"/>
    <x v="1"/>
    <x v="0"/>
    <x v="2"/>
    <s v="11"/>
    <n v="14"/>
    <n v="10"/>
    <n v="738268690"/>
    <s v="نبود فنر  کشی"/>
    <n v="0.41666666666666669"/>
    <n v="24"/>
    <n v="0.2"/>
    <n v="360"/>
    <n v="720"/>
    <n v="91.566666666666663"/>
    <n v="738263171"/>
  </r>
  <r>
    <n v="236"/>
    <x v="0"/>
    <x v="48"/>
    <s v="Cutting Machine4"/>
    <x v="5"/>
    <x v="0"/>
    <s v="1404/08/11"/>
    <d v="1899-12-30T15:49:00"/>
    <x v="1"/>
    <x v="1"/>
    <x v="2"/>
    <x v="18"/>
    <n v="15"/>
    <n v="49"/>
    <n v="738268789"/>
    <s v="1404/08/11"/>
    <d v="1899-12-30T17:45:00"/>
    <x v="1"/>
    <x v="0"/>
    <x v="2"/>
    <s v="11"/>
    <n v="17"/>
    <n v="45"/>
    <n v="738268905"/>
    <s v="تعویض تیغه های استارت .کلید سلکتوری.سیمهای فرمان"/>
    <n v="1.9333333333333333"/>
    <n v="24"/>
    <n v="0.2"/>
    <n v="360"/>
    <n v="720"/>
    <n v="93.11666666666666"/>
    <n v="738263202"/>
  </r>
  <r>
    <n v="237"/>
    <x v="3"/>
    <x v="37"/>
    <s v="Automated Optical Inspection (AOI"/>
    <x v="38"/>
    <x v="0"/>
    <s v="1404/08/11"/>
    <d v="1899-12-30T21:20:00"/>
    <x v="1"/>
    <x v="1"/>
    <x v="2"/>
    <x v="18"/>
    <n v="21"/>
    <n v="20"/>
    <n v="738269120"/>
    <s v="1404/08/11"/>
    <d v="1899-12-30T21:35:00"/>
    <x v="1"/>
    <x v="0"/>
    <x v="2"/>
    <s v="11"/>
    <n v="21"/>
    <n v="35"/>
    <n v="738269135"/>
    <s v="خطای ارتباطی با روشنایی"/>
    <n v="0.25"/>
    <n v="24"/>
    <n v="0.2"/>
    <n v="360"/>
    <n v="720"/>
    <n v="123.16666666666667"/>
    <n v="738261730"/>
  </r>
  <r>
    <n v="238"/>
    <x v="3"/>
    <x v="54"/>
    <s v="Wave Soldering "/>
    <x v="46"/>
    <x v="0"/>
    <s v="1404/08/12"/>
    <d v="1899-12-30T17:00:00"/>
    <x v="1"/>
    <x v="1"/>
    <x v="2"/>
    <x v="19"/>
    <n v="17"/>
    <n v="0"/>
    <n v="738270300"/>
    <s v="1404/08/13"/>
    <d v="1899-12-30T08:50:00"/>
    <x v="1"/>
    <x v="0"/>
    <x v="2"/>
    <s v="13"/>
    <n v="8"/>
    <n v="50"/>
    <n v="738271250"/>
    <s v="خطای دستگاه فلکس"/>
    <n v="15.833333333333334"/>
    <n v="24"/>
    <n v="0.2"/>
    <n v="360"/>
    <n v="720"/>
    <s v=""/>
    <s v=""/>
  </r>
  <r>
    <n v="239"/>
    <x v="0"/>
    <x v="48"/>
    <s v="Cutting Machine4"/>
    <x v="5"/>
    <x v="0"/>
    <s v="1404/08/12"/>
    <d v="1899-12-30T19:00:00"/>
    <x v="1"/>
    <x v="1"/>
    <x v="2"/>
    <x v="19"/>
    <n v="19"/>
    <n v="0"/>
    <n v="738270420"/>
    <s v="1404/08/12"/>
    <d v="1899-12-30T19:20:00"/>
    <x v="1"/>
    <x v="0"/>
    <x v="2"/>
    <s v="12"/>
    <n v="19"/>
    <n v="20"/>
    <n v="738270440"/>
    <m/>
    <n v="0.33333333333333331"/>
    <n v="24"/>
    <n v="0.2"/>
    <n v="360"/>
    <n v="720"/>
    <n v="25.25"/>
    <n v="738268905"/>
  </r>
  <r>
    <n v="240"/>
    <x v="0"/>
    <x v="50"/>
    <s v="Shrink1"/>
    <x v="4"/>
    <x v="0"/>
    <s v="1404/08/12"/>
    <d v="1899-12-30T21:00:00"/>
    <x v="1"/>
    <x v="1"/>
    <x v="2"/>
    <x v="19"/>
    <n v="21"/>
    <n v="0"/>
    <n v="738270540"/>
    <s v="1404/08/12"/>
    <d v="1899-12-30T23:05:00"/>
    <x v="1"/>
    <x v="0"/>
    <x v="2"/>
    <s v="12"/>
    <n v="23"/>
    <n v="5"/>
    <n v="738270665"/>
    <s v="خرابی تیغه "/>
    <n v="2.0833333333333335"/>
    <n v="24"/>
    <n v="0.2"/>
    <n v="360"/>
    <n v="720"/>
    <n v="33.833333333333336"/>
    <n v="738268510"/>
  </r>
  <r>
    <n v="241"/>
    <x v="0"/>
    <x v="50"/>
    <s v="Shrink1"/>
    <x v="4"/>
    <x v="0"/>
    <s v="1404/08/13"/>
    <d v="1899-12-30T01:00:00"/>
    <x v="1"/>
    <x v="1"/>
    <x v="2"/>
    <x v="28"/>
    <n v="1"/>
    <n v="0"/>
    <n v="738270780"/>
    <s v="1404/08/13"/>
    <d v="1899-12-30T02:40:00"/>
    <x v="1"/>
    <x v="0"/>
    <x v="2"/>
    <s v="13"/>
    <n v="2"/>
    <n v="40"/>
    <n v="738270880"/>
    <s v="قطع شدن کابل المنت"/>
    <n v="1.6666666666666667"/>
    <n v="24"/>
    <n v="0.2"/>
    <n v="360"/>
    <n v="720"/>
    <n v="1.9166666666666667"/>
    <n v="738270665"/>
  </r>
  <r>
    <n v="242"/>
    <x v="0"/>
    <x v="50"/>
    <s v="Shrink1"/>
    <x v="4"/>
    <x v="0"/>
    <s v="1404/08/13"/>
    <d v="1899-12-30T08:00:00"/>
    <x v="1"/>
    <x v="1"/>
    <x v="2"/>
    <x v="28"/>
    <n v="8"/>
    <n v="0"/>
    <n v="738271200"/>
    <s v="1404/08/13"/>
    <d v="1899-12-30T09:30:00"/>
    <x v="1"/>
    <x v="0"/>
    <x v="2"/>
    <s v="13"/>
    <n v="9"/>
    <n v="30"/>
    <n v="738271290"/>
    <s v="کمبود دما "/>
    <n v="1.5"/>
    <n v="24"/>
    <n v="0.2"/>
    <n v="360"/>
    <n v="720"/>
    <n v="5.333333333333333"/>
    <n v="738270880"/>
  </r>
  <r>
    <n v="243"/>
    <x v="0"/>
    <x v="53"/>
    <s v="Cutting Machine2"/>
    <x v="7"/>
    <x v="0"/>
    <s v="1404/08/13"/>
    <d v="1899-12-30T08:20:00"/>
    <x v="1"/>
    <x v="1"/>
    <x v="2"/>
    <x v="28"/>
    <n v="8"/>
    <n v="20"/>
    <n v="738271220"/>
    <s v="1404/08/13"/>
    <d v="1899-12-30T08:55:00"/>
    <x v="1"/>
    <x v="0"/>
    <x v="2"/>
    <s v="13"/>
    <n v="8"/>
    <n v="55"/>
    <n v="738271255"/>
    <s v="تیغه های فرمان"/>
    <n v="0.58333333333333337"/>
    <n v="24"/>
    <n v="0.2"/>
    <n v="360"/>
    <n v="720"/>
    <n v="42.166666666666664"/>
    <n v="738268690"/>
  </r>
  <r>
    <n v="244"/>
    <x v="0"/>
    <x v="47"/>
    <s v="Cutting Machine3"/>
    <x v="8"/>
    <x v="0"/>
    <s v="1404/08/14"/>
    <d v="1899-12-30T08:00:00"/>
    <x v="1"/>
    <x v="1"/>
    <x v="2"/>
    <x v="8"/>
    <n v="8"/>
    <n v="0"/>
    <n v="738272640"/>
    <s v="1404/08/14"/>
    <d v="1899-12-30T09:12:00"/>
    <x v="1"/>
    <x v="0"/>
    <x v="2"/>
    <s v="14"/>
    <n v="9"/>
    <n v="12"/>
    <n v="738272712"/>
    <s v="رها شدن تسمه چرخ دنده شفت اسپیسر و شفت سلیکونی"/>
    <n v="1.2"/>
    <n v="24"/>
    <n v="0.2"/>
    <n v="360"/>
    <n v="720"/>
    <n v="68.733333333333334"/>
    <n v="738268516"/>
  </r>
  <r>
    <n v="245"/>
    <x v="0"/>
    <x v="38"/>
    <s v="Brain filler3"/>
    <x v="45"/>
    <x v="0"/>
    <s v="1404/08/15"/>
    <d v="1899-12-30T10:41:00"/>
    <x v="1"/>
    <x v="1"/>
    <x v="2"/>
    <x v="20"/>
    <n v="10"/>
    <n v="41"/>
    <n v="738274241"/>
    <s v="1404/08/15"/>
    <d v="1899-12-30T10:55:00"/>
    <x v="1"/>
    <x v="0"/>
    <x v="2"/>
    <s v="15"/>
    <n v="10"/>
    <n v="55"/>
    <n v="738274255"/>
    <s v="پیچ بین بدنه و صفحه درگیر شده بود_x000a_که باعث توقف الکتروموتور میشد_x000a__x000a__x000a_"/>
    <n v="0.23333333333333334"/>
    <n v="24"/>
    <n v="0.2"/>
    <n v="360"/>
    <n v="720"/>
    <n v="266.18333333333334"/>
    <n v="738258270"/>
  </r>
  <r>
    <n v="246"/>
    <x v="0"/>
    <x v="50"/>
    <s v="Shrink1"/>
    <x v="4"/>
    <x v="0"/>
    <s v="1404/08/17"/>
    <d v="1899-12-30T08:00:00"/>
    <x v="1"/>
    <x v="1"/>
    <x v="2"/>
    <x v="1"/>
    <n v="8"/>
    <n v="0"/>
    <n v="738276960"/>
    <s v="1404/08/17"/>
    <d v="1899-12-30T08:30:00"/>
    <x v="1"/>
    <x v="0"/>
    <x v="2"/>
    <s v="17"/>
    <n v="8"/>
    <n v="30"/>
    <n v="738276990"/>
    <s v="روغن ریزی دینام خط کانوایر"/>
    <n v="0.5"/>
    <n v="24"/>
    <n v="0.2"/>
    <n v="360"/>
    <n v="720"/>
    <n v="94.5"/>
    <n v="738271290"/>
  </r>
  <r>
    <n v="247"/>
    <x v="0"/>
    <x v="47"/>
    <s v="Cutting Machine3"/>
    <x v="8"/>
    <x v="0"/>
    <s v="1404/08/17"/>
    <d v="1899-12-30T11:20:00"/>
    <x v="1"/>
    <x v="1"/>
    <x v="2"/>
    <x v="1"/>
    <n v="11"/>
    <n v="20"/>
    <n v="738277160"/>
    <s v="1404/08/17"/>
    <d v="1899-12-30T12:05:00"/>
    <x v="1"/>
    <x v="0"/>
    <x v="2"/>
    <s v="17"/>
    <n v="12"/>
    <n v="5"/>
    <n v="738277205"/>
    <m/>
    <n v="0.75"/>
    <n v="24"/>
    <n v="0.2"/>
    <n v="360"/>
    <n v="720"/>
    <n v="74.13333333333334"/>
    <n v="738272712"/>
  </r>
  <r>
    <n v="248"/>
    <x v="4"/>
    <x v="55"/>
    <s v="Tampo Print "/>
    <x v="47"/>
    <x v="0"/>
    <s v="1404/08/17"/>
    <d v="1899-12-30T11:00:00"/>
    <x v="1"/>
    <x v="1"/>
    <x v="2"/>
    <x v="1"/>
    <n v="11"/>
    <n v="0"/>
    <n v="738277140"/>
    <s v="1404/08/17"/>
    <d v="1899-12-30T12:00:00"/>
    <x v="1"/>
    <x v="0"/>
    <x v="2"/>
    <s v="17"/>
    <n v="12"/>
    <n v="0"/>
    <n v="738277200"/>
    <s v="لوله کشی"/>
    <n v="1"/>
    <n v="24"/>
    <n v="0.2"/>
    <n v="360"/>
    <n v="720"/>
    <s v=""/>
    <s v=""/>
  </r>
  <r>
    <n v="249"/>
    <x v="0"/>
    <x v="50"/>
    <s v="Shrink1"/>
    <x v="4"/>
    <x v="0"/>
    <s v="1404/08/18"/>
    <d v="1899-12-30T18:10:00"/>
    <x v="1"/>
    <x v="1"/>
    <x v="2"/>
    <x v="5"/>
    <n v="18"/>
    <n v="10"/>
    <n v="738279010"/>
    <s v="1404/08/18"/>
    <d v="1899-12-30T18:40:00"/>
    <x v="1"/>
    <x v="0"/>
    <x v="2"/>
    <s v="18"/>
    <n v="18"/>
    <n v="40"/>
    <n v="738279040"/>
    <s v="تعویض جک پنوماتیک قلمی"/>
    <n v="0.5"/>
    <n v="24"/>
    <n v="0.2"/>
    <n v="360"/>
    <n v="720"/>
    <n v="33.666666666666664"/>
    <n v="738276990"/>
  </r>
  <r>
    <n v="250"/>
    <x v="3"/>
    <x v="56"/>
    <s v="Pick&amp;Place CP45"/>
    <x v="35"/>
    <x v="0"/>
    <s v="1404/08/19"/>
    <d v="1899-12-30T18:40:00"/>
    <x v="1"/>
    <x v="1"/>
    <x v="2"/>
    <x v="9"/>
    <n v="18"/>
    <n v="40"/>
    <n v="738280480"/>
    <s v="1404/08/19"/>
    <d v="1899-12-30T19:00:00"/>
    <x v="1"/>
    <x v="0"/>
    <x v="2"/>
    <s v="19"/>
    <n v="19"/>
    <n v="0"/>
    <n v="738280500"/>
    <s v="توقف دستگاه p&amp;p به دلیل خطای هولدر نازل "/>
    <n v="0.33333333333333331"/>
    <n v="24"/>
    <n v="0.2"/>
    <n v="360"/>
    <n v="720"/>
    <n v="1279.25"/>
    <n v="738203725"/>
  </r>
  <r>
    <n v="251"/>
    <x v="0"/>
    <x v="7"/>
    <s v="Cutting Machine2"/>
    <x v="7"/>
    <x v="0"/>
    <s v="1404/08/19"/>
    <d v="1899-12-30T09:30:00"/>
    <x v="1"/>
    <x v="1"/>
    <x v="2"/>
    <x v="9"/>
    <n v="9"/>
    <n v="30"/>
    <n v="738279930"/>
    <s v="1404/08/20"/>
    <d v="1899-12-30T12:00:00"/>
    <x v="1"/>
    <x v="0"/>
    <x v="2"/>
    <s v="20"/>
    <n v="12"/>
    <n v="0"/>
    <n v="738281520"/>
    <s v="خرابی مغزی پرکن"/>
    <n v="26.5"/>
    <n v="24"/>
    <n v="0.2"/>
    <n v="360"/>
    <n v="720"/>
    <n v="144.58333333333334"/>
    <n v="738271255"/>
  </r>
  <r>
    <n v="252"/>
    <x v="3"/>
    <x v="57"/>
    <s v="Pick&amp;Place CP45"/>
    <x v="35"/>
    <x v="0"/>
    <s v="1404/08/20"/>
    <d v="1899-12-30T09:00:00"/>
    <x v="1"/>
    <x v="1"/>
    <x v="2"/>
    <x v="21"/>
    <n v="9"/>
    <n v="0"/>
    <n v="738281340"/>
    <s v="1404/08/20"/>
    <d v="1899-12-30T09:45:00"/>
    <x v="1"/>
    <x v="0"/>
    <x v="2"/>
    <s v="20"/>
    <n v="9"/>
    <n v="45"/>
    <n v="738281385"/>
    <s v="توقف تولید از ساعت ۹ به علت خرابی ماژول یک دستگاه قطعه گذار"/>
    <n v="0.75"/>
    <n v="24"/>
    <n v="0.2"/>
    <n v="360"/>
    <n v="720"/>
    <n v="14"/>
    <n v="738280500"/>
  </r>
  <r>
    <n v="253"/>
    <x v="0"/>
    <x v="50"/>
    <s v="Shrink1"/>
    <x v="4"/>
    <x v="0"/>
    <s v="1404/08/20"/>
    <d v="1899-12-30T19:20:00"/>
    <x v="1"/>
    <x v="1"/>
    <x v="2"/>
    <x v="21"/>
    <n v="19"/>
    <n v="20"/>
    <n v="738281960"/>
    <s v="1404/08/20"/>
    <d v="1899-12-30T20:00:00"/>
    <x v="1"/>
    <x v="0"/>
    <x v="2"/>
    <s v="20"/>
    <n v="20"/>
    <n v="0"/>
    <n v="738282000"/>
    <s v="اشکال در ترموستات"/>
    <n v="0.66666666666666663"/>
    <n v="24"/>
    <n v="0.2"/>
    <n v="360"/>
    <n v="720"/>
    <n v="48.666666666666664"/>
    <n v="738279040"/>
  </r>
  <r>
    <n v="254"/>
    <x v="0"/>
    <x v="50"/>
    <s v="Shrink1"/>
    <x v="4"/>
    <x v="0"/>
    <s v="1404/08/21"/>
    <d v="1899-12-30T12:30:00"/>
    <x v="1"/>
    <x v="1"/>
    <x v="2"/>
    <x v="24"/>
    <n v="12"/>
    <n v="30"/>
    <n v="738282990"/>
    <s v="1404/08/21"/>
    <d v="1899-12-30T14:30:00"/>
    <x v="1"/>
    <x v="0"/>
    <x v="2"/>
    <s v="21"/>
    <n v="14"/>
    <n v="30"/>
    <n v="738283110"/>
    <s v="اشکال در ترموستات"/>
    <n v="2"/>
    <n v="24"/>
    <n v="0.2"/>
    <n v="360"/>
    <n v="720"/>
    <n v="16.5"/>
    <n v="738282000"/>
  </r>
  <r>
    <n v="255"/>
    <x v="3"/>
    <x v="54"/>
    <s v="Wave Soldering"/>
    <x v="46"/>
    <x v="0"/>
    <s v="1404/08/21"/>
    <d v="1899-12-30T17:15:00"/>
    <x v="1"/>
    <x v="1"/>
    <x v="2"/>
    <x v="24"/>
    <n v="17"/>
    <n v="15"/>
    <n v="738283275"/>
    <s v="1404/08/21"/>
    <d v="1899-12-30T18:00:00"/>
    <x v="1"/>
    <x v="0"/>
    <x v="2"/>
    <s v="21"/>
    <n v="18"/>
    <n v="0"/>
    <n v="738283320"/>
    <s v="اشکال در نازل"/>
    <n v="0.75"/>
    <n v="24"/>
    <n v="0.2"/>
    <n v="360"/>
    <n v="720"/>
    <n v="200.41666666666666"/>
    <n v="738271250"/>
  </r>
  <r>
    <n v="256"/>
    <x v="4"/>
    <x v="58"/>
    <m/>
    <x v="48"/>
    <x v="0"/>
    <s v="1404/08/21"/>
    <d v="1899-12-30T22:30:00"/>
    <x v="1"/>
    <x v="1"/>
    <x v="2"/>
    <x v="24"/>
    <n v="22"/>
    <n v="30"/>
    <n v="738283590"/>
    <s v="1404/08/22"/>
    <d v="1899-12-30T08:00:00"/>
    <x v="1"/>
    <x v="0"/>
    <x v="2"/>
    <s v="22"/>
    <n v="8"/>
    <n v="0"/>
    <n v="738284160"/>
    <s v="آسیب دیدگی پران قالب درب پرینتر 9200 "/>
    <n v="9.5"/>
    <n v="24"/>
    <n v="0.2"/>
    <n v="360"/>
    <n v="720"/>
    <s v=""/>
    <s v=""/>
  </r>
  <r>
    <n v="257"/>
    <x v="0"/>
    <x v="59"/>
    <s v="Cutting Machine4"/>
    <x v="5"/>
    <x v="0"/>
    <s v="1404/08/26"/>
    <d v="1899-12-30T09:15:00"/>
    <x v="1"/>
    <x v="1"/>
    <x v="2"/>
    <x v="10"/>
    <n v="9"/>
    <n v="15"/>
    <n v="738289995"/>
    <s v="1404/08/26"/>
    <d v="1899-12-30T10:00:00"/>
    <x v="1"/>
    <x v="0"/>
    <x v="2"/>
    <s v="26"/>
    <n v="10"/>
    <n v="0"/>
    <n v="738290040"/>
    <s v="خرابی جک تاکر"/>
    <n v="0.75"/>
    <n v="24"/>
    <n v="0.2"/>
    <n v="360"/>
    <n v="720"/>
    <n v="325.91666666666669"/>
    <n v="738270440"/>
  </r>
  <r>
    <n v="258"/>
    <x v="0"/>
    <x v="50"/>
    <s v="Shrink1"/>
    <x v="4"/>
    <x v="0"/>
    <s v="1404/08/26"/>
    <d v="1899-12-30T10:40:00"/>
    <x v="1"/>
    <x v="1"/>
    <x v="2"/>
    <x v="10"/>
    <n v="10"/>
    <n v="40"/>
    <n v="738290080"/>
    <s v="1404/08/26"/>
    <d v="1899-12-30T11:00:00"/>
    <x v="1"/>
    <x v="0"/>
    <x v="2"/>
    <s v="26"/>
    <n v="11"/>
    <n v="0"/>
    <n v="738290100"/>
    <s v="خرابی سنسور چشمی"/>
    <n v="0.33333333333333331"/>
    <n v="24"/>
    <n v="0.2"/>
    <n v="360"/>
    <n v="720"/>
    <n v="116.16666666666667"/>
    <n v="738283110"/>
  </r>
  <r>
    <n v="259"/>
    <x v="0"/>
    <x v="60"/>
    <s v="Shrink2"/>
    <x v="3"/>
    <x v="0"/>
    <s v="1404/08/27"/>
    <d v="1899-12-30T11:30:00"/>
    <x v="1"/>
    <x v="1"/>
    <x v="2"/>
    <x v="16"/>
    <n v="11"/>
    <n v="30"/>
    <n v="738291570"/>
    <s v="1404/08/28"/>
    <d v="1899-12-30T08:34:00"/>
    <x v="1"/>
    <x v="0"/>
    <x v="2"/>
    <s v="28"/>
    <n v="8"/>
    <n v="34"/>
    <n v="738292834"/>
    <s v="خرابی سنسور و تیغه دوخت پلاستیک"/>
    <n v="21.066666666666666"/>
    <n v="24"/>
    <n v="0.2"/>
    <n v="360"/>
    <n v="720"/>
    <n v="792.25"/>
    <n v="738244035"/>
  </r>
  <r>
    <n v="260"/>
    <x v="0"/>
    <x v="53"/>
    <s v="Cutting Machine2"/>
    <x v="7"/>
    <x v="0"/>
    <s v="1404/08/28"/>
    <d v="1899-12-30T09:30:00"/>
    <x v="1"/>
    <x v="1"/>
    <x v="2"/>
    <x v="30"/>
    <n v="9"/>
    <n v="30"/>
    <n v="738292890"/>
    <s v="1404/08/28"/>
    <d v="1899-12-30T11:00:00"/>
    <x v="1"/>
    <x v="0"/>
    <x v="2"/>
    <s v="28"/>
    <n v="11"/>
    <n v="0"/>
    <n v="738292980"/>
    <s v="خرابی رولر"/>
    <n v="1.5"/>
    <n v="24"/>
    <n v="0.2"/>
    <n v="360"/>
    <n v="720"/>
    <n v="189.5"/>
    <n v="738281520"/>
  </r>
  <r>
    <n v="261"/>
    <x v="0"/>
    <x v="38"/>
    <s v="Brain filler3"/>
    <x v="45"/>
    <x v="0"/>
    <s v="1404/09/05"/>
    <d v="1899-12-30T17:05:00"/>
    <x v="1"/>
    <x v="1"/>
    <x v="3"/>
    <x v="7"/>
    <n v="17"/>
    <n v="5"/>
    <n v="738303425"/>
    <s v="1404/09/05"/>
    <d v="1899-12-30T20:18:00"/>
    <x v="1"/>
    <x v="0"/>
    <x v="0"/>
    <s v="05"/>
    <n v="20"/>
    <n v="18"/>
    <n v="738303618"/>
    <m/>
    <n v="3.2166666666666668"/>
    <n v="24"/>
    <n v="0.2"/>
    <n v="360"/>
    <n v="720"/>
    <n v="486.16666666666669"/>
    <n v="738274255"/>
  </r>
  <r>
    <n v="262"/>
    <x v="0"/>
    <x v="50"/>
    <s v="Shrink1"/>
    <x v="4"/>
    <x v="0"/>
    <s v="1404/09/06"/>
    <d v="1899-12-30T23:20:00"/>
    <x v="1"/>
    <x v="1"/>
    <x v="3"/>
    <x v="27"/>
    <n v="23"/>
    <n v="20"/>
    <n v="738305240"/>
    <s v="1404/09/06"/>
    <d v="1899-12-30T23:35:00"/>
    <x v="1"/>
    <x v="0"/>
    <x v="0"/>
    <s v="06"/>
    <n v="23"/>
    <n v="35"/>
    <n v="738305255"/>
    <s v="قطع شدن سیم المنت شیرینگ رول"/>
    <n v="0.25"/>
    <n v="24"/>
    <n v="0.2"/>
    <n v="360"/>
    <n v="720"/>
    <n v="252.33333333333334"/>
    <n v="738290100"/>
  </r>
  <r>
    <n v="263"/>
    <x v="0"/>
    <x v="48"/>
    <s v="Cutting Machine4"/>
    <x v="5"/>
    <x v="0"/>
    <s v="1404/09/08"/>
    <d v="1899-12-30T08:10:00"/>
    <x v="1"/>
    <x v="1"/>
    <x v="3"/>
    <x v="2"/>
    <n v="8"/>
    <n v="10"/>
    <n v="738307210"/>
    <s v="1404/09/08"/>
    <d v="1899-12-30T11:05:00"/>
    <x v="1"/>
    <x v="0"/>
    <x v="0"/>
    <s v="08"/>
    <n v="11"/>
    <n v="5"/>
    <n v="738307385"/>
    <s v="خرابی چرخ دنده تنشن و چرخ دنده شفت بادی"/>
    <n v="2.9166666666666665"/>
    <n v="24"/>
    <n v="0.2"/>
    <n v="360"/>
    <n v="720"/>
    <n v="286.16666666666669"/>
    <n v="738290040"/>
  </r>
  <r>
    <n v="264"/>
    <x v="3"/>
    <x v="57"/>
    <s v="Pick&amp;Place CP45"/>
    <x v="35"/>
    <x v="0"/>
    <s v="1404/09/09"/>
    <d v="1899-12-30T09:30:00"/>
    <x v="1"/>
    <x v="1"/>
    <x v="3"/>
    <x v="14"/>
    <n v="9"/>
    <n v="30"/>
    <n v="738308730"/>
    <s v="1404/09/09"/>
    <d v="1899-12-30T10:00:00"/>
    <x v="1"/>
    <x v="0"/>
    <x v="0"/>
    <s v="09"/>
    <n v="10"/>
    <n v="0"/>
    <n v="738308760"/>
    <s v="تعویض باتری و کالیبره هد ماژول ۵ دستگاه pick &amp; place"/>
    <n v="0.5"/>
    <n v="24"/>
    <n v="0.2"/>
    <n v="360"/>
    <n v="720"/>
    <n v="455.75"/>
    <n v="738281385"/>
  </r>
  <r>
    <n v="265"/>
    <x v="0"/>
    <x v="48"/>
    <s v="Cutting Machine4"/>
    <x v="5"/>
    <x v="0"/>
    <s v="1404/09/09"/>
    <d v="1899-12-30T18:30:00"/>
    <x v="1"/>
    <x v="1"/>
    <x v="3"/>
    <x v="14"/>
    <n v="18"/>
    <n v="30"/>
    <n v="738309270"/>
    <s v="1404/09/09"/>
    <d v="1899-12-30T19:20:00"/>
    <x v="1"/>
    <x v="0"/>
    <x v="0"/>
    <s v="09"/>
    <n v="19"/>
    <n v="20"/>
    <n v="738309320"/>
    <s v="خرابی چرخ دنده - تعویض دو چرخدنده خراب شفت بادی"/>
    <n v="0.83333333333333337"/>
    <n v="24"/>
    <n v="0.2"/>
    <n v="360"/>
    <n v="720"/>
    <n v="31.416666666666668"/>
    <n v="738307385"/>
  </r>
  <r>
    <n v="266"/>
    <x v="0"/>
    <x v="48"/>
    <s v="Cutting Machine4"/>
    <x v="5"/>
    <x v="0"/>
    <s v="1404/09/11"/>
    <d v="1899-12-30T00:25:00"/>
    <x v="1"/>
    <x v="1"/>
    <x v="3"/>
    <x v="18"/>
    <n v="0"/>
    <n v="25"/>
    <n v="738311065"/>
    <s v="1404/09/11"/>
    <d v="1899-12-30T08:21:00"/>
    <x v="1"/>
    <x v="0"/>
    <x v="0"/>
    <s v="11"/>
    <n v="8"/>
    <n v="21"/>
    <n v="738311541"/>
    <s v="از کار افتادن دکمه استارت"/>
    <n v="7.9333333333333336"/>
    <n v="24"/>
    <n v="0.2"/>
    <n v="360"/>
    <n v="720"/>
    <n v="29.083333333333332"/>
    <n v="738309320"/>
  </r>
  <r>
    <m/>
    <x v="4"/>
    <x v="61"/>
    <s v="Insole cat4"/>
    <x v="49"/>
    <x v="0"/>
    <s v="1404/09/12"/>
    <d v="1899-12-30T07:00:00"/>
    <x v="1"/>
    <x v="1"/>
    <x v="3"/>
    <x v="19"/>
    <n v="7"/>
    <n v="0"/>
    <n v="738312900"/>
    <s v="1404/09/12"/>
    <d v="1899-12-30T08:15:00"/>
    <x v="1"/>
    <x v="0"/>
    <x v="0"/>
    <s v="12"/>
    <n v="8"/>
    <n v="15"/>
    <n v="738312975"/>
    <s v="بریدگی  پیچ اسپیرو"/>
    <n v="1.25"/>
    <n v="24"/>
    <n v="0.2"/>
    <n v="360"/>
    <n v="720"/>
    <s v=""/>
    <s v=""/>
  </r>
  <r>
    <n v="267"/>
    <x v="4"/>
    <x v="61"/>
    <s v="Insole cat4"/>
    <x v="49"/>
    <x v="0"/>
    <s v="1404/09/12"/>
    <d v="1899-12-30T07:00:00"/>
    <x v="1"/>
    <x v="1"/>
    <x v="3"/>
    <x v="19"/>
    <n v="7"/>
    <n v="0"/>
    <n v="738312900"/>
    <s v="1404/09/12"/>
    <d v="1899-12-30T08:15:00"/>
    <x v="1"/>
    <x v="0"/>
    <x v="0"/>
    <s v="12"/>
    <n v="8"/>
    <n v="15"/>
    <n v="738312975"/>
    <s v="بریدگی  پیچ اسپیرو"/>
    <n v="1.25"/>
    <n v="24"/>
    <n v="0.2"/>
    <n v="360"/>
    <n v="720"/>
    <s v=""/>
    <s v=""/>
  </r>
  <r>
    <n v="268"/>
    <x v="3"/>
    <x v="62"/>
    <s v="ماشین بازرسی اتوماتیک  برد"/>
    <x v="38"/>
    <x v="0"/>
    <s v="1404/09/15"/>
    <d v="1899-12-30T08:50:00"/>
    <x v="2"/>
    <x v="4"/>
    <x v="12"/>
    <x v="33"/>
    <m/>
    <m/>
    <m/>
    <s v="1404/10/15"/>
    <d v="1899-12-30T11:30:00"/>
    <x v="1"/>
    <x v="1"/>
    <x v="3"/>
    <s v="15"/>
    <n v="11"/>
    <n v="30"/>
    <n v="738360690"/>
    <m/>
    <n v="12306011.5"/>
    <n v="24"/>
    <n v="0.2"/>
    <n v="360"/>
    <n v="720"/>
    <s v=""/>
    <s v=""/>
  </r>
  <r>
    <n v="269"/>
    <x v="0"/>
    <x v="38"/>
    <s v="Brain filler3"/>
    <x v="45"/>
    <x v="0"/>
    <s v="1404/09/16"/>
    <d v="1899-12-30T18:00:00"/>
    <x v="2"/>
    <x v="4"/>
    <x v="12"/>
    <x v="33"/>
    <m/>
    <m/>
    <m/>
    <s v="1404/10/17"/>
    <d v="1899-12-30T08:30:00"/>
    <x v="1"/>
    <x v="1"/>
    <x v="3"/>
    <s v="17"/>
    <n v="8"/>
    <n v="30"/>
    <n v="738363390"/>
    <m/>
    <n v="12306056.5"/>
    <n v="24"/>
    <n v="0.2"/>
    <n v="360"/>
    <n v="720"/>
    <s v=""/>
    <s v=""/>
  </r>
  <r>
    <n v="270"/>
    <x v="4"/>
    <x v="63"/>
    <s v="Injection Moulding Machine 1"/>
    <x v="50"/>
    <x v="0"/>
    <s v="1404/09/17"/>
    <d v="1899-12-30T18:34:00"/>
    <x v="2"/>
    <x v="4"/>
    <x v="12"/>
    <x v="33"/>
    <m/>
    <m/>
    <m/>
    <s v="1404/10/20"/>
    <d v="1899-12-30T09:30:00"/>
    <x v="1"/>
    <x v="1"/>
    <x v="3"/>
    <s v="20"/>
    <n v="9"/>
    <n v="30"/>
    <n v="738367770"/>
    <s v="ایراد در عملکرد PLC- باتعویض فلت ارتباطی مشکل حل شد"/>
    <n v="12306129.5"/>
    <n v="24"/>
    <n v="0.2"/>
    <n v="360"/>
    <n v="720"/>
    <s v=""/>
    <s v=""/>
  </r>
  <r>
    <n v="271"/>
    <x v="4"/>
    <x v="64"/>
    <m/>
    <x v="51"/>
    <x v="0"/>
    <s v="1404/09/23"/>
    <d v="1899-12-30T16:49:00"/>
    <x v="2"/>
    <x v="4"/>
    <x v="12"/>
    <x v="33"/>
    <m/>
    <m/>
    <m/>
    <s v="1404/10/23"/>
    <d v="1899-12-30T20:30:00"/>
    <x v="1"/>
    <x v="1"/>
    <x v="3"/>
    <s v="23"/>
    <n v="20"/>
    <n v="30"/>
    <n v="738372750"/>
    <s v="شکستن پین قالب top cat4"/>
    <n v="12306212.5"/>
    <n v="24"/>
    <n v="0.2"/>
    <n v="360"/>
    <n v="720"/>
    <s v=""/>
    <s v=""/>
  </r>
  <r>
    <n v="272"/>
    <x v="0"/>
    <x v="50"/>
    <s v="Shrink1"/>
    <x v="4"/>
    <x v="0"/>
    <s v="1404/09/19"/>
    <d v="1899-12-30T08:00:00"/>
    <x v="2"/>
    <x v="4"/>
    <x v="12"/>
    <x v="33"/>
    <m/>
    <m/>
    <m/>
    <s v="1404/10/19"/>
    <d v="1899-12-30T08:39:00"/>
    <x v="1"/>
    <x v="1"/>
    <x v="3"/>
    <s v="19"/>
    <n v="8"/>
    <n v="39"/>
    <n v="738366279"/>
    <s v="توقف گیربکس"/>
    <n v="12306104.65"/>
    <n v="24"/>
    <n v="0.2"/>
    <n v="360"/>
    <n v="720"/>
    <s v=""/>
    <s v=""/>
  </r>
  <r>
    <n v="273"/>
    <x v="0"/>
    <x v="48"/>
    <s v="Cutting Machine4"/>
    <x v="5"/>
    <x v="0"/>
    <s v="1404/09/19"/>
    <d v="1899-12-30T11:37:00"/>
    <x v="2"/>
    <x v="4"/>
    <x v="12"/>
    <x v="33"/>
    <m/>
    <m/>
    <m/>
    <s v="1404/10/19"/>
    <d v="1899-12-30T12:25:00"/>
    <x v="1"/>
    <x v="1"/>
    <x v="3"/>
    <s v="19"/>
    <n v="12"/>
    <n v="25"/>
    <n v="738366505"/>
    <s v=" تعویض فولی.شفت فولی.بلبرینگ های شفت وتسمه ۴۵۰L"/>
    <n v="12306108.416666666"/>
    <n v="24"/>
    <n v="0.2"/>
    <n v="360"/>
    <n v="720"/>
    <s v=""/>
    <s v=""/>
  </r>
  <r>
    <n v="274"/>
    <x v="0"/>
    <x v="53"/>
    <s v="Cutting Machine2"/>
    <x v="7"/>
    <x v="0"/>
    <s v="1404/09/25"/>
    <d v="1899-12-30T09:03:00"/>
    <x v="2"/>
    <x v="4"/>
    <x v="12"/>
    <x v="33"/>
    <m/>
    <m/>
    <m/>
    <s v="1404/09/25"/>
    <d v="1899-12-30T17:59:00"/>
    <x v="1"/>
    <x v="0"/>
    <x v="0"/>
    <s v="25"/>
    <n v="17"/>
    <n v="59"/>
    <n v="738332279"/>
    <s v="تعویض فولی اصلی به همراه شفت و۲ عدد بلبرینگ_x000a_تعویض بلبرینگ های شفت چرخ دنده _x000a_تعویض بلبرینگ های چرخنده تسمه ۶۰۰_x000a_تنظیم جک بالا بر رول"/>
    <n v="12305537.983333332"/>
    <n v="24"/>
    <n v="0.2"/>
    <n v="360"/>
    <n v="720"/>
    <s v=""/>
    <s v=""/>
  </r>
  <r>
    <n v="275"/>
    <x v="0"/>
    <x v="48"/>
    <s v="Cutting Machine4"/>
    <x v="5"/>
    <x v="0"/>
    <s v="1404/10/07"/>
    <d v="1899-12-30T13:50:00"/>
    <x v="2"/>
    <x v="4"/>
    <x v="12"/>
    <x v="33"/>
    <m/>
    <m/>
    <m/>
    <s v="1404/10/07"/>
    <d v="1899-12-30T18:59:00"/>
    <x v="1"/>
    <x v="1"/>
    <x v="3"/>
    <s v="07"/>
    <n v="18"/>
    <n v="59"/>
    <n v="738349619"/>
    <s v="باز شدن رولر"/>
    <n v="12305826.983333332"/>
    <n v="24"/>
    <n v="0.2"/>
    <n v="360"/>
    <n v="720"/>
    <s v=""/>
    <s v=""/>
  </r>
  <r>
    <n v="276"/>
    <x v="0"/>
    <x v="24"/>
    <s v="(Flexographic) Printing Machine"/>
    <x v="6"/>
    <x v="0"/>
    <s v="1404/10/09"/>
    <d v="1899-12-30T08:47:00"/>
    <x v="2"/>
    <x v="4"/>
    <x v="12"/>
    <x v="33"/>
    <m/>
    <m/>
    <m/>
    <s v="1404/10/09"/>
    <d v="1899-12-30T19:59:00"/>
    <x v="1"/>
    <x v="1"/>
    <x v="3"/>
    <s v="09"/>
    <n v="19"/>
    <n v="59"/>
    <n v="738352559"/>
    <s v="تعویض زنجیر جمع کن "/>
    <n v="12305875.983333332"/>
    <n v="24"/>
    <n v="0.2"/>
    <n v="360"/>
    <n v="720"/>
    <s v=""/>
    <s v=""/>
  </r>
  <r>
    <n v="277"/>
    <x v="2"/>
    <x v="65"/>
    <m/>
    <x v="52"/>
    <x v="0"/>
    <s v="1404/10/10"/>
    <d v="1899-12-30T07:10:00"/>
    <x v="1"/>
    <x v="2"/>
    <x v="4"/>
    <x v="3"/>
    <n v="7"/>
    <n v="10"/>
    <n v="738353230"/>
    <s v="1404/10/10"/>
    <d v="1899-12-30T07:50:00"/>
    <x v="1"/>
    <x v="1"/>
    <x v="3"/>
    <s v="10"/>
    <n v="7"/>
    <n v="50"/>
    <n v="738353270"/>
    <s v="تنظیم نبودن کمپرسور متناسب با تولید سالن smt"/>
    <n v="0.66666666666666663"/>
    <n v="24"/>
    <n v="0.2"/>
    <m/>
    <n v="720"/>
    <s v=""/>
    <s v=""/>
  </r>
  <r>
    <n v="278"/>
    <x v="0"/>
    <x v="48"/>
    <s v="Cutting Machine4"/>
    <x v="5"/>
    <x v="0"/>
    <s v="1404/10/10"/>
    <d v="1899-12-30T09:30:00"/>
    <x v="1"/>
    <x v="2"/>
    <x v="4"/>
    <x v="3"/>
    <n v="9"/>
    <n v="30"/>
    <n v="738353370"/>
    <s v="1404/10/10"/>
    <d v="1899-12-30T11:15:00"/>
    <x v="1"/>
    <x v="1"/>
    <x v="3"/>
    <s v="10"/>
    <n v="11"/>
    <n v="15"/>
    <n v="738353475"/>
    <s v="خرابی رولر"/>
    <n v="1.75"/>
    <n v="24"/>
    <n v="0.2"/>
    <m/>
    <n v="720"/>
    <n v="62.516666666666666"/>
    <n v="738349619"/>
  </r>
  <r>
    <n v="279"/>
    <x v="0"/>
    <x v="50"/>
    <s v="Shrink1"/>
    <x v="4"/>
    <x v="0"/>
    <s v="1404/10/17"/>
    <d v="1899-12-30T12:45:00"/>
    <x v="1"/>
    <x v="2"/>
    <x v="4"/>
    <x v="1"/>
    <n v="12"/>
    <n v="45"/>
    <n v="738363645"/>
    <s v="1404/10/17"/>
    <d v="1899-12-30T12:55:00"/>
    <x v="1"/>
    <x v="1"/>
    <x v="3"/>
    <s v="17"/>
    <n v="12"/>
    <n v="55"/>
    <n v="738363655"/>
    <s v="خرابی سنسور"/>
    <n v="0.16666666666666666"/>
    <n v="24"/>
    <n v="0.2"/>
    <m/>
    <n v="720"/>
    <n v="973.16666666666663"/>
    <n v="738305255"/>
  </r>
  <r>
    <n v="280"/>
    <x v="0"/>
    <x v="50"/>
    <s v="Shrink1"/>
    <x v="4"/>
    <x v="0"/>
    <s v="1404/10/18"/>
    <d v="1899-12-30T09:54:00"/>
    <x v="1"/>
    <x v="2"/>
    <x v="4"/>
    <x v="5"/>
    <n v="9"/>
    <n v="54"/>
    <n v="738364914"/>
    <s v="1404/10/18"/>
    <d v="1899-12-30T11:07:00"/>
    <x v="1"/>
    <x v="1"/>
    <x v="3"/>
    <s v="18"/>
    <n v="11"/>
    <n v="7"/>
    <n v="738364987"/>
    <s v="علت روغن ریزی .خارج شدن کاسه نمد از روی گیربکس_x000a__x000a__x000a_"/>
    <n v="1.2166666666666666"/>
    <n v="24"/>
    <n v="0.2"/>
    <m/>
    <n v="720"/>
    <n v="20.983333333333334"/>
    <n v="738363655"/>
  </r>
  <r>
    <n v="281"/>
    <x v="0"/>
    <x v="48"/>
    <s v="Cutting Machine4"/>
    <x v="5"/>
    <x v="0"/>
    <s v="1404/11/01"/>
    <d v="1899-12-30T18:30:00"/>
    <x v="1"/>
    <x v="2"/>
    <x v="5"/>
    <x v="0"/>
    <n v="18"/>
    <n v="30"/>
    <n v="738384150"/>
    <s v="1404/11/01"/>
    <d v="1899-12-30T19:42:00"/>
    <x v="1"/>
    <x v="1"/>
    <x v="4"/>
    <s v="01"/>
    <n v="19"/>
    <n v="42"/>
    <n v="738384222"/>
    <s v="قطع شدن تسمه 600L"/>
    <n v="1.2"/>
    <n v="24"/>
    <n v="0.2"/>
    <m/>
    <n v="720"/>
    <n v="294.08333333333331"/>
    <n v="738366505"/>
  </r>
  <r>
    <n v="282"/>
    <x v="0"/>
    <x v="48"/>
    <s v="Cutting Machine4"/>
    <x v="5"/>
    <x v="0"/>
    <s v="1404/11/02"/>
    <d v="1899-12-30T13:40:00"/>
    <x v="1"/>
    <x v="2"/>
    <x v="5"/>
    <x v="26"/>
    <n v="13"/>
    <n v="40"/>
    <n v="738385300"/>
    <s v="1404/11/02"/>
    <d v="1899-12-30T16:18:00"/>
    <x v="1"/>
    <x v="1"/>
    <x v="4"/>
    <s v="02"/>
    <n v="16"/>
    <n v="18"/>
    <n v="738385458"/>
    <s v="رفع توقف رولر با تعویض شفت فولی، بلبرینگ ها ورولر وچرخ دنده تسمه"/>
    <n v="2.6333333333333333"/>
    <n v="24"/>
    <n v="0.2"/>
    <m/>
    <n v="720"/>
    <n v="17.966666666666665"/>
    <n v="738384222"/>
  </r>
  <r>
    <n v="282"/>
    <x v="0"/>
    <x v="53"/>
    <s v="Cutting Machine2"/>
    <x v="7"/>
    <x v="0"/>
    <s v="1404/11/02"/>
    <d v="1899-12-30T17:00:00"/>
    <x v="1"/>
    <x v="2"/>
    <x v="5"/>
    <x v="26"/>
    <n v="17"/>
    <n v="0"/>
    <n v="738385500"/>
    <s v="1404/11/02"/>
    <d v="1899-12-30T18:55:00"/>
    <x v="1"/>
    <x v="1"/>
    <x v="4"/>
    <s v="02"/>
    <n v="18"/>
    <n v="55"/>
    <n v="738385615"/>
    <s v="خرابی تیغه های بالا و پایین"/>
    <n v="1.9166666666666667"/>
    <n v="24"/>
    <n v="0.2"/>
    <m/>
    <n v="720"/>
    <n v="887.01666666666665"/>
    <n v="738332279"/>
  </r>
  <r>
    <n v="282"/>
    <x v="0"/>
    <x v="47"/>
    <s v="Cutting Machine3"/>
    <x v="8"/>
    <x v="0"/>
    <s v="1404/11/04"/>
    <d v="1899-12-30T16:00:00"/>
    <x v="1"/>
    <x v="2"/>
    <x v="5"/>
    <x v="6"/>
    <n v="16"/>
    <n v="0"/>
    <n v="738388320"/>
    <s v="1404/11/04"/>
    <d v="1899-12-30T16:26:00"/>
    <x v="1"/>
    <x v="1"/>
    <x v="4"/>
    <s v="04"/>
    <n v="16"/>
    <n v="26"/>
    <n v="738388346"/>
    <s v="پارگی تسمه رولر / تعویض تسمه و تنظیم رولر"/>
    <n v="0.43333333333333335"/>
    <n v="24"/>
    <n v="0.2"/>
    <m/>
    <n v="720"/>
    <n v="1851.9166666666667"/>
    <n v="738277205"/>
  </r>
  <r>
    <n v="282"/>
    <x v="0"/>
    <x v="47"/>
    <s v="Cutting Machine3"/>
    <x v="8"/>
    <x v="0"/>
    <s v="1404/11/04"/>
    <d v="1899-12-30T16:00:00"/>
    <x v="1"/>
    <x v="2"/>
    <x v="5"/>
    <x v="6"/>
    <n v="16"/>
    <n v="0"/>
    <n v="738388320"/>
    <s v="1404/11/04"/>
    <d v="1899-12-30T16:26:00"/>
    <x v="1"/>
    <x v="1"/>
    <x v="4"/>
    <s v="04"/>
    <n v="16"/>
    <n v="26"/>
    <n v="738388346"/>
    <s v="پاره شدن تسمه رولر- تسمه600L"/>
    <n v="0.43333333333333335"/>
    <n v="24"/>
    <n v="0.2"/>
    <m/>
    <n v="720"/>
    <n v="1851.9166666666667"/>
    <n v="738277205"/>
  </r>
  <r>
    <n v="282"/>
    <x v="0"/>
    <x v="20"/>
    <s v="Brain filler2"/>
    <x v="53"/>
    <x v="0"/>
    <s v="1404/11/07"/>
    <d v="1899-12-30T12:13:00"/>
    <x v="1"/>
    <x v="2"/>
    <x v="5"/>
    <x v="17"/>
    <n v="12"/>
    <n v="13"/>
    <n v="738392413"/>
    <s v="1404/11/07"/>
    <d v="1899-12-30T16:00:00"/>
    <x v="1"/>
    <x v="1"/>
    <x v="4"/>
    <s v="07"/>
    <n v="16"/>
    <n v="0"/>
    <n v="738392640"/>
    <s v="شکسته شدت صفحه فلزی دوار "/>
    <n v="3.7833333333333332"/>
    <e v="#N/A"/>
    <e v="#N/A"/>
    <m/>
    <e v="#N/A"/>
    <s v=""/>
    <s v=""/>
  </r>
  <r>
    <n v="282"/>
    <x v="0"/>
    <x v="38"/>
    <s v="Brain filler3"/>
    <x v="45"/>
    <x v="0"/>
    <s v="1404/11/08"/>
    <d v="1899-12-30T09:56:00"/>
    <x v="1"/>
    <x v="2"/>
    <x v="5"/>
    <x v="2"/>
    <n v="9"/>
    <n v="56"/>
    <n v="738393716"/>
    <s v="1404/11/08"/>
    <d v="1899-12-30T10:15:00"/>
    <x v="1"/>
    <x v="1"/>
    <x v="4"/>
    <s v="08"/>
    <n v="10"/>
    <n v="15"/>
    <n v="738393735"/>
    <s v="دو فاز شدن موتور  کفی مغزی پرکن"/>
    <n v="0.31666666666666665"/>
    <n v="24"/>
    <n v="0.2"/>
    <m/>
    <n v="720"/>
    <n v="505.43333333333334"/>
    <n v="738363390"/>
  </r>
  <r>
    <n v="282"/>
    <x v="0"/>
    <x v="53"/>
    <s v="Cutting Machine2"/>
    <x v="7"/>
    <x v="0"/>
    <s v="1404/11/09"/>
    <d v="1899-12-30T11:30:00"/>
    <x v="1"/>
    <x v="2"/>
    <x v="5"/>
    <x v="14"/>
    <n v="11"/>
    <n v="30"/>
    <n v="738395250"/>
    <s v="1404/11/09"/>
    <d v="1899-12-30T15:00:00"/>
    <x v="1"/>
    <x v="1"/>
    <x v="4"/>
    <s v="09"/>
    <n v="15"/>
    <n v="0"/>
    <n v="738395460"/>
    <s v="خرابی سوزن شفت بادی "/>
    <n v="3.5"/>
    <n v="24"/>
    <n v="0.2"/>
    <m/>
    <n v="720"/>
    <n v="160.58333333333334"/>
    <n v="738385615"/>
  </r>
  <r>
    <n v="282"/>
    <x v="0"/>
    <x v="24"/>
    <s v="(Flexographic) Printing Machine"/>
    <x v="6"/>
    <x v="0"/>
    <s v="1404/11/11"/>
    <d v="1899-12-30T19:40:00"/>
    <x v="1"/>
    <x v="2"/>
    <x v="5"/>
    <x v="18"/>
    <n v="19"/>
    <n v="40"/>
    <n v="738398620"/>
    <s v="1404/11/11"/>
    <d v="1899-12-30T20:42:00"/>
    <x v="1"/>
    <x v="1"/>
    <x v="4"/>
    <s v="11"/>
    <n v="20"/>
    <n v="42"/>
    <n v="738398682"/>
    <s v="بریده شدن پیچ شفت بادی"/>
    <n v="1.0333333333333334"/>
    <n v="24"/>
    <n v="0.2"/>
    <m/>
    <n v="720"/>
    <n v="767.68333333333328"/>
    <n v="738352559"/>
  </r>
  <r>
    <n v="282"/>
    <x v="0"/>
    <x v="61"/>
    <m/>
    <x v="49"/>
    <x v="0"/>
    <s v="1404/11/13"/>
    <d v="1899-12-30T21:30:00"/>
    <x v="1"/>
    <x v="2"/>
    <x v="5"/>
    <x v="28"/>
    <n v="21"/>
    <n v="30"/>
    <n v="738401610"/>
    <s v="1404/11/14"/>
    <d v="1899-12-30T15:24:00"/>
    <x v="1"/>
    <x v="1"/>
    <x v="4"/>
    <s v="14"/>
    <n v="15"/>
    <n v="24"/>
    <n v="738402684"/>
    <s v="شکستن پران قالب btm cat4  "/>
    <n v="17.899999999999999"/>
    <n v="24"/>
    <n v="0.2"/>
    <m/>
    <n v="720"/>
    <n v="1477.25"/>
    <n v="738312975"/>
  </r>
  <r>
    <n v="282"/>
    <x v="0"/>
    <x v="48"/>
    <s v="Cutting Machine4"/>
    <x v="5"/>
    <x v="0"/>
    <s v="1404/11/14"/>
    <d v="1899-12-30T20:00:00"/>
    <x v="1"/>
    <x v="2"/>
    <x v="5"/>
    <x v="8"/>
    <n v="20"/>
    <n v="0"/>
    <n v="738402960"/>
    <s v="1404/11/14"/>
    <d v="1899-12-30T20:40:00"/>
    <x v="1"/>
    <x v="1"/>
    <x v="4"/>
    <s v="14"/>
    <n v="20"/>
    <n v="40"/>
    <n v="738403000"/>
    <s v="قطع شدن تسمه ۶۰۰L"/>
    <n v="0.66666666666666663"/>
    <n v="24"/>
    <n v="0.2"/>
    <m/>
    <n v="720"/>
    <n v="291.7"/>
    <n v="738385458"/>
  </r>
  <r>
    <n v="282"/>
    <x v="0"/>
    <x v="48"/>
    <s v="Cutting Machine4"/>
    <x v="5"/>
    <x v="0"/>
    <s v="1404/11/16"/>
    <d v="1899-12-30T19:35:00"/>
    <x v="1"/>
    <x v="2"/>
    <x v="5"/>
    <x v="4"/>
    <n v="19"/>
    <n v="35"/>
    <n v="738405815"/>
    <s v="1404/11/17"/>
    <d v="1899-12-30T16:30:00"/>
    <x v="1"/>
    <x v="1"/>
    <x v="4"/>
    <s v="17"/>
    <n v="16"/>
    <n v="30"/>
    <n v="738407070"/>
    <s v="خرابی دکمه استارت - ایراد در کانکشن ارتباطی"/>
    <n v="20.916666666666668"/>
    <n v="24"/>
    <n v="0.2"/>
    <m/>
    <n v="720"/>
    <n v="46.916666666666664"/>
    <n v="73840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E84498-09F5-4043-99AD-AF86AF6B3061}"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K9:AN21"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showAll="0">
      <items count="5">
        <item h="1" m="1" x="3"/>
        <item h="1" x="0"/>
        <item x="1"/>
        <item h="1" x="2"/>
        <item t="default"/>
      </items>
    </pivotField>
    <pivotField showAll="0">
      <items count="7">
        <item x="3"/>
        <item x="1"/>
        <item x="0"/>
        <item x="2"/>
        <item m="1" x="5"/>
        <item x="4"/>
        <item t="default"/>
      </items>
    </pivotField>
    <pivotField showAll="0"/>
    <pivotField showAll="0"/>
    <pivotField showAll="0"/>
    <pivotField showAll="0"/>
    <pivotField showAll="0"/>
    <pivotField showAll="0"/>
    <pivotField showAll="0"/>
    <pivotField name="سال توقف - گزارش جامع" axis="axisPage" showAll="0">
      <items count="5">
        <item m="1" x="2"/>
        <item x="0"/>
        <item x="1"/>
        <item m="1" x="3"/>
        <item t="default"/>
      </items>
    </pivotField>
    <pivotField name="فصل توقف - گزارش جامع" axis="axisPage" showAll="0">
      <items count="10">
        <item x="1"/>
        <item x="0"/>
        <item x="3"/>
        <item x="2"/>
        <item m="1" x="5"/>
        <item m="1" x="4"/>
        <item m="1" x="6"/>
        <item m="1" x="7"/>
        <item m="1" x="8"/>
        <item t="default"/>
      </items>
    </pivotField>
    <pivotField name="ماه توقف - گزارش جامع" axis="axisRow"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9"/>
  </rowFields>
  <rowItems count="12">
    <i>
      <x v="1"/>
    </i>
    <i>
      <x v="2"/>
    </i>
    <i>
      <x v="3"/>
    </i>
    <i>
      <x v="4"/>
    </i>
    <i>
      <x v="5"/>
    </i>
    <i>
      <x v="6"/>
    </i>
    <i>
      <x v="7"/>
    </i>
    <i>
      <x v="8"/>
    </i>
    <i>
      <x v="9"/>
    </i>
    <i>
      <x v="10"/>
    </i>
    <i>
      <x v="11"/>
    </i>
    <i t="grand">
      <x/>
    </i>
  </rowItems>
  <colFields count="1">
    <field x="-2"/>
  </colFields>
  <colItems count="3">
    <i>
      <x/>
    </i>
    <i i="1">
      <x v="1"/>
    </i>
    <i i="2">
      <x v="2"/>
    </i>
  </colItems>
  <pageFields count="3">
    <pageField fld="1" item="4" hier="-1"/>
    <pageField fld="17" item="2" hier="-1"/>
    <pageField fld="18" hier="-1"/>
  </pageFields>
  <dataFields count="3">
    <dataField name="Average of هدف MTTR" fld="27" subtotal="average" baseField="17" baseItem="0"/>
    <dataField name="Average of مبنا MTTR" fld="26" subtotal="average" baseField="17" baseItem="0"/>
    <dataField name="Average of TTR(mints)" fld="25" subtotal="average" baseField="17" baseItem="0"/>
  </dataFields>
  <chartFormats count="3">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84582-79A3-4495-9B5C-7F0C739AC2CB}" name="PivotTable2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E9:BH21"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showAll="0">
      <items count="5">
        <item h="1" m="1" x="3"/>
        <item h="1" x="0"/>
        <item x="1"/>
        <item h="1" x="2"/>
        <item t="default"/>
      </items>
    </pivotField>
    <pivotField showAll="0">
      <items count="7">
        <item x="3"/>
        <item x="1"/>
        <item x="0"/>
        <item x="2"/>
        <item m="1" x="5"/>
        <item x="4"/>
        <item t="default"/>
      </items>
    </pivotField>
    <pivotField showAll="0"/>
    <pivotField showAll="0"/>
    <pivotField showAll="0"/>
    <pivotField showAll="0"/>
    <pivotField showAll="0"/>
    <pivotField showAll="0"/>
    <pivotField showAll="0"/>
    <pivotField name="سال توقف - گزارش جامع" axis="axisPage" showAll="0">
      <items count="5">
        <item m="1" x="2"/>
        <item x="0"/>
        <item x="1"/>
        <item m="1" x="3"/>
        <item t="default"/>
      </items>
    </pivotField>
    <pivotField name="فصل توقف - گزارش جامع" axis="axisPage" showAll="0">
      <items count="10">
        <item x="1"/>
        <item x="0"/>
        <item x="3"/>
        <item x="2"/>
        <item m="1" x="5"/>
        <item m="1" x="4"/>
        <item m="1" x="6"/>
        <item m="1" x="7"/>
        <item m="1" x="8"/>
        <item t="default"/>
      </items>
    </pivotField>
    <pivotField name="ماه توقف - گزارش جامع" axis="axisRow"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9"/>
  </rowFields>
  <rowItems count="12">
    <i>
      <x v="1"/>
    </i>
    <i>
      <x v="2"/>
    </i>
    <i>
      <x v="3"/>
    </i>
    <i>
      <x v="4"/>
    </i>
    <i>
      <x v="5"/>
    </i>
    <i>
      <x v="6"/>
    </i>
    <i>
      <x v="7"/>
    </i>
    <i>
      <x v="8"/>
    </i>
    <i>
      <x v="9"/>
    </i>
    <i>
      <x v="10"/>
    </i>
    <i>
      <x v="11"/>
    </i>
    <i t="grand">
      <x/>
    </i>
  </rowItems>
  <colFields count="1">
    <field x="-2"/>
  </colFields>
  <colItems count="3">
    <i>
      <x/>
    </i>
    <i i="1">
      <x v="1"/>
    </i>
    <i i="2">
      <x v="2"/>
    </i>
  </colItems>
  <pageFields count="3">
    <pageField fld="1" hier="-1"/>
    <pageField fld="17" hier="-1"/>
    <pageField fld="18" hier="-1"/>
  </pageFields>
  <dataFields count="3">
    <dataField name="Average of هدف MTTR" fld="27" subtotal="average" baseField="19" baseItem="0"/>
    <dataField name="Average of مبنا MTTR" fld="26" subtotal="average" baseField="19" baseItem="0"/>
    <dataField name="Average of TTR(mints)" fld="25" subtotal="average"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9990D2-CD98-4E10-AD13-EDCE85D0614C}" name="PivotTable2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Z9:BC21"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name="سال توقف - گزارش جامع" axis="axisPage" showAll="0">
      <items count="5">
        <item m="1" x="3"/>
        <item x="0"/>
        <item x="1"/>
        <item x="2"/>
        <item t="default"/>
      </items>
    </pivotField>
    <pivotField name="فصل توقف - گزارش جامع" axis="axisPage" showAll="0">
      <items count="7">
        <item x="2"/>
        <item x="1"/>
        <item x="0"/>
        <item x="3"/>
        <item m="1" x="5"/>
        <item x="4"/>
        <item t="default"/>
      </items>
    </pivotField>
    <pivotField name="ماه توقف - گزارش جامع" axis="axisRow"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0"/>
  </rowFields>
  <rowItems count="12">
    <i>
      <x v="1"/>
    </i>
    <i>
      <x v="2"/>
    </i>
    <i>
      <x v="3"/>
    </i>
    <i>
      <x v="4"/>
    </i>
    <i>
      <x v="5"/>
    </i>
    <i>
      <x v="6"/>
    </i>
    <i>
      <x v="7"/>
    </i>
    <i>
      <x v="8"/>
    </i>
    <i>
      <x v="9"/>
    </i>
    <i>
      <x v="10"/>
    </i>
    <i>
      <x v="11"/>
    </i>
    <i t="grand">
      <x/>
    </i>
  </rowItems>
  <colFields count="1">
    <field x="-2"/>
  </colFields>
  <colItems count="3">
    <i>
      <x/>
    </i>
    <i i="1">
      <x v="1"/>
    </i>
    <i i="2">
      <x v="2"/>
    </i>
  </colItems>
  <pageFields count="3">
    <pageField fld="1" hier="-1"/>
    <pageField fld="8" item="2" hier="-1"/>
    <pageField fld="9" hier="-1"/>
  </pageFields>
  <dataFields count="3">
    <dataField name="Average of هدف MTBF" fld="29" subtotal="average" baseField="10" baseItem="1"/>
    <dataField name="Average of مبنا MTBF" fld="28" subtotal="average" baseField="10" baseItem="1"/>
    <dataField name="Average of TBF(hours)" fld="30" subtotal="average" baseField="1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8701B0-1DC3-46C4-9518-DCA54E9C84EF}" name="PivotTable2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L9:O14"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name="سال توقف - گزارش جامع" axis="axisPage" showAll="0">
      <items count="5">
        <item m="1" x="3"/>
        <item x="0"/>
        <item x="1"/>
        <item x="2"/>
        <item t="default"/>
      </items>
    </pivotField>
    <pivotField name="فصل توقف - گزارش جامع" axis="axisPage" showAll="0">
      <items count="7">
        <item x="2"/>
        <item x="1"/>
        <item x="0"/>
        <item x="3"/>
        <item m="1" x="5"/>
        <item x="4"/>
        <item t="default"/>
      </items>
    </pivotField>
    <pivotField name="ماه توقف - گزارش جامع" axis="axisRow"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0"/>
  </rowFields>
  <rowItems count="5">
    <i>
      <x v="1"/>
    </i>
    <i>
      <x v="2"/>
    </i>
    <i>
      <x v="3"/>
    </i>
    <i>
      <x v="7"/>
    </i>
    <i t="grand">
      <x/>
    </i>
  </rowItems>
  <colFields count="1">
    <field x="-2"/>
  </colFields>
  <colItems count="3">
    <i>
      <x/>
    </i>
    <i i="1">
      <x v="1"/>
    </i>
    <i i="2">
      <x v="2"/>
    </i>
  </colItems>
  <pageFields count="3">
    <pageField fld="1" item="0" hier="-1"/>
    <pageField fld="8" item="2" hier="-1"/>
    <pageField fld="9" hier="-1"/>
  </pageFields>
  <dataFields count="3">
    <dataField name="Average of هدف MTBF" fld="29" subtotal="average" baseField="10" baseItem="1"/>
    <dataField name="Average of مبنا MTBF" fld="28" subtotal="average" baseField="10" baseItem="1"/>
    <dataField name="Average of TBF(hours)" fld="30" subtotal="average" baseField="10" baseItem="1"/>
  </dataFields>
  <chartFormats count="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9B735-C296-475F-9EC5-A102311033BB}" name="PivotTable2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O9:BR21"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showAll="0">
      <items count="5">
        <item h="1" m="1" x="3"/>
        <item h="1" x="0"/>
        <item x="1"/>
        <item h="1" x="2"/>
        <item t="default"/>
      </items>
    </pivotField>
    <pivotField showAll="0">
      <items count="7">
        <item x="3"/>
        <item x="1"/>
        <item x="0"/>
        <item x="2"/>
        <item m="1" x="5"/>
        <item x="4"/>
        <item t="default"/>
      </items>
    </pivotField>
    <pivotField showAll="0"/>
    <pivotField showAll="0"/>
    <pivotField showAll="0"/>
    <pivotField showAll="0"/>
    <pivotField showAll="0"/>
    <pivotField showAll="0"/>
    <pivotField showAll="0"/>
    <pivotField name="سال توقف - گزارش جامع" axis="axisPage" showAll="0">
      <items count="5">
        <item m="1" x="2"/>
        <item x="0"/>
        <item x="1"/>
        <item m="1" x="3"/>
        <item t="default"/>
      </items>
    </pivotField>
    <pivotField name="فصل توقف - گزارش جامع" axis="axisPage" showAll="0">
      <items count="10">
        <item x="1"/>
        <item x="0"/>
        <item x="3"/>
        <item x="2"/>
        <item m="1" x="5"/>
        <item m="1" x="4"/>
        <item m="1" x="6"/>
        <item m="1" x="7"/>
        <item m="1" x="8"/>
        <item t="default"/>
      </items>
    </pivotField>
    <pivotField name="ماه توقف - گزارش جامع" axis="axisRow"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9"/>
  </rowFields>
  <rowItems count="12">
    <i>
      <x v="1"/>
    </i>
    <i>
      <x v="2"/>
    </i>
    <i>
      <x v="3"/>
    </i>
    <i>
      <x v="4"/>
    </i>
    <i>
      <x v="5"/>
    </i>
    <i>
      <x v="6"/>
    </i>
    <i>
      <x v="7"/>
    </i>
    <i>
      <x v="8"/>
    </i>
    <i>
      <x v="9"/>
    </i>
    <i>
      <x v="10"/>
    </i>
    <i>
      <x v="11"/>
    </i>
    <i t="grand">
      <x/>
    </i>
  </rowItems>
  <colFields count="1">
    <field x="-2"/>
  </colFields>
  <colItems count="3">
    <i>
      <x/>
    </i>
    <i i="1">
      <x v="1"/>
    </i>
    <i i="2">
      <x v="2"/>
    </i>
  </colItems>
  <pageFields count="3">
    <pageField fld="1" hier="-1"/>
    <pageField fld="17" hier="-1"/>
    <pageField fld="18" hier="-1"/>
  </pageFields>
  <dataFields count="3">
    <dataField name="Average of هدف MTTR" fld="27" subtotal="average" baseField="19" baseItem="0"/>
    <dataField name="Average of مبنا MTTR" fld="26" subtotal="average" baseField="19" baseItem="0"/>
    <dataField name="Average of TTR(mints)" fld="25" subtotal="average"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2A1DE8-41B4-4EE9-ACC8-9720367067A5}"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2">
  <location ref="G10:J22" firstHeaderRow="0" firstDataRow="1" firstDataCol="1" rowPageCount="2" colPageCount="1"/>
  <pivotFields count="32">
    <pivotField showAll="0"/>
    <pivotField name="سالن - کلی" multipleItemSelectionAllowed="1" showAll="0">
      <items count="13">
        <item h="1" x="1"/>
        <item h="1" x="3"/>
        <item h="1" m="1" x="7"/>
        <item h="1" m="1" x="6"/>
        <item x="0"/>
        <item h="1" m="1" x="10"/>
        <item h="1" m="1" x="8"/>
        <item h="1" m="1" x="9"/>
        <item h="1" m="1" x="11"/>
        <item h="1" x="2"/>
        <item h="1" x="4"/>
        <item h="1" m="1" x="5"/>
        <item t="default"/>
      </items>
    </pivotField>
    <pivotField showAll="0"/>
    <pivotField showAll="0"/>
    <pivotField showAll="0"/>
    <pivotField showAll="0"/>
    <pivotField showAll="0"/>
    <pivotField numFmtId="20" showAll="0"/>
    <pivotField showAll="0">
      <items count="5">
        <item h="1" m="1" x="3"/>
        <item h="1" x="0"/>
        <item x="1"/>
        <item h="1" x="2"/>
        <item t="default"/>
      </items>
    </pivotField>
    <pivotField showAll="0">
      <items count="7">
        <item x="3"/>
        <item x="1"/>
        <item x="0"/>
        <item x="2"/>
        <item m="1" x="5"/>
        <item x="4"/>
        <item t="default"/>
      </items>
    </pivotField>
    <pivotField showAll="0" sortType="ascending">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name="سال توقف - گزارش جامع" axis="axisPage" multipleItemSelectionAllowed="1" showAll="0" sortType="ascending">
      <items count="5">
        <item h="1" m="1" x="2"/>
        <item h="1" x="0"/>
        <item x="1"/>
        <item m="1" x="3"/>
        <item t="default"/>
      </items>
    </pivotField>
    <pivotField name="فصل توقف - گزارش جامع" axis="axisPage" multipleItemSelectionAllowed="1" showAll="0">
      <items count="10">
        <item x="1"/>
        <item x="2"/>
        <item x="3"/>
        <item x="0"/>
        <item h="1" m="1" x="5"/>
        <item h="1" m="1" x="4"/>
        <item h="1" m="1" x="6"/>
        <item h="1" m="1" x="7"/>
        <item h="1" m="1" x="8"/>
        <item t="default"/>
      </items>
    </pivotField>
    <pivotField name="ماه توقف - گزارش جامع" axis="axisRow" showAll="0" sortType="ascending">
      <items count="14">
        <item h="1"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9"/>
  </rowFields>
  <rowItems count="12">
    <i>
      <x v="1"/>
    </i>
    <i>
      <x v="2"/>
    </i>
    <i>
      <x v="3"/>
    </i>
    <i>
      <x v="4"/>
    </i>
    <i>
      <x v="5"/>
    </i>
    <i>
      <x v="6"/>
    </i>
    <i>
      <x v="7"/>
    </i>
    <i>
      <x v="8"/>
    </i>
    <i>
      <x v="9"/>
    </i>
    <i>
      <x v="10"/>
    </i>
    <i>
      <x v="11"/>
    </i>
    <i t="grand">
      <x/>
    </i>
  </rowItems>
  <colFields count="1">
    <field x="-2"/>
  </colFields>
  <colItems count="3">
    <i>
      <x/>
    </i>
    <i i="1">
      <x v="1"/>
    </i>
    <i i="2">
      <x v="2"/>
    </i>
  </colItems>
  <pageFields count="2">
    <pageField fld="17" hier="-1"/>
    <pageField fld="18" hier="-1"/>
  </pageFields>
  <dataFields count="3">
    <dataField name="Average of هدف MTTR" fld="27" subtotal="average" baseField="17" baseItem="3"/>
    <dataField name="Average of مبنا MTTR" fld="26" subtotal="average" baseField="18" baseItem="0"/>
    <dataField name="Average of TTR(mints)" fld="25" subtotal="average" baseField="18" baseItem="6"/>
  </dataFields>
  <formats count="6">
    <format dxfId="172">
      <pivotArea type="all" dataOnly="0" outline="0" fieldPosition="0"/>
    </format>
    <format dxfId="171">
      <pivotArea outline="0" collapsedLevelsAreSubtotals="1" fieldPosition="0"/>
    </format>
    <format dxfId="170">
      <pivotArea field="18" type="button" dataOnly="0" labelOnly="1" outline="0" axis="axisPage" fieldPosition="1"/>
    </format>
    <format dxfId="169">
      <pivotArea dataOnly="0" labelOnly="1" fieldPosition="0">
        <references count="1">
          <reference field="18" count="0"/>
        </references>
      </pivotArea>
    </format>
    <format dxfId="168">
      <pivotArea dataOnly="0" labelOnly="1" grandRow="1" outline="0" fieldPosition="0"/>
    </format>
    <format dxfId="167">
      <pivotArea dataOnly="0" labelOnly="1" outline="0" fieldPosition="0">
        <references count="1">
          <reference field="4294967294" count="2">
            <x v="0"/>
            <x v="1"/>
          </reference>
        </references>
      </pivotArea>
    </format>
  </formats>
  <chartFormats count="32">
    <chartFormat chart="185" format="11" series="1">
      <pivotArea type="data" outline="0" fieldPosition="0">
        <references count="1">
          <reference field="4294967294" count="1" selected="0">
            <x v="0"/>
          </reference>
        </references>
      </pivotArea>
    </chartFormat>
    <chartFormat chart="263" format="29" series="1">
      <pivotArea type="data" outline="0" fieldPosition="0">
        <references count="1">
          <reference field="4294967294" count="1" selected="0">
            <x v="0"/>
          </reference>
        </references>
      </pivotArea>
    </chartFormat>
    <chartFormat chart="263" format="30">
      <pivotArea type="data" outline="0" fieldPosition="0">
        <references count="4">
          <reference field="4294967294" count="1" selected="0">
            <x v="0"/>
          </reference>
          <reference field="17" count="1" selected="0">
            <x v="1"/>
          </reference>
          <reference field="18" count="1" selected="0">
            <x v="3"/>
          </reference>
          <reference field="19" count="1" selected="0">
            <x v="9"/>
          </reference>
        </references>
      </pivotArea>
    </chartFormat>
    <chartFormat chart="263" format="31">
      <pivotArea type="data" outline="0" fieldPosition="0">
        <references count="4">
          <reference field="4294967294" count="1" selected="0">
            <x v="0"/>
          </reference>
          <reference field="17" count="1" selected="0">
            <x v="1"/>
          </reference>
          <reference field="18" count="1" selected="0">
            <x v="0"/>
          </reference>
          <reference field="19" count="1" selected="0">
            <x v="11"/>
          </reference>
        </references>
      </pivotArea>
    </chartFormat>
    <chartFormat chart="263" format="32">
      <pivotArea type="data" outline="0" fieldPosition="0">
        <references count="4">
          <reference field="4294967294" count="1" selected="0">
            <x v="0"/>
          </reference>
          <reference field="17" count="1" selected="0">
            <x v="1"/>
          </reference>
          <reference field="18" count="1" selected="0">
            <x v="0"/>
          </reference>
          <reference field="19" count="1" selected="0">
            <x v="12"/>
          </reference>
        </references>
      </pivotArea>
    </chartFormat>
    <chartFormat chart="263" format="33">
      <pivotArea type="data" outline="0" fieldPosition="0">
        <references count="4">
          <reference field="4294967294" count="1" selected="0">
            <x v="0"/>
          </reference>
          <reference field="17" count="1" selected="0">
            <x v="2"/>
          </reference>
          <reference field="18" count="1" selected="0">
            <x v="1"/>
          </reference>
          <reference field="19" count="1" selected="0">
            <x v="1"/>
          </reference>
        </references>
      </pivotArea>
    </chartFormat>
    <chartFormat chart="263" format="34">
      <pivotArea type="data" outline="0" fieldPosition="0">
        <references count="4">
          <reference field="4294967294" count="1" selected="0">
            <x v="0"/>
          </reference>
          <reference field="17" count="1" selected="0">
            <x v="2"/>
          </reference>
          <reference field="18" count="1" selected="0">
            <x v="1"/>
          </reference>
          <reference field="19" count="1" selected="0">
            <x v="2"/>
          </reference>
        </references>
      </pivotArea>
    </chartFormat>
    <chartFormat chart="263" format="35">
      <pivotArea type="data" outline="0" fieldPosition="0">
        <references count="4">
          <reference field="4294967294" count="1" selected="0">
            <x v="0"/>
          </reference>
          <reference field="17" count="1" selected="0">
            <x v="2"/>
          </reference>
          <reference field="18" count="1" selected="0">
            <x v="1"/>
          </reference>
          <reference field="19" count="1" selected="0">
            <x v="3"/>
          </reference>
        </references>
      </pivotArea>
    </chartFormat>
    <chartFormat chart="263" format="36">
      <pivotArea type="data" outline="0" fieldPosition="0">
        <references count="4">
          <reference field="4294967294" count="1" selected="0">
            <x v="0"/>
          </reference>
          <reference field="17" count="1" selected="0">
            <x v="2"/>
          </reference>
          <reference field="18" count="1" selected="0">
            <x v="2"/>
          </reference>
          <reference field="19" count="1" selected="0">
            <x v="4"/>
          </reference>
        </references>
      </pivotArea>
    </chartFormat>
    <chartFormat chart="263" format="37" series="1">
      <pivotArea type="data" outline="0" fieldPosition="0">
        <references count="1">
          <reference field="4294967294" count="1" selected="0">
            <x v="1"/>
          </reference>
        </references>
      </pivotArea>
    </chartFormat>
    <chartFormat chart="263" format="38">
      <pivotArea type="data" outline="0" fieldPosition="0">
        <references count="4">
          <reference field="4294967294" count="1" selected="0">
            <x v="1"/>
          </reference>
          <reference field="17" count="1" selected="0">
            <x v="1"/>
          </reference>
          <reference field="18" count="1" selected="0">
            <x v="3"/>
          </reference>
          <reference field="19" count="1" selected="0">
            <x v="9"/>
          </reference>
        </references>
      </pivotArea>
    </chartFormat>
    <chartFormat chart="263" format="39">
      <pivotArea type="data" outline="0" fieldPosition="0">
        <references count="4">
          <reference field="4294967294" count="1" selected="0">
            <x v="1"/>
          </reference>
          <reference field="17" count="1" selected="0">
            <x v="1"/>
          </reference>
          <reference field="18" count="1" selected="0">
            <x v="0"/>
          </reference>
          <reference field="19" count="1" selected="0">
            <x v="11"/>
          </reference>
        </references>
      </pivotArea>
    </chartFormat>
    <chartFormat chart="263" format="40">
      <pivotArea type="data" outline="0" fieldPosition="0">
        <references count="4">
          <reference field="4294967294" count="1" selected="0">
            <x v="1"/>
          </reference>
          <reference field="17" count="1" selected="0">
            <x v="1"/>
          </reference>
          <reference field="18" count="1" selected="0">
            <x v="0"/>
          </reference>
          <reference field="19" count="1" selected="0">
            <x v="12"/>
          </reference>
        </references>
      </pivotArea>
    </chartFormat>
    <chartFormat chart="263" format="41">
      <pivotArea type="data" outline="0" fieldPosition="0">
        <references count="4">
          <reference field="4294967294" count="1" selected="0">
            <x v="1"/>
          </reference>
          <reference field="17" count="1" selected="0">
            <x v="2"/>
          </reference>
          <reference field="18" count="1" selected="0">
            <x v="1"/>
          </reference>
          <reference field="19" count="1" selected="0">
            <x v="1"/>
          </reference>
        </references>
      </pivotArea>
    </chartFormat>
    <chartFormat chart="263" format="42">
      <pivotArea type="data" outline="0" fieldPosition="0">
        <references count="4">
          <reference field="4294967294" count="1" selected="0">
            <x v="1"/>
          </reference>
          <reference field="17" count="1" selected="0">
            <x v="2"/>
          </reference>
          <reference field="18" count="1" selected="0">
            <x v="1"/>
          </reference>
          <reference field="19" count="1" selected="0">
            <x v="2"/>
          </reference>
        </references>
      </pivotArea>
    </chartFormat>
    <chartFormat chart="263" format="43">
      <pivotArea type="data" outline="0" fieldPosition="0">
        <references count="4">
          <reference field="4294967294" count="1" selected="0">
            <x v="1"/>
          </reference>
          <reference field="17" count="1" selected="0">
            <x v="2"/>
          </reference>
          <reference field="18" count="1" selected="0">
            <x v="1"/>
          </reference>
          <reference field="19" count="1" selected="0">
            <x v="3"/>
          </reference>
        </references>
      </pivotArea>
    </chartFormat>
    <chartFormat chart="263" format="44">
      <pivotArea type="data" outline="0" fieldPosition="0">
        <references count="4">
          <reference field="4294967294" count="1" selected="0">
            <x v="1"/>
          </reference>
          <reference field="17" count="1" selected="0">
            <x v="2"/>
          </reference>
          <reference field="18" count="1" selected="0">
            <x v="2"/>
          </reference>
          <reference field="19" count="1" selected="0">
            <x v="4"/>
          </reference>
        </references>
      </pivotArea>
    </chartFormat>
    <chartFormat chart="263" format="45">
      <pivotArea type="data" outline="0" fieldPosition="0">
        <references count="4">
          <reference field="4294967294" count="1" selected="0">
            <x v="0"/>
          </reference>
          <reference field="17" count="1" selected="0">
            <x v="0"/>
          </reference>
          <reference field="18" count="1" selected="0">
            <x v="6"/>
          </reference>
          <reference field="19" count="1" selected="0">
            <x v="0"/>
          </reference>
        </references>
      </pivotArea>
    </chartFormat>
    <chartFormat chart="263" format="46">
      <pivotArea type="data" outline="0" fieldPosition="0">
        <references count="4">
          <reference field="4294967294" count="1" selected="0">
            <x v="1"/>
          </reference>
          <reference field="17" count="1" selected="0">
            <x v="0"/>
          </reference>
          <reference field="18" count="1" selected="0">
            <x v="6"/>
          </reference>
          <reference field="19" count="1" selected="0">
            <x v="0"/>
          </reference>
        </references>
      </pivotArea>
    </chartFormat>
    <chartFormat chart="263" format="47">
      <pivotArea type="data" outline="0" fieldPosition="0">
        <references count="2">
          <reference field="4294967294" count="1" selected="0">
            <x v="0"/>
          </reference>
          <reference field="17" count="1" selected="0">
            <x v="0"/>
          </reference>
        </references>
      </pivotArea>
    </chartFormat>
    <chartFormat chart="263" format="48">
      <pivotArea type="data" outline="0" fieldPosition="0">
        <references count="4">
          <reference field="4294967294" count="1" selected="0">
            <x v="0"/>
          </reference>
          <reference field="17" count="1" selected="0">
            <x v="1"/>
          </reference>
          <reference field="18" count="1" selected="0">
            <x v="3"/>
          </reference>
          <reference field="19" count="1" selected="0">
            <x v="7"/>
          </reference>
        </references>
      </pivotArea>
    </chartFormat>
    <chartFormat chart="263" format="49">
      <pivotArea type="data" outline="0" fieldPosition="0">
        <references count="4">
          <reference field="4294967294" count="1" selected="0">
            <x v="0"/>
          </reference>
          <reference field="17" count="1" selected="0">
            <x v="1"/>
          </reference>
          <reference field="18" count="1" selected="0">
            <x v="0"/>
          </reference>
          <reference field="19" count="1" selected="0">
            <x v="10"/>
          </reference>
        </references>
      </pivotArea>
    </chartFormat>
    <chartFormat chart="263" format="50">
      <pivotArea type="data" outline="0" fieldPosition="0">
        <references count="2">
          <reference field="4294967294" count="1" selected="0">
            <x v="1"/>
          </reference>
          <reference field="17" count="1" selected="0">
            <x v="0"/>
          </reference>
        </references>
      </pivotArea>
    </chartFormat>
    <chartFormat chart="263" format="51">
      <pivotArea type="data" outline="0" fieldPosition="0">
        <references count="4">
          <reference field="4294967294" count="1" selected="0">
            <x v="1"/>
          </reference>
          <reference field="17" count="1" selected="0">
            <x v="1"/>
          </reference>
          <reference field="18" count="1" selected="0">
            <x v="3"/>
          </reference>
          <reference field="19" count="1" selected="0">
            <x v="7"/>
          </reference>
        </references>
      </pivotArea>
    </chartFormat>
    <chartFormat chart="263" format="52">
      <pivotArea type="data" outline="0" fieldPosition="0">
        <references count="4">
          <reference field="4294967294" count="1" selected="0">
            <x v="1"/>
          </reference>
          <reference field="17" count="1" selected="0">
            <x v="1"/>
          </reference>
          <reference field="18" count="1" selected="0">
            <x v="0"/>
          </reference>
          <reference field="19" count="1" selected="0">
            <x v="10"/>
          </reference>
        </references>
      </pivotArea>
    </chartFormat>
    <chartFormat chart="263" format="53" series="1">
      <pivotArea type="data" outline="0" fieldPosition="0">
        <references count="1">
          <reference field="4294967294" count="1" selected="0">
            <x v="2"/>
          </reference>
        </references>
      </pivotArea>
    </chartFormat>
    <chartFormat chart="263" format="54">
      <pivotArea type="data" outline="0" fieldPosition="0">
        <references count="4">
          <reference field="4294967294" count="1" selected="0">
            <x v="1"/>
          </reference>
          <reference field="17" count="1" selected="0">
            <x v="2"/>
          </reference>
          <reference field="18" count="1" selected="0">
            <x v="2"/>
          </reference>
          <reference field="19" count="1" selected="0">
            <x v="5"/>
          </reference>
        </references>
      </pivotArea>
    </chartFormat>
    <chartFormat chart="263" format="55">
      <pivotArea type="data" outline="0" fieldPosition="0">
        <references count="4">
          <reference field="4294967294" count="1" selected="0">
            <x v="1"/>
          </reference>
          <reference field="17" count="1" selected="0">
            <x v="2"/>
          </reference>
          <reference field="18" count="1" selected="0">
            <x v="3"/>
          </reference>
          <reference field="19" count="1" selected="0">
            <x v="7"/>
          </reference>
        </references>
      </pivotArea>
    </chartFormat>
    <chartFormat chart="263" format="56">
      <pivotArea type="data" outline="0" fieldPosition="0">
        <references count="4">
          <reference field="4294967294" count="1" selected="0">
            <x v="1"/>
          </reference>
          <reference field="17" count="1" selected="0">
            <x v="2"/>
          </reference>
          <reference field="18" count="1" selected="0">
            <x v="3"/>
          </reference>
          <reference field="19" count="1" selected="0">
            <x v="8"/>
          </reference>
        </references>
      </pivotArea>
    </chartFormat>
    <chartFormat chart="353" format="6" series="1">
      <pivotArea type="data" outline="0" fieldPosition="0">
        <references count="1">
          <reference field="4294967294" count="1" selected="0">
            <x v="0"/>
          </reference>
        </references>
      </pivotArea>
    </chartFormat>
    <chartFormat chart="353" format="7" series="1">
      <pivotArea type="data" outline="0" fieldPosition="0">
        <references count="1">
          <reference field="4294967294" count="1" selected="0">
            <x v="1"/>
          </reference>
        </references>
      </pivotArea>
    </chartFormat>
    <chartFormat chart="35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3BA49D-6C86-420E-BCDA-BFDAD3FFE01D}" name="PivotTable2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P9:AS17"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name="سال توقف - گزارش جامع" axis="axisPage" showAll="0">
      <items count="5">
        <item m="1" x="3"/>
        <item x="0"/>
        <item x="1"/>
        <item x="2"/>
        <item t="default"/>
      </items>
    </pivotField>
    <pivotField name="فصل توقف - گزارش جامع" axis="axisPage" showAll="0">
      <items count="7">
        <item x="2"/>
        <item x="1"/>
        <item x="0"/>
        <item x="3"/>
        <item m="1" x="5"/>
        <item x="4"/>
        <item t="default"/>
      </items>
    </pivotField>
    <pivotField name="ماه توقف - گزارش جامع" axis="axisRow"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0"/>
  </rowFields>
  <rowItems count="8">
    <i>
      <x v="2"/>
    </i>
    <i>
      <x v="3"/>
    </i>
    <i>
      <x v="4"/>
    </i>
    <i>
      <x v="5"/>
    </i>
    <i>
      <x v="6"/>
    </i>
    <i>
      <x v="8"/>
    </i>
    <i>
      <x v="9"/>
    </i>
    <i t="grand">
      <x/>
    </i>
  </rowItems>
  <colFields count="1">
    <field x="-2"/>
  </colFields>
  <colItems count="3">
    <i>
      <x/>
    </i>
    <i i="1">
      <x v="1"/>
    </i>
    <i i="2">
      <x v="2"/>
    </i>
  </colItems>
  <pageFields count="3">
    <pageField fld="1" item="1" hier="-1"/>
    <pageField fld="8" item="2" hier="-1"/>
    <pageField fld="9" hier="-1"/>
  </pageFields>
  <dataFields count="3">
    <dataField name="Average of هدف MTBF" fld="29" subtotal="average" baseField="10" baseItem="1"/>
    <dataField name="Average of مبنا MTBF" fld="28" subtotal="average" baseField="10" baseItem="1"/>
    <dataField name="Average of TBF(hours)" fld="30" subtotal="average" baseField="10" baseItem="1"/>
  </dataFields>
  <chartFormats count="9">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6B0EF6-C262-4C10-9A69-3C5861B773AE}" name="PivotTable2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Q9:T14"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showAll="0"/>
    <pivotField showAll="0"/>
    <pivotField showAll="0"/>
    <pivotField showAll="0"/>
    <pivotField showAll="0"/>
    <pivotField showAll="0"/>
    <pivotField showAll="0"/>
    <pivotField showAll="0"/>
    <pivotField showAll="0"/>
    <pivotField name="سال توقف - گزارش جامع" axis="axisPage" showAll="0">
      <items count="5">
        <item m="1" x="2"/>
        <item x="0"/>
        <item x="1"/>
        <item m="1" x="3"/>
        <item t="default"/>
      </items>
    </pivotField>
    <pivotField name="فصل توقف - گزارش جامع" axis="axisPage" showAll="0">
      <items count="10">
        <item x="1"/>
        <item x="0"/>
        <item x="3"/>
        <item x="2"/>
        <item m="1" x="5"/>
        <item m="1" x="4"/>
        <item m="1" x="6"/>
        <item m="1" x="7"/>
        <item m="1" x="8"/>
        <item t="default"/>
      </items>
    </pivotField>
    <pivotField name="ماه توقف - گزارش جامع" axis="axisRow"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9"/>
  </rowFields>
  <rowItems count="5">
    <i>
      <x v="1"/>
    </i>
    <i>
      <x v="2"/>
    </i>
    <i>
      <x v="3"/>
    </i>
    <i>
      <x v="7"/>
    </i>
    <i t="grand">
      <x/>
    </i>
  </rowItems>
  <colFields count="1">
    <field x="-2"/>
  </colFields>
  <colItems count="3">
    <i>
      <x/>
    </i>
    <i i="1">
      <x v="1"/>
    </i>
    <i i="2">
      <x v="2"/>
    </i>
  </colItems>
  <pageFields count="3">
    <pageField fld="1" item="0" hier="-1"/>
    <pageField fld="17" item="2" hier="-1"/>
    <pageField fld="18" hier="-1"/>
  </pageFields>
  <dataFields count="3">
    <dataField name="Average of هدف MTTR" fld="27" subtotal="average" baseField="19" baseItem="0"/>
    <dataField name="Average of مبنا MTTR" fld="26" subtotal="average" baseField="19" baseItem="0"/>
    <dataField name="Average of TTR(mints)" fld="25" subtotal="average" baseField="19" baseItem="0"/>
  </dataFields>
  <chartFormats count="3">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27B462-6D3E-4528-B515-53A9D3588FC6}" name="PivotTable2" cacheId="36"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7">
  <location ref="B10:E22" firstHeaderRow="0" firstDataRow="1" firstDataCol="1" rowPageCount="2" colPageCount="1"/>
  <pivotFields count="32">
    <pivotField showAll="0" sortType="ascending"/>
    <pivotField name="سالن - کلی" multipleItemSelectionAllowed="1" showAll="0">
      <items count="13">
        <item h="1" x="1"/>
        <item h="1" x="3"/>
        <item h="1" m="1" x="7"/>
        <item h="1" m="1" x="6"/>
        <item x="0"/>
        <item h="1" m="1" x="10"/>
        <item h="1" m="1" x="8"/>
        <item h="1" m="1" x="9"/>
        <item h="1" m="1" x="11"/>
        <item h="1" x="2"/>
        <item h="1" x="4"/>
        <item h="1" m="1" x="5"/>
        <item t="default"/>
      </items>
    </pivotField>
    <pivotField showAll="0"/>
    <pivotField showAll="0"/>
    <pivotField showAll="0"/>
    <pivotField showAll="0"/>
    <pivotField showAll="0"/>
    <pivotField numFmtId="20" showAll="0"/>
    <pivotField name="سال توقف - گزارش جامع" axis="axisPage" multipleItemSelectionAllowed="1" showAll="0" sortType="ascending">
      <items count="5">
        <item h="1" m="1" x="3"/>
        <item h="1" x="0"/>
        <item x="1"/>
        <item h="1" x="2"/>
        <item t="default"/>
      </items>
    </pivotField>
    <pivotField name="فصل توقف - گزارش جامع" axis="axisPage" multipleItemSelectionAllowed="1" showAll="0" nonAutoSortDefault="1">
      <items count="7">
        <item x="3"/>
        <item x="0"/>
        <item x="1"/>
        <item sd="0" x="2"/>
        <item x="4"/>
        <item m="1" x="5"/>
        <item t="default"/>
      </items>
    </pivotField>
    <pivotField name="ماه توقف - گزارش جامع" axis="axisRow" showAll="0" sortType="ascending">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0"/>
  </rowFields>
  <rowItems count="12">
    <i>
      <x v="1"/>
    </i>
    <i>
      <x v="2"/>
    </i>
    <i>
      <x v="3"/>
    </i>
    <i>
      <x v="4"/>
    </i>
    <i>
      <x v="5"/>
    </i>
    <i>
      <x v="6"/>
    </i>
    <i>
      <x v="7"/>
    </i>
    <i>
      <x v="8"/>
    </i>
    <i>
      <x v="9"/>
    </i>
    <i>
      <x v="10"/>
    </i>
    <i>
      <x v="11"/>
    </i>
    <i t="grand">
      <x/>
    </i>
  </rowItems>
  <colFields count="1">
    <field x="-2"/>
  </colFields>
  <colItems count="3">
    <i>
      <x/>
    </i>
    <i i="1">
      <x v="1"/>
    </i>
    <i i="2">
      <x v="2"/>
    </i>
  </colItems>
  <pageFields count="2">
    <pageField fld="8" hier="-1"/>
    <pageField fld="9" hier="-1"/>
  </pageFields>
  <dataFields count="3">
    <dataField name="Average of هدف MTBF" fld="29" subtotal="average" baseField="9" baseItem="6"/>
    <dataField name="Average of مبنا MTBF" fld="28" subtotal="average" baseField="9" baseItem="1"/>
    <dataField name="Average of TBF(hours)" fld="30" subtotal="average" baseField="9" baseItem="1"/>
  </dataFields>
  <formats count="9">
    <format dxfId="181">
      <pivotArea type="all" dataOnly="0" outline="0" fieldPosition="0"/>
    </format>
    <format dxfId="180">
      <pivotArea field="10" type="button" dataOnly="0" labelOnly="1" outline="0" axis="axisRow"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field="9" type="button" dataOnly="0" labelOnly="1" outline="0" axis="axisPage" fieldPosition="1"/>
    </format>
    <format dxfId="175">
      <pivotArea dataOnly="0" labelOnly="1" fieldPosition="0">
        <references count="1">
          <reference field="9" count="0"/>
        </references>
      </pivotArea>
    </format>
    <format dxfId="174">
      <pivotArea dataOnly="0" labelOnly="1" grandRow="1" outline="0" fieldPosition="0"/>
    </format>
    <format dxfId="173">
      <pivotArea dataOnly="0" labelOnly="1" outline="0" fieldPosition="0">
        <references count="1">
          <reference field="4294967294" count="2">
            <x v="0"/>
            <x v="1"/>
          </reference>
        </references>
      </pivotArea>
    </format>
  </formats>
  <chartFormats count="31">
    <chartFormat chart="0"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9" count="1" selected="0">
            <x v="3"/>
          </reference>
        </references>
      </pivotArea>
    </chartFormat>
    <chartFormat chart="0" format="14" series="1">
      <pivotArea type="data" outline="0" fieldPosition="0">
        <references count="2">
          <reference field="4294967294" count="1" selected="0">
            <x v="0"/>
          </reference>
          <reference field="10" count="1" selected="0">
            <x v="12"/>
          </reference>
        </references>
      </pivotArea>
    </chartFormat>
    <chartFormat chart="0" format="15" series="1">
      <pivotArea type="data" outline="0" fieldPosition="0">
        <references count="2">
          <reference field="4294967294" count="1" selected="0">
            <x v="0"/>
          </reference>
          <reference field="10" count="1" selected="0">
            <x v="11"/>
          </reference>
        </references>
      </pivotArea>
    </chartFormat>
    <chartFormat chart="0" format="16" series="1">
      <pivotArea type="data" outline="0" fieldPosition="0">
        <references count="2">
          <reference field="4294967294" count="1" selected="0">
            <x v="0"/>
          </reference>
          <reference field="10" count="1" selected="0">
            <x v="10"/>
          </reference>
        </references>
      </pivotArea>
    </chartFormat>
    <chartFormat chart="0" format="17" series="1">
      <pivotArea type="data" outline="0" fieldPosition="0">
        <references count="2">
          <reference field="4294967294" count="1" selected="0">
            <x v="0"/>
          </reference>
          <reference field="10" count="1" selected="0">
            <x v="9"/>
          </reference>
        </references>
      </pivotArea>
    </chartFormat>
    <chartFormat chart="0" format="18" series="1">
      <pivotArea type="data" outline="0" fieldPosition="0">
        <references count="2">
          <reference field="4294967294" count="1" selected="0">
            <x v="0"/>
          </reference>
          <reference field="10" count="1" selected="0">
            <x v="8"/>
          </reference>
        </references>
      </pivotArea>
    </chartFormat>
    <chartFormat chart="0" format="19" series="1">
      <pivotArea type="data" outline="0" fieldPosition="0">
        <references count="2">
          <reference field="4294967294" count="1" selected="0">
            <x v="0"/>
          </reference>
          <reference field="10" count="1" selected="0">
            <x v="7"/>
          </reference>
        </references>
      </pivotArea>
    </chartFormat>
    <chartFormat chart="0" format="20" series="1">
      <pivotArea type="data" outline="0" fieldPosition="0">
        <references count="2">
          <reference field="4294967294" count="1" selected="0">
            <x v="0"/>
          </reference>
          <reference field="10" count="1" selected="0">
            <x v="5"/>
          </reference>
        </references>
      </pivotArea>
    </chartFormat>
    <chartFormat chart="0" format="21" series="1">
      <pivotArea type="data" outline="0" fieldPosition="0">
        <references count="2">
          <reference field="4294967294" count="1" selected="0">
            <x v="1"/>
          </reference>
          <reference field="10" count="1" selected="0">
            <x v="12"/>
          </reference>
        </references>
      </pivotArea>
    </chartFormat>
    <chartFormat chart="0" format="22" series="1">
      <pivotArea type="data" outline="0" fieldPosition="0">
        <references count="2">
          <reference field="4294967294" count="1" selected="0">
            <x v="1"/>
          </reference>
          <reference field="10" count="1" selected="0">
            <x v="11"/>
          </reference>
        </references>
      </pivotArea>
    </chartFormat>
    <chartFormat chart="0" format="23" series="1">
      <pivotArea type="data" outline="0" fieldPosition="0">
        <references count="2">
          <reference field="4294967294" count="1" selected="0">
            <x v="1"/>
          </reference>
          <reference field="10" count="1" selected="0">
            <x v="10"/>
          </reference>
        </references>
      </pivotArea>
    </chartFormat>
    <chartFormat chart="0" format="24" series="1">
      <pivotArea type="data" outline="0" fieldPosition="0">
        <references count="2">
          <reference field="4294967294" count="1" selected="0">
            <x v="1"/>
          </reference>
          <reference field="10" count="1" selected="0">
            <x v="9"/>
          </reference>
        </references>
      </pivotArea>
    </chartFormat>
    <chartFormat chart="0" format="25" series="1">
      <pivotArea type="data" outline="0" fieldPosition="0">
        <references count="2">
          <reference field="4294967294" count="1" selected="0">
            <x v="1"/>
          </reference>
          <reference field="10" count="1" selected="0">
            <x v="8"/>
          </reference>
        </references>
      </pivotArea>
    </chartFormat>
    <chartFormat chart="0" format="26" series="1">
      <pivotArea type="data" outline="0" fieldPosition="0">
        <references count="2">
          <reference field="4294967294" count="1" selected="0">
            <x v="1"/>
          </reference>
          <reference field="10" count="1" selected="0">
            <x v="7"/>
          </reference>
        </references>
      </pivotArea>
    </chartFormat>
    <chartFormat chart="0" format="27" series="1">
      <pivotArea type="data" outline="0" fieldPosition="0">
        <references count="2">
          <reference field="4294967294" count="1" selected="0">
            <x v="1"/>
          </reference>
          <reference field="10" count="1" selected="0">
            <x v="5"/>
          </reference>
        </references>
      </pivotArea>
    </chartFormat>
    <chartFormat chart="0" format="38">
      <pivotArea type="data" outline="0" fieldPosition="0">
        <references count="4">
          <reference field="4294967294" count="1" selected="0">
            <x v="1"/>
          </reference>
          <reference field="8" count="1" selected="0">
            <x v="1"/>
          </reference>
          <reference field="9" count="1" selected="0">
            <x v="3"/>
          </reference>
          <reference field="10" count="1" selected="0">
            <x v="11"/>
          </reference>
        </references>
      </pivotArea>
    </chartFormat>
    <chartFormat chart="0" format="39">
      <pivotArea type="data" outline="0" fieldPosition="0">
        <references count="4">
          <reference field="4294967294" count="1" selected="0">
            <x v="1"/>
          </reference>
          <reference field="8" count="1" selected="0">
            <x v="1"/>
          </reference>
          <reference field="9" count="1" selected="0">
            <x v="3"/>
          </reference>
          <reference field="10" count="1" selected="0">
            <x v="12"/>
          </reference>
        </references>
      </pivotArea>
    </chartFormat>
    <chartFormat chart="0" format="40">
      <pivotArea type="data" outline="0" fieldPosition="0">
        <references count="4">
          <reference field="4294967294" count="1" selected="0">
            <x v="1"/>
          </reference>
          <reference field="8" count="1" selected="0">
            <x v="1"/>
          </reference>
          <reference field="9" count="1" selected="0">
            <x v="3"/>
          </reference>
          <reference field="10" count="1" selected="0">
            <x v="10"/>
          </reference>
        </references>
      </pivotArea>
    </chartFormat>
    <chartFormat chart="84" format="42" series="1">
      <pivotArea type="data" outline="0" fieldPosition="0">
        <references count="1">
          <reference field="4294967294" count="1" selected="0">
            <x v="0"/>
          </reference>
        </references>
      </pivotArea>
    </chartFormat>
    <chartFormat chart="84" format="43" series="1">
      <pivotArea type="data" outline="0" fieldPosition="0">
        <references count="1">
          <reference field="4294967294" count="1" selected="0">
            <x v="1"/>
          </reference>
        </references>
      </pivotArea>
    </chartFormat>
    <chartFormat chart="85" format="45" series="1">
      <pivotArea type="data" outline="0" fieldPosition="0">
        <references count="1">
          <reference field="4294967294" count="1" selected="0">
            <x v="0"/>
          </reference>
        </references>
      </pivotArea>
    </chartFormat>
    <chartFormat chart="85" format="46" series="1">
      <pivotArea type="data" outline="0" fieldPosition="0">
        <references count="1">
          <reference field="4294967294" count="1" selected="0">
            <x v="1"/>
          </reference>
        </references>
      </pivotArea>
    </chartFormat>
    <chartFormat chart="0" format="41">
      <pivotArea type="data" outline="0" fieldPosition="0">
        <references count="3">
          <reference field="4294967294" count="1" selected="0">
            <x v="1"/>
          </reference>
          <reference field="8" count="1" selected="0">
            <x v="1"/>
          </reference>
          <reference field="9" count="1" selected="0">
            <x v="3"/>
          </reference>
        </references>
      </pivotArea>
    </chartFormat>
    <chartFormat chart="0" format="42">
      <pivotArea type="data" outline="0" fieldPosition="0">
        <references count="3">
          <reference field="4294967294" count="1" selected="0">
            <x v="0"/>
          </reference>
          <reference field="8" count="1" selected="0">
            <x v="1"/>
          </reference>
          <reference field="9" count="1" selected="0">
            <x v="2"/>
          </reference>
        </references>
      </pivotArea>
    </chartFormat>
    <chartFormat chart="0" format="52" series="1">
      <pivotArea type="data" outline="0" fieldPosition="0">
        <references count="1">
          <reference field="4294967294" count="1" selected="0">
            <x v="2"/>
          </reference>
        </references>
      </pivotArea>
    </chartFormat>
    <chartFormat chart="171" format="6" series="1">
      <pivotArea type="data" outline="0" fieldPosition="0">
        <references count="1">
          <reference field="4294967294" count="1" selected="0">
            <x v="0"/>
          </reference>
        </references>
      </pivotArea>
    </chartFormat>
    <chartFormat chart="171" format="7" series="1">
      <pivotArea type="data" outline="0" fieldPosition="0">
        <references count="1">
          <reference field="4294967294" count="1" selected="0">
            <x v="1"/>
          </reference>
        </references>
      </pivotArea>
    </chartFormat>
    <chartFormat chart="17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55A6D1-9607-4752-A6AB-FAB698110A7F}" name="PivotTable1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A9:AD18"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showAll="0">
      <items count="5">
        <item h="1" m="1" x="3"/>
        <item h="1" x="0"/>
        <item x="1"/>
        <item h="1" x="2"/>
        <item t="default"/>
      </items>
    </pivotField>
    <pivotField showAll="0">
      <items count="7">
        <item x="3"/>
        <item x="1"/>
        <item x="0"/>
        <item x="2"/>
        <item m="1" x="5"/>
        <item x="4"/>
        <item t="default"/>
      </items>
    </pivotField>
    <pivotField showAll="0"/>
    <pivotField showAll="0"/>
    <pivotField showAll="0"/>
    <pivotField showAll="0"/>
    <pivotField showAll="0"/>
    <pivotField showAll="0"/>
    <pivotField showAll="0"/>
    <pivotField name="سال توقف - گزارش جامع" axis="axisPage" showAll="0">
      <items count="5">
        <item m="1" x="2"/>
        <item x="0"/>
        <item x="1"/>
        <item m="1" x="3"/>
        <item t="default"/>
      </items>
    </pivotField>
    <pivotField name="فصل توقف - گزارش جامع" axis="axisPage" showAll="0">
      <items count="10">
        <item x="1"/>
        <item x="0"/>
        <item x="3"/>
        <item x="2"/>
        <item m="1" x="5"/>
        <item m="1" x="4"/>
        <item m="1" x="6"/>
        <item m="1" x="7"/>
        <item m="1" x="8"/>
        <item t="default"/>
      </items>
    </pivotField>
    <pivotField name="ماه توقف - گزارش جامع" axis="axisRow"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9"/>
  </rowFields>
  <rowItems count="9">
    <i>
      <x v="1"/>
    </i>
    <i>
      <x v="3"/>
    </i>
    <i>
      <x v="5"/>
    </i>
    <i>
      <x v="6"/>
    </i>
    <i>
      <x v="7"/>
    </i>
    <i>
      <x v="8"/>
    </i>
    <i>
      <x v="9"/>
    </i>
    <i>
      <x v="10"/>
    </i>
    <i t="grand">
      <x/>
    </i>
  </rowItems>
  <colFields count="1">
    <field x="-2"/>
  </colFields>
  <colItems count="3">
    <i>
      <x/>
    </i>
    <i i="1">
      <x v="1"/>
    </i>
    <i i="2">
      <x v="2"/>
    </i>
  </colItems>
  <pageFields count="3">
    <pageField fld="1" item="9" hier="-1"/>
    <pageField fld="17" hier="-1"/>
    <pageField fld="18" hier="-1"/>
  </pageFields>
  <dataFields count="3">
    <dataField name="Average of هدف MTTR" fld="27" subtotal="average" baseField="19" baseItem="0"/>
    <dataField name="Average of مبنا MTTR" fld="26" subtotal="average" baseField="19" baseItem="0"/>
    <dataField name="Average of TTR(mints)" fld="25" subtotal="average" baseField="19" baseItem="0"/>
  </dataFields>
  <chartFormats count="4">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7" format="9">
      <pivotArea type="data" outline="0" fieldPosition="0">
        <references count="2">
          <reference field="4294967294" count="1" selected="0">
            <x v="1"/>
          </reference>
          <reference field="1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C31D6D-7C19-452C-AD3A-CB92CFE1F700}" name="PivotTable1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9:Y17"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axis="axisPage" showAll="0">
      <items count="5">
        <item m="1" x="3"/>
        <item x="0"/>
        <item x="1"/>
        <item x="2"/>
        <item t="default"/>
      </items>
    </pivotField>
    <pivotField axis="axisPage" showAll="0">
      <items count="7">
        <item x="2"/>
        <item x="1"/>
        <item x="0"/>
        <item x="3"/>
        <item m="1" x="5"/>
        <item x="4"/>
        <item t="default"/>
      </items>
    </pivotField>
    <pivotField axis="axisRow"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0"/>
  </rowFields>
  <rowItems count="8">
    <i>
      <x v="1"/>
    </i>
    <i>
      <x v="3"/>
    </i>
    <i>
      <x v="5"/>
    </i>
    <i>
      <x v="6"/>
    </i>
    <i>
      <x v="7"/>
    </i>
    <i>
      <x v="8"/>
    </i>
    <i>
      <x v="9"/>
    </i>
    <i t="grand">
      <x/>
    </i>
  </rowItems>
  <colFields count="1">
    <field x="-2"/>
  </colFields>
  <colItems count="3">
    <i>
      <x/>
    </i>
    <i i="1">
      <x v="1"/>
    </i>
    <i i="2">
      <x v="2"/>
    </i>
  </colItems>
  <pageFields count="3">
    <pageField fld="1" item="9" hier="-1"/>
    <pageField fld="8" item="2" hier="-1"/>
    <pageField fld="9" hier="-1"/>
  </pageFields>
  <dataFields count="3">
    <dataField name="Average of مبنا MTBF" fld="28" subtotal="average" baseField="10" baseItem="2"/>
    <dataField name="Average of هدف MTBF" fld="29" subtotal="average" baseField="10" baseItem="2"/>
    <dataField name="Average of TBF(hours)" fld="30" subtotal="average" baseField="10" baseItem="2"/>
  </dataFields>
  <chartFormats count="3">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E99117-8869-40EB-88A4-0C6194F1F188}" name="PivotTable2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U9:AX17"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showAll="0">
      <items count="5">
        <item h="1" m="1" x="3"/>
        <item h="1" x="0"/>
        <item x="1"/>
        <item h="1" x="2"/>
        <item t="default"/>
      </items>
    </pivotField>
    <pivotField showAll="0">
      <items count="7">
        <item x="3"/>
        <item x="1"/>
        <item x="0"/>
        <item x="2"/>
        <item m="1" x="5"/>
        <item x="4"/>
        <item t="default"/>
      </items>
    </pivotField>
    <pivotField showAll="0"/>
    <pivotField showAll="0"/>
    <pivotField showAll="0"/>
    <pivotField showAll="0"/>
    <pivotField showAll="0"/>
    <pivotField showAll="0"/>
    <pivotField showAll="0"/>
    <pivotField name="سال توقف - گزارش جامع" axis="axisPage" showAll="0">
      <items count="5">
        <item m="1" x="2"/>
        <item x="0"/>
        <item x="1"/>
        <item m="1" x="3"/>
        <item t="default"/>
      </items>
    </pivotField>
    <pivotField name="فصل توقف - گزارش جامع" axis="axisPage" showAll="0">
      <items count="10">
        <item x="1"/>
        <item x="0"/>
        <item x="3"/>
        <item x="2"/>
        <item m="1" x="5"/>
        <item m="1" x="4"/>
        <item m="1" x="6"/>
        <item m="1" x="7"/>
        <item m="1" x="8"/>
        <item t="default"/>
      </items>
    </pivotField>
    <pivotField name="ماه توقف - گزارش جامع" axis="axisRow"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9"/>
  </rowFields>
  <rowItems count="8">
    <i>
      <x v="2"/>
    </i>
    <i>
      <x v="3"/>
    </i>
    <i>
      <x v="4"/>
    </i>
    <i>
      <x v="5"/>
    </i>
    <i>
      <x v="6"/>
    </i>
    <i>
      <x v="8"/>
    </i>
    <i>
      <x v="9"/>
    </i>
    <i t="grand">
      <x/>
    </i>
  </rowItems>
  <colFields count="1">
    <field x="-2"/>
  </colFields>
  <colItems count="3">
    <i>
      <x/>
    </i>
    <i i="1">
      <x v="1"/>
    </i>
    <i i="2">
      <x v="2"/>
    </i>
  </colItems>
  <pageFields count="3">
    <pageField fld="1" item="1" hier="-1"/>
    <pageField fld="17" item="2" hier="-1"/>
    <pageField fld="18" hier="-1"/>
  </pageFields>
  <dataFields count="3">
    <dataField name="Average of هدف MTTR" fld="27" subtotal="average" baseField="19" baseItem="0"/>
    <dataField name="Average of مبنا MTTR" fld="26" subtotal="average" baseField="19" baseItem="0"/>
    <dataField name="Average of TTR(mints)" fld="25" subtotal="average" baseField="19" baseItem="0"/>
  </dataFields>
  <chartFormats count="3">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C4689E-1079-4CD5-8829-2C074B2672BF}" name="PivotTable2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J9:BM21"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name="سال توقف - گزارش جامع" axis="axisPage" showAll="0">
      <items count="5">
        <item m="1" x="3"/>
        <item x="0"/>
        <item x="1"/>
        <item x="2"/>
        <item t="default"/>
      </items>
    </pivotField>
    <pivotField name="فصل توقف - گزارش جامع" axis="axisPage" showAll="0">
      <items count="7">
        <item x="2"/>
        <item x="1"/>
        <item x="0"/>
        <item x="3"/>
        <item m="1" x="5"/>
        <item x="4"/>
        <item t="default"/>
      </items>
    </pivotField>
    <pivotField name="ماه توقف - گزارش جامع" axis="axisRow"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0"/>
  </rowFields>
  <rowItems count="12">
    <i>
      <x v="1"/>
    </i>
    <i>
      <x v="2"/>
    </i>
    <i>
      <x v="3"/>
    </i>
    <i>
      <x v="4"/>
    </i>
    <i>
      <x v="5"/>
    </i>
    <i>
      <x v="6"/>
    </i>
    <i>
      <x v="7"/>
    </i>
    <i>
      <x v="8"/>
    </i>
    <i>
      <x v="9"/>
    </i>
    <i>
      <x v="10"/>
    </i>
    <i>
      <x v="11"/>
    </i>
    <i t="grand">
      <x/>
    </i>
  </rowItems>
  <colFields count="1">
    <field x="-2"/>
  </colFields>
  <colItems count="3">
    <i>
      <x/>
    </i>
    <i i="1">
      <x v="1"/>
    </i>
    <i i="2">
      <x v="2"/>
    </i>
  </colItems>
  <pageFields count="3">
    <pageField fld="1" hier="-1"/>
    <pageField fld="8" item="2" hier="-1"/>
    <pageField fld="9" hier="-1"/>
  </pageFields>
  <dataFields count="3">
    <dataField name="Average of هدف MTBF" fld="29" subtotal="average" baseField="10" baseItem="1"/>
    <dataField name="Average of مبنا MTBF" fld="28" subtotal="average" baseField="10" baseItem="1"/>
    <dataField name="Average of TBF(hours)" fld="30" subtotal="average" baseField="1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02BE39-1D3A-4B45-9CC8-D6FC593C5943}" name="PivotTable1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F9:AI21" firstHeaderRow="0" firstDataRow="1" firstDataCol="1" rowPageCount="3" colPageCount="1"/>
  <pivotFields count="32">
    <pivotField showAll="0"/>
    <pivotField axis="axisPage" showAll="0">
      <items count="13">
        <item x="1"/>
        <item x="3"/>
        <item m="1" x="7"/>
        <item m="1" x="6"/>
        <item x="0"/>
        <item m="1" x="10"/>
        <item m="1" x="8"/>
        <item m="1" x="9"/>
        <item m="1" x="11"/>
        <item x="4"/>
        <item m="1" x="5"/>
        <item x="2"/>
        <item t="default"/>
      </items>
    </pivotField>
    <pivotField showAll="0"/>
    <pivotField showAll="0"/>
    <pivotField showAll="0"/>
    <pivotField showAll="0"/>
    <pivotField showAll="0"/>
    <pivotField numFmtId="20" showAll="0"/>
    <pivotField name="سال توقف - گزارش جامع" axis="axisPage" showAll="0">
      <items count="5">
        <item m="1" x="3"/>
        <item x="0"/>
        <item x="1"/>
        <item x="2"/>
        <item t="default"/>
      </items>
    </pivotField>
    <pivotField name="فصل توقف - گزارش جامع" axis="axisPage" showAll="0">
      <items count="7">
        <item x="2"/>
        <item x="1"/>
        <item x="0"/>
        <item x="3"/>
        <item m="1" x="5"/>
        <item x="4"/>
        <item t="default"/>
      </items>
    </pivotField>
    <pivotField axis="axisRow"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0"/>
  </rowFields>
  <rowItems count="12">
    <i>
      <x v="1"/>
    </i>
    <i>
      <x v="2"/>
    </i>
    <i>
      <x v="3"/>
    </i>
    <i>
      <x v="4"/>
    </i>
    <i>
      <x v="5"/>
    </i>
    <i>
      <x v="6"/>
    </i>
    <i>
      <x v="7"/>
    </i>
    <i>
      <x v="8"/>
    </i>
    <i>
      <x v="9"/>
    </i>
    <i>
      <x v="10"/>
    </i>
    <i>
      <x v="11"/>
    </i>
    <i t="grand">
      <x/>
    </i>
  </rowItems>
  <colFields count="1">
    <field x="-2"/>
  </colFields>
  <colItems count="3">
    <i>
      <x/>
    </i>
    <i i="1">
      <x v="1"/>
    </i>
    <i i="2">
      <x v="2"/>
    </i>
  </colItems>
  <pageFields count="3">
    <pageField fld="1" item="4" hier="-1"/>
    <pageField fld="8" item="2" hier="-1"/>
    <pageField fld="9" hier="-1"/>
  </pageFields>
  <dataFields count="3">
    <dataField name="Average of هدف MTBF" fld="29" subtotal="average" baseField="10" baseItem="1"/>
    <dataField name="Average of مبنا MTBF" fld="28" subtotal="average" baseField="10" baseItem="1"/>
    <dataField name="Average of TBF(hours)" fld="30" subtotal="average" baseField="10" baseItem="1"/>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6" cacheId="3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9">
  <location ref="A9:D24" firstHeaderRow="0" firstDataRow="1" firstDataCol="1" rowPageCount="1" colPageCount="1"/>
  <pivotFields count="32">
    <pivotField showAll="0" sortType="ascending"/>
    <pivotField name="سالن - کلی" axis="axisPage" multipleItemSelectionAllowed="1" showAll="0">
      <items count="13">
        <item h="1" x="1"/>
        <item h="1" x="3"/>
        <item h="1" m="1" x="7"/>
        <item h="1" m="1" x="6"/>
        <item x="0"/>
        <item h="1" m="1" x="10"/>
        <item h="1" m="1" x="8"/>
        <item h="1" m="1" x="9"/>
        <item h="1" m="1" x="11"/>
        <item h="1" x="4"/>
        <item h="1" m="1" x="5"/>
        <item h="1" x="2"/>
        <item t="default"/>
      </items>
    </pivotField>
    <pivotField showAll="0"/>
    <pivotField showAll="0"/>
    <pivotField showAll="0"/>
    <pivotField showAll="0"/>
    <pivotField showAll="0"/>
    <pivotField numFmtId="20" showAll="0"/>
    <pivotField name="سال توقف - کلی" axis="axisRow" showAll="0" sortType="ascending">
      <items count="5">
        <item h="1" m="1" x="3"/>
        <item h="1" x="0"/>
        <item x="1"/>
        <item h="1" x="2"/>
        <item t="default"/>
      </items>
    </pivotField>
    <pivotField name="فصل توقف - کلی" axis="axisRow" showAll="0" nonAutoSortDefault="1">
      <items count="7">
        <item x="3"/>
        <item x="0"/>
        <item x="1"/>
        <item sd="0" x="2"/>
        <item x="4"/>
        <item m="1" x="5"/>
        <item t="default"/>
      </items>
    </pivotField>
    <pivotField name="ماه توقف - کلی" axis="axisRow" showAll="0" sortType="ascending">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3">
    <field x="8"/>
    <field x="9"/>
    <field x="10"/>
  </rowFields>
  <rowItems count="15">
    <i>
      <x v="2"/>
    </i>
    <i r="1">
      <x/>
    </i>
    <i r="2">
      <x v="1"/>
    </i>
    <i r="2">
      <x v="2"/>
    </i>
    <i r="2">
      <x v="3"/>
    </i>
    <i r="1">
      <x v="1"/>
    </i>
    <i r="2">
      <x v="4"/>
    </i>
    <i r="2">
      <x v="5"/>
    </i>
    <i r="2">
      <x v="6"/>
    </i>
    <i r="1">
      <x v="2"/>
    </i>
    <i r="2">
      <x v="7"/>
    </i>
    <i r="2">
      <x v="8"/>
    </i>
    <i r="2">
      <x v="9"/>
    </i>
    <i r="1">
      <x v="3"/>
    </i>
    <i t="grand">
      <x/>
    </i>
  </rowItems>
  <colFields count="1">
    <field x="-2"/>
  </colFields>
  <colItems count="3">
    <i>
      <x/>
    </i>
    <i i="1">
      <x v="1"/>
    </i>
    <i i="2">
      <x v="2"/>
    </i>
  </colItems>
  <pageFields count="1">
    <pageField fld="1" hier="-1"/>
  </pageFields>
  <dataFields count="3">
    <dataField name="Average of هدف MTBF" fld="29" subtotal="average" baseField="9" baseItem="6"/>
    <dataField name="Average of مبنا MTBF" fld="28" subtotal="average" baseField="9" baseItem="1"/>
    <dataField name="Average of TBF(hours)" fld="30" subtotal="average" baseField="9" baseItem="1"/>
  </dataFields>
  <formats count="9">
    <format dxfId="166">
      <pivotArea type="all" dataOnly="0" outline="0" fieldPosition="0"/>
    </format>
    <format dxfId="165">
      <pivotArea field="10" type="button" dataOnly="0" labelOnly="1" outline="0" axis="axisRow" fieldPosition="2"/>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9" type="button" dataOnly="0" labelOnly="1" outline="0" axis="axisRow" fieldPosition="1"/>
    </format>
    <format dxfId="160">
      <pivotArea dataOnly="0" labelOnly="1" fieldPosition="0">
        <references count="1">
          <reference field="9" count="0"/>
        </references>
      </pivotArea>
    </format>
    <format dxfId="159">
      <pivotArea dataOnly="0" labelOnly="1" grandRow="1" outline="0" fieldPosition="0"/>
    </format>
    <format dxfId="158">
      <pivotArea dataOnly="0" labelOnly="1" outline="0" fieldPosition="0">
        <references count="1">
          <reference field="4294967294" count="2">
            <x v="0"/>
            <x v="1"/>
          </reference>
        </references>
      </pivotArea>
    </format>
  </formats>
  <chartFormats count="28">
    <chartFormat chart="0"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9" count="1" selected="0">
            <x v="3"/>
          </reference>
        </references>
      </pivotArea>
    </chartFormat>
    <chartFormat chart="0" format="14" series="1">
      <pivotArea type="data" outline="0" fieldPosition="0">
        <references count="2">
          <reference field="4294967294" count="1" selected="0">
            <x v="0"/>
          </reference>
          <reference field="10" count="1" selected="0">
            <x v="12"/>
          </reference>
        </references>
      </pivotArea>
    </chartFormat>
    <chartFormat chart="0" format="15" series="1">
      <pivotArea type="data" outline="0" fieldPosition="0">
        <references count="2">
          <reference field="4294967294" count="1" selected="0">
            <x v="0"/>
          </reference>
          <reference field="10" count="1" selected="0">
            <x v="11"/>
          </reference>
        </references>
      </pivotArea>
    </chartFormat>
    <chartFormat chart="0" format="16" series="1">
      <pivotArea type="data" outline="0" fieldPosition="0">
        <references count="2">
          <reference field="4294967294" count="1" selected="0">
            <x v="0"/>
          </reference>
          <reference field="10" count="1" selected="0">
            <x v="10"/>
          </reference>
        </references>
      </pivotArea>
    </chartFormat>
    <chartFormat chart="0" format="17" series="1">
      <pivotArea type="data" outline="0" fieldPosition="0">
        <references count="2">
          <reference field="4294967294" count="1" selected="0">
            <x v="0"/>
          </reference>
          <reference field="10" count="1" selected="0">
            <x v="9"/>
          </reference>
        </references>
      </pivotArea>
    </chartFormat>
    <chartFormat chart="0" format="18" series="1">
      <pivotArea type="data" outline="0" fieldPosition="0">
        <references count="2">
          <reference field="4294967294" count="1" selected="0">
            <x v="0"/>
          </reference>
          <reference field="10" count="1" selected="0">
            <x v="8"/>
          </reference>
        </references>
      </pivotArea>
    </chartFormat>
    <chartFormat chart="0" format="19" series="1">
      <pivotArea type="data" outline="0" fieldPosition="0">
        <references count="2">
          <reference field="4294967294" count="1" selected="0">
            <x v="0"/>
          </reference>
          <reference field="10" count="1" selected="0">
            <x v="7"/>
          </reference>
        </references>
      </pivotArea>
    </chartFormat>
    <chartFormat chart="0" format="20" series="1">
      <pivotArea type="data" outline="0" fieldPosition="0">
        <references count="2">
          <reference field="4294967294" count="1" selected="0">
            <x v="0"/>
          </reference>
          <reference field="10" count="1" selected="0">
            <x v="5"/>
          </reference>
        </references>
      </pivotArea>
    </chartFormat>
    <chartFormat chart="0" format="21" series="1">
      <pivotArea type="data" outline="0" fieldPosition="0">
        <references count="2">
          <reference field="4294967294" count="1" selected="0">
            <x v="1"/>
          </reference>
          <reference field="10" count="1" selected="0">
            <x v="12"/>
          </reference>
        </references>
      </pivotArea>
    </chartFormat>
    <chartFormat chart="0" format="22" series="1">
      <pivotArea type="data" outline="0" fieldPosition="0">
        <references count="2">
          <reference field="4294967294" count="1" selected="0">
            <x v="1"/>
          </reference>
          <reference field="10" count="1" selected="0">
            <x v="11"/>
          </reference>
        </references>
      </pivotArea>
    </chartFormat>
    <chartFormat chart="0" format="23" series="1">
      <pivotArea type="data" outline="0" fieldPosition="0">
        <references count="2">
          <reference field="4294967294" count="1" selected="0">
            <x v="1"/>
          </reference>
          <reference field="10" count="1" selected="0">
            <x v="10"/>
          </reference>
        </references>
      </pivotArea>
    </chartFormat>
    <chartFormat chart="0" format="24" series="1">
      <pivotArea type="data" outline="0" fieldPosition="0">
        <references count="2">
          <reference field="4294967294" count="1" selected="0">
            <x v="1"/>
          </reference>
          <reference field="10" count="1" selected="0">
            <x v="9"/>
          </reference>
        </references>
      </pivotArea>
    </chartFormat>
    <chartFormat chart="0" format="25" series="1">
      <pivotArea type="data" outline="0" fieldPosition="0">
        <references count="2">
          <reference field="4294967294" count="1" selected="0">
            <x v="1"/>
          </reference>
          <reference field="10" count="1" selected="0">
            <x v="8"/>
          </reference>
        </references>
      </pivotArea>
    </chartFormat>
    <chartFormat chart="0" format="26" series="1">
      <pivotArea type="data" outline="0" fieldPosition="0">
        <references count="2">
          <reference field="4294967294" count="1" selected="0">
            <x v="1"/>
          </reference>
          <reference field="10" count="1" selected="0">
            <x v="7"/>
          </reference>
        </references>
      </pivotArea>
    </chartFormat>
    <chartFormat chart="0" format="27" series="1">
      <pivotArea type="data" outline="0" fieldPosition="0">
        <references count="2">
          <reference field="4294967294" count="1" selected="0">
            <x v="1"/>
          </reference>
          <reference field="10" count="1" selected="0">
            <x v="5"/>
          </reference>
        </references>
      </pivotArea>
    </chartFormat>
    <chartFormat chart="0" format="38">
      <pivotArea type="data" outline="0" fieldPosition="0">
        <references count="4">
          <reference field="4294967294" count="1" selected="0">
            <x v="1"/>
          </reference>
          <reference field="8" count="1" selected="0">
            <x v="1"/>
          </reference>
          <reference field="9" count="1" selected="0">
            <x v="3"/>
          </reference>
          <reference field="10" count="1" selected="0">
            <x v="11"/>
          </reference>
        </references>
      </pivotArea>
    </chartFormat>
    <chartFormat chart="0" format="39">
      <pivotArea type="data" outline="0" fieldPosition="0">
        <references count="4">
          <reference field="4294967294" count="1" selected="0">
            <x v="1"/>
          </reference>
          <reference field="8" count="1" selected="0">
            <x v="1"/>
          </reference>
          <reference field="9" count="1" selected="0">
            <x v="3"/>
          </reference>
          <reference field="10" count="1" selected="0">
            <x v="12"/>
          </reference>
        </references>
      </pivotArea>
    </chartFormat>
    <chartFormat chart="0" format="40">
      <pivotArea type="data" outline="0" fieldPosition="0">
        <references count="4">
          <reference field="4294967294" count="1" selected="0">
            <x v="1"/>
          </reference>
          <reference field="8" count="1" selected="0">
            <x v="1"/>
          </reference>
          <reference field="9" count="1" selected="0">
            <x v="3"/>
          </reference>
          <reference field="10" count="1" selected="0">
            <x v="10"/>
          </reference>
        </references>
      </pivotArea>
    </chartFormat>
    <chartFormat chart="84" format="42" series="1">
      <pivotArea type="data" outline="0" fieldPosition="0">
        <references count="1">
          <reference field="4294967294" count="1" selected="0">
            <x v="0"/>
          </reference>
        </references>
      </pivotArea>
    </chartFormat>
    <chartFormat chart="84" format="43" series="1">
      <pivotArea type="data" outline="0" fieldPosition="0">
        <references count="1">
          <reference field="4294967294" count="1" selected="0">
            <x v="1"/>
          </reference>
        </references>
      </pivotArea>
    </chartFormat>
    <chartFormat chart="85" format="45" series="1">
      <pivotArea type="data" outline="0" fieldPosition="0">
        <references count="1">
          <reference field="4294967294" count="1" selected="0">
            <x v="0"/>
          </reference>
        </references>
      </pivotArea>
    </chartFormat>
    <chartFormat chart="85" format="46" series="1">
      <pivotArea type="data" outline="0" fieldPosition="0">
        <references count="1">
          <reference field="4294967294" count="1" selected="0">
            <x v="1"/>
          </reference>
        </references>
      </pivotArea>
    </chartFormat>
    <chartFormat chart="0" format="41">
      <pivotArea type="data" outline="0" fieldPosition="0">
        <references count="3">
          <reference field="4294967294" count="1" selected="0">
            <x v="1"/>
          </reference>
          <reference field="8" count="1" selected="0">
            <x v="1"/>
          </reference>
          <reference field="9" count="1" selected="0">
            <x v="3"/>
          </reference>
        </references>
      </pivotArea>
    </chartFormat>
    <chartFormat chart="0" format="42">
      <pivotArea type="data" outline="0" fieldPosition="0">
        <references count="3">
          <reference field="4294967294" count="1" selected="0">
            <x v="0"/>
          </reference>
          <reference field="8" count="1" selected="0">
            <x v="1"/>
          </reference>
          <reference field="9" count="1" selected="0">
            <x v="2"/>
          </reference>
        </references>
      </pivotArea>
    </chartFormat>
    <chartFormat chart="0" format="5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2">
  <location ref="C9:F26" firstHeaderRow="0" firstDataRow="1" firstDataCol="1" rowPageCount="1" colPageCount="1"/>
  <pivotFields count="32">
    <pivotField showAll="0"/>
    <pivotField name="سالن - کلی" axis="axisPage" multipleItemSelectionAllowed="1" showAll="0">
      <items count="13">
        <item h="1" x="1"/>
        <item h="1" x="3"/>
        <item h="1" m="1" x="7"/>
        <item h="1" m="1" x="6"/>
        <item x="0"/>
        <item h="1" m="1" x="10"/>
        <item h="1" m="1" x="8"/>
        <item h="1" m="1" x="9"/>
        <item h="1" m="1" x="11"/>
        <item h="1" x="4"/>
        <item h="1" m="1" x="5"/>
        <item h="1" x="2"/>
        <item t="default"/>
      </items>
    </pivotField>
    <pivotField showAll="0"/>
    <pivotField showAll="0"/>
    <pivotField showAll="0"/>
    <pivotField showAll="0"/>
    <pivotField showAll="0"/>
    <pivotField numFmtId="20" showAll="0"/>
    <pivotField showAll="0"/>
    <pivotField showAll="0"/>
    <pivotField showAll="0" sortType="ascending">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name="سال توقف - کلی" axis="axisRow" showAll="0" sortType="ascending">
      <items count="5">
        <item h="1" m="1" x="2"/>
        <item h="1" x="0"/>
        <item x="1"/>
        <item m="1" x="3"/>
        <item t="default"/>
      </items>
    </pivotField>
    <pivotField name="فصل توقف - کلی" axis="axisRow" showAll="0">
      <items count="10">
        <item x="1"/>
        <item x="2"/>
        <item x="3"/>
        <item x="0"/>
        <item h="1" m="1" x="5"/>
        <item h="1" m="1" x="4"/>
        <item h="1" m="1" x="6"/>
        <item h="1" m="1" x="7"/>
        <item h="1" m="1" x="8"/>
        <item t="default"/>
      </items>
    </pivotField>
    <pivotField name="ماه توقف - کلی" axis="axisRow" showAll="0" sortType="ascending">
      <items count="14">
        <item h="1" m="1" x="12"/>
        <item x="6"/>
        <item x="7"/>
        <item x="8"/>
        <item x="9"/>
        <item x="10"/>
        <item x="11"/>
        <item x="1"/>
        <item x="2"/>
        <item x="0"/>
        <item x="3"/>
        <item x="4"/>
        <item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3">
    <field x="17"/>
    <field x="18"/>
    <field x="19"/>
  </rowFields>
  <rowItems count="17">
    <i>
      <x v="2"/>
    </i>
    <i r="1">
      <x/>
    </i>
    <i r="2">
      <x v="10"/>
    </i>
    <i r="2">
      <x v="11"/>
    </i>
    <i r="1">
      <x v="1"/>
    </i>
    <i r="2">
      <x v="1"/>
    </i>
    <i r="2">
      <x v="2"/>
    </i>
    <i r="2">
      <x v="3"/>
    </i>
    <i r="1">
      <x v="2"/>
    </i>
    <i r="2">
      <x v="4"/>
    </i>
    <i r="2">
      <x v="5"/>
    </i>
    <i r="2">
      <x v="6"/>
    </i>
    <i r="1">
      <x v="3"/>
    </i>
    <i r="2">
      <x v="7"/>
    </i>
    <i r="2">
      <x v="8"/>
    </i>
    <i r="2">
      <x v="9"/>
    </i>
    <i t="grand">
      <x/>
    </i>
  </rowItems>
  <colFields count="1">
    <field x="-2"/>
  </colFields>
  <colItems count="3">
    <i>
      <x/>
    </i>
    <i i="1">
      <x v="1"/>
    </i>
    <i i="2">
      <x v="2"/>
    </i>
  </colItems>
  <pageFields count="1">
    <pageField fld="1" hier="-1"/>
  </pageFields>
  <dataFields count="3">
    <dataField name="Average of هدف MTTR" fld="27" subtotal="average" baseField="17" baseItem="3"/>
    <dataField name="Average of مبنا MTTR" fld="26" subtotal="average" baseField="18" baseItem="0"/>
    <dataField name="Average of TTR(mints)" fld="25" subtotal="average" baseField="18" baseItem="6"/>
  </dataFields>
  <formats count="6">
    <format dxfId="157">
      <pivotArea type="all" dataOnly="0" outline="0" fieldPosition="0"/>
    </format>
    <format dxfId="156">
      <pivotArea outline="0" collapsedLevelsAreSubtotals="1" fieldPosition="0"/>
    </format>
    <format dxfId="155">
      <pivotArea field="18" type="button" dataOnly="0" labelOnly="1" outline="0" axis="axisRow" fieldPosition="1"/>
    </format>
    <format dxfId="154">
      <pivotArea dataOnly="0" labelOnly="1" fieldPosition="0">
        <references count="1">
          <reference field="18" count="0"/>
        </references>
      </pivotArea>
    </format>
    <format dxfId="153">
      <pivotArea dataOnly="0" labelOnly="1" grandRow="1" outline="0" fieldPosition="0"/>
    </format>
    <format dxfId="152">
      <pivotArea dataOnly="0" labelOnly="1" outline="0" fieldPosition="0">
        <references count="1">
          <reference field="4294967294" count="2">
            <x v="0"/>
            <x v="1"/>
          </reference>
        </references>
      </pivotArea>
    </format>
  </formats>
  <chartFormats count="32">
    <chartFormat chart="185" format="11" series="1">
      <pivotArea type="data" outline="0" fieldPosition="0">
        <references count="1">
          <reference field="4294967294" count="1" selected="0">
            <x v="0"/>
          </reference>
        </references>
      </pivotArea>
    </chartFormat>
    <chartFormat chart="263" format="29" series="1">
      <pivotArea type="data" outline="0" fieldPosition="0">
        <references count="1">
          <reference field="4294967294" count="1" selected="0">
            <x v="0"/>
          </reference>
        </references>
      </pivotArea>
    </chartFormat>
    <chartFormat chart="263" format="30">
      <pivotArea type="data" outline="0" fieldPosition="0">
        <references count="4">
          <reference field="4294967294" count="1" selected="0">
            <x v="0"/>
          </reference>
          <reference field="17" count="1" selected="0">
            <x v="1"/>
          </reference>
          <reference field="18" count="1" selected="0">
            <x v="3"/>
          </reference>
          <reference field="19" count="1" selected="0">
            <x v="9"/>
          </reference>
        </references>
      </pivotArea>
    </chartFormat>
    <chartFormat chart="263" format="31">
      <pivotArea type="data" outline="0" fieldPosition="0">
        <references count="4">
          <reference field="4294967294" count="1" selected="0">
            <x v="0"/>
          </reference>
          <reference field="17" count="1" selected="0">
            <x v="1"/>
          </reference>
          <reference field="18" count="1" selected="0">
            <x v="0"/>
          </reference>
          <reference field="19" count="1" selected="0">
            <x v="11"/>
          </reference>
        </references>
      </pivotArea>
    </chartFormat>
    <chartFormat chart="263" format="32">
      <pivotArea type="data" outline="0" fieldPosition="0">
        <references count="4">
          <reference field="4294967294" count="1" selected="0">
            <x v="0"/>
          </reference>
          <reference field="17" count="1" selected="0">
            <x v="1"/>
          </reference>
          <reference field="18" count="1" selected="0">
            <x v="0"/>
          </reference>
          <reference field="19" count="1" selected="0">
            <x v="12"/>
          </reference>
        </references>
      </pivotArea>
    </chartFormat>
    <chartFormat chart="263" format="33">
      <pivotArea type="data" outline="0" fieldPosition="0">
        <references count="4">
          <reference field="4294967294" count="1" selected="0">
            <x v="0"/>
          </reference>
          <reference field="17" count="1" selected="0">
            <x v="2"/>
          </reference>
          <reference field="18" count="1" selected="0">
            <x v="1"/>
          </reference>
          <reference field="19" count="1" selected="0">
            <x v="1"/>
          </reference>
        </references>
      </pivotArea>
    </chartFormat>
    <chartFormat chart="263" format="34">
      <pivotArea type="data" outline="0" fieldPosition="0">
        <references count="4">
          <reference field="4294967294" count="1" selected="0">
            <x v="0"/>
          </reference>
          <reference field="17" count="1" selected="0">
            <x v="2"/>
          </reference>
          <reference field="18" count="1" selected="0">
            <x v="1"/>
          </reference>
          <reference field="19" count="1" selected="0">
            <x v="2"/>
          </reference>
        </references>
      </pivotArea>
    </chartFormat>
    <chartFormat chart="263" format="35">
      <pivotArea type="data" outline="0" fieldPosition="0">
        <references count="4">
          <reference field="4294967294" count="1" selected="0">
            <x v="0"/>
          </reference>
          <reference field="17" count="1" selected="0">
            <x v="2"/>
          </reference>
          <reference field="18" count="1" selected="0">
            <x v="1"/>
          </reference>
          <reference field="19" count="1" selected="0">
            <x v="3"/>
          </reference>
        </references>
      </pivotArea>
    </chartFormat>
    <chartFormat chart="263" format="36">
      <pivotArea type="data" outline="0" fieldPosition="0">
        <references count="4">
          <reference field="4294967294" count="1" selected="0">
            <x v="0"/>
          </reference>
          <reference field="17" count="1" selected="0">
            <x v="2"/>
          </reference>
          <reference field="18" count="1" selected="0">
            <x v="2"/>
          </reference>
          <reference field="19" count="1" selected="0">
            <x v="4"/>
          </reference>
        </references>
      </pivotArea>
    </chartFormat>
    <chartFormat chart="263" format="37" series="1">
      <pivotArea type="data" outline="0" fieldPosition="0">
        <references count="1">
          <reference field="4294967294" count="1" selected="0">
            <x v="1"/>
          </reference>
        </references>
      </pivotArea>
    </chartFormat>
    <chartFormat chart="263" format="38">
      <pivotArea type="data" outline="0" fieldPosition="0">
        <references count="4">
          <reference field="4294967294" count="1" selected="0">
            <x v="1"/>
          </reference>
          <reference field="17" count="1" selected="0">
            <x v="1"/>
          </reference>
          <reference field="18" count="1" selected="0">
            <x v="3"/>
          </reference>
          <reference field="19" count="1" selected="0">
            <x v="9"/>
          </reference>
        </references>
      </pivotArea>
    </chartFormat>
    <chartFormat chart="263" format="39">
      <pivotArea type="data" outline="0" fieldPosition="0">
        <references count="4">
          <reference field="4294967294" count="1" selected="0">
            <x v="1"/>
          </reference>
          <reference field="17" count="1" selected="0">
            <x v="1"/>
          </reference>
          <reference field="18" count="1" selected="0">
            <x v="0"/>
          </reference>
          <reference field="19" count="1" selected="0">
            <x v="11"/>
          </reference>
        </references>
      </pivotArea>
    </chartFormat>
    <chartFormat chart="263" format="40">
      <pivotArea type="data" outline="0" fieldPosition="0">
        <references count="4">
          <reference field="4294967294" count="1" selected="0">
            <x v="1"/>
          </reference>
          <reference field="17" count="1" selected="0">
            <x v="1"/>
          </reference>
          <reference field="18" count="1" selected="0">
            <x v="0"/>
          </reference>
          <reference field="19" count="1" selected="0">
            <x v="12"/>
          </reference>
        </references>
      </pivotArea>
    </chartFormat>
    <chartFormat chart="263" format="41">
      <pivotArea type="data" outline="0" fieldPosition="0">
        <references count="4">
          <reference field="4294967294" count="1" selected="0">
            <x v="1"/>
          </reference>
          <reference field="17" count="1" selected="0">
            <x v="2"/>
          </reference>
          <reference field="18" count="1" selected="0">
            <x v="1"/>
          </reference>
          <reference field="19" count="1" selected="0">
            <x v="1"/>
          </reference>
        </references>
      </pivotArea>
    </chartFormat>
    <chartFormat chart="263" format="42">
      <pivotArea type="data" outline="0" fieldPosition="0">
        <references count="4">
          <reference field="4294967294" count="1" selected="0">
            <x v="1"/>
          </reference>
          <reference field="17" count="1" selected="0">
            <x v="2"/>
          </reference>
          <reference field="18" count="1" selected="0">
            <x v="1"/>
          </reference>
          <reference field="19" count="1" selected="0">
            <x v="2"/>
          </reference>
        </references>
      </pivotArea>
    </chartFormat>
    <chartFormat chart="263" format="43">
      <pivotArea type="data" outline="0" fieldPosition="0">
        <references count="4">
          <reference field="4294967294" count="1" selected="0">
            <x v="1"/>
          </reference>
          <reference field="17" count="1" selected="0">
            <x v="2"/>
          </reference>
          <reference field="18" count="1" selected="0">
            <x v="1"/>
          </reference>
          <reference field="19" count="1" selected="0">
            <x v="3"/>
          </reference>
        </references>
      </pivotArea>
    </chartFormat>
    <chartFormat chart="263" format="44">
      <pivotArea type="data" outline="0" fieldPosition="0">
        <references count="4">
          <reference field="4294967294" count="1" selected="0">
            <x v="1"/>
          </reference>
          <reference field="17" count="1" selected="0">
            <x v="2"/>
          </reference>
          <reference field="18" count="1" selected="0">
            <x v="2"/>
          </reference>
          <reference field="19" count="1" selected="0">
            <x v="4"/>
          </reference>
        </references>
      </pivotArea>
    </chartFormat>
    <chartFormat chart="263" format="45">
      <pivotArea type="data" outline="0" fieldPosition="0">
        <references count="4">
          <reference field="4294967294" count="1" selected="0">
            <x v="0"/>
          </reference>
          <reference field="17" count="1" selected="0">
            <x v="0"/>
          </reference>
          <reference field="18" count="1" selected="0">
            <x v="6"/>
          </reference>
          <reference field="19" count="1" selected="0">
            <x v="0"/>
          </reference>
        </references>
      </pivotArea>
    </chartFormat>
    <chartFormat chart="263" format="46">
      <pivotArea type="data" outline="0" fieldPosition="0">
        <references count="4">
          <reference field="4294967294" count="1" selected="0">
            <x v="1"/>
          </reference>
          <reference field="17" count="1" selected="0">
            <x v="0"/>
          </reference>
          <reference field="18" count="1" selected="0">
            <x v="6"/>
          </reference>
          <reference field="19" count="1" selected="0">
            <x v="0"/>
          </reference>
        </references>
      </pivotArea>
    </chartFormat>
    <chartFormat chart="263" format="47">
      <pivotArea type="data" outline="0" fieldPosition="0">
        <references count="2">
          <reference field="4294967294" count="1" selected="0">
            <x v="0"/>
          </reference>
          <reference field="17" count="1" selected="0">
            <x v="0"/>
          </reference>
        </references>
      </pivotArea>
    </chartFormat>
    <chartFormat chart="263" format="48">
      <pivotArea type="data" outline="0" fieldPosition="0">
        <references count="4">
          <reference field="4294967294" count="1" selected="0">
            <x v="0"/>
          </reference>
          <reference field="17" count="1" selected="0">
            <x v="1"/>
          </reference>
          <reference field="18" count="1" selected="0">
            <x v="3"/>
          </reference>
          <reference field="19" count="1" selected="0">
            <x v="7"/>
          </reference>
        </references>
      </pivotArea>
    </chartFormat>
    <chartFormat chart="263" format="49">
      <pivotArea type="data" outline="0" fieldPosition="0">
        <references count="4">
          <reference field="4294967294" count="1" selected="0">
            <x v="0"/>
          </reference>
          <reference field="17" count="1" selected="0">
            <x v="1"/>
          </reference>
          <reference field="18" count="1" selected="0">
            <x v="0"/>
          </reference>
          <reference field="19" count="1" selected="0">
            <x v="10"/>
          </reference>
        </references>
      </pivotArea>
    </chartFormat>
    <chartFormat chart="263" format="50">
      <pivotArea type="data" outline="0" fieldPosition="0">
        <references count="2">
          <reference field="4294967294" count="1" selected="0">
            <x v="1"/>
          </reference>
          <reference field="17" count="1" selected="0">
            <x v="0"/>
          </reference>
        </references>
      </pivotArea>
    </chartFormat>
    <chartFormat chart="263" format="51">
      <pivotArea type="data" outline="0" fieldPosition="0">
        <references count="4">
          <reference field="4294967294" count="1" selected="0">
            <x v="1"/>
          </reference>
          <reference field="17" count="1" selected="0">
            <x v="1"/>
          </reference>
          <reference field="18" count="1" selected="0">
            <x v="3"/>
          </reference>
          <reference field="19" count="1" selected="0">
            <x v="7"/>
          </reference>
        </references>
      </pivotArea>
    </chartFormat>
    <chartFormat chart="263" format="52">
      <pivotArea type="data" outline="0" fieldPosition="0">
        <references count="4">
          <reference field="4294967294" count="1" selected="0">
            <x v="1"/>
          </reference>
          <reference field="17" count="1" selected="0">
            <x v="1"/>
          </reference>
          <reference field="18" count="1" selected="0">
            <x v="0"/>
          </reference>
          <reference field="19" count="1" selected="0">
            <x v="10"/>
          </reference>
        </references>
      </pivotArea>
    </chartFormat>
    <chartFormat chart="263" format="53" series="1">
      <pivotArea type="data" outline="0" fieldPosition="0">
        <references count="1">
          <reference field="4294967294" count="1" selected="0">
            <x v="2"/>
          </reference>
        </references>
      </pivotArea>
    </chartFormat>
    <chartFormat chart="263" format="54">
      <pivotArea type="data" outline="0" fieldPosition="0">
        <references count="4">
          <reference field="4294967294" count="1" selected="0">
            <x v="1"/>
          </reference>
          <reference field="17" count="1" selected="0">
            <x v="2"/>
          </reference>
          <reference field="18" count="1" selected="0">
            <x v="2"/>
          </reference>
          <reference field="19" count="1" selected="0">
            <x v="5"/>
          </reference>
        </references>
      </pivotArea>
    </chartFormat>
    <chartFormat chart="263" format="55">
      <pivotArea type="data" outline="0" fieldPosition="0">
        <references count="4">
          <reference field="4294967294" count="1" selected="0">
            <x v="1"/>
          </reference>
          <reference field="17" count="1" selected="0">
            <x v="2"/>
          </reference>
          <reference field="18" count="1" selected="0">
            <x v="3"/>
          </reference>
          <reference field="19" count="1" selected="0">
            <x v="7"/>
          </reference>
        </references>
      </pivotArea>
    </chartFormat>
    <chartFormat chart="263" format="56">
      <pivotArea type="data" outline="0" fieldPosition="0">
        <references count="4">
          <reference field="4294967294" count="1" selected="0">
            <x v="1"/>
          </reference>
          <reference field="17" count="1" selected="0">
            <x v="2"/>
          </reference>
          <reference field="18" count="1" selected="0">
            <x v="3"/>
          </reference>
          <reference field="19" count="1" selected="0">
            <x v="8"/>
          </reference>
        </references>
      </pivotArea>
    </chartFormat>
    <chartFormat chart="263" format="57">
      <pivotArea type="data" outline="0" fieldPosition="0">
        <references count="4">
          <reference field="4294967294" count="1" selected="0">
            <x v="1"/>
          </reference>
          <reference field="17" count="1" selected="0">
            <x v="2"/>
          </reference>
          <reference field="18" count="1" selected="0">
            <x v="2"/>
          </reference>
          <reference field="19" count="1" selected="0">
            <x v="6"/>
          </reference>
        </references>
      </pivotArea>
    </chartFormat>
    <chartFormat chart="263" format="58">
      <pivotArea type="data" outline="0" fieldPosition="0">
        <references count="4">
          <reference field="4294967294" count="1" selected="0">
            <x v="1"/>
          </reference>
          <reference field="17" count="1" selected="0">
            <x v="2"/>
          </reference>
          <reference field="18" count="1" selected="0">
            <x v="3"/>
          </reference>
          <reference field="19" count="1" selected="0">
            <x v="9"/>
          </reference>
        </references>
      </pivotArea>
    </chartFormat>
    <chartFormat chart="263" format="59">
      <pivotArea type="data" outline="0" fieldPosition="0">
        <references count="4">
          <reference field="4294967294" count="1" selected="0">
            <x v="1"/>
          </reference>
          <reference field="17" count="1" selected="0">
            <x v="2"/>
          </reference>
          <reference field="18" count="1" selected="0">
            <x v="0"/>
          </reference>
          <reference field="1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7">
  <location ref="A5:P12" firstHeaderRow="1" firstDataRow="2" firstDataCol="1" rowPageCount="1" colPageCount="1"/>
  <pivotFields count="32">
    <pivotField showAll="0"/>
    <pivotField axis="axisPage" multipleItemSelectionAllowed="1" showAll="0">
      <items count="13">
        <item h="1" x="1"/>
        <item h="1" x="3"/>
        <item h="1" m="1" x="7"/>
        <item h="1" m="1" x="6"/>
        <item x="0"/>
        <item h="1" m="1" x="10"/>
        <item h="1" m="1" x="8"/>
        <item h="1" m="1" x="9"/>
        <item h="1" m="1" x="11"/>
        <item h="1" x="4"/>
        <item h="1" m="1" x="5"/>
        <item h="1" x="2"/>
        <item t="default"/>
      </items>
    </pivotField>
    <pivotField axis="axisRow" multipleItemSelectionAllowed="1" showAll="0" sortType="ascending">
      <items count="114">
        <item x="26"/>
        <item x="4"/>
        <item x="3"/>
        <item x="43"/>
        <item m="1" x="90"/>
        <item m="1" x="107"/>
        <item m="1" x="103"/>
        <item m="1" x="105"/>
        <item m="1" x="106"/>
        <item m="1" x="84"/>
        <item m="1" x="91"/>
        <item m="1" x="92"/>
        <item m="1" x="85"/>
        <item m="1" x="108"/>
        <item m="1" x="93"/>
        <item m="1" x="101"/>
        <item m="1" x="99"/>
        <item m="1" x="98"/>
        <item m="1" x="112"/>
        <item m="1" x="94"/>
        <item m="1" x="95"/>
        <item m="1" x="97"/>
        <item x="34"/>
        <item m="1" x="102"/>
        <item m="1" x="96"/>
        <item m="1" x="87"/>
        <item m="1" x="86"/>
        <item m="1" x="100"/>
        <item m="1" x="104"/>
        <item m="1" x="89"/>
        <item m="1" x="88"/>
        <item m="1" x="73"/>
        <item x="51"/>
        <item x="54"/>
        <item x="12"/>
        <item x="1"/>
        <item x="39"/>
        <item x="35"/>
        <item x="30"/>
        <item x="31"/>
        <item m="1" x="110"/>
        <item x="59"/>
        <item x="42"/>
        <item m="1" x="69"/>
        <item m="1" x="68"/>
        <item x="63"/>
        <item m="1" x="71"/>
        <item x="22"/>
        <item m="1" x="70"/>
        <item m="1" x="83"/>
        <item m="1" x="74"/>
        <item m="1" x="67"/>
        <item m="1" x="72"/>
        <item x="24"/>
        <item x="55"/>
        <item x="50"/>
        <item x="60"/>
        <item m="1" x="80"/>
        <item x="49"/>
        <item x="28"/>
        <item x="57"/>
        <item x="56"/>
        <item x="45"/>
        <item m="1" x="81"/>
        <item x="20"/>
        <item x="38"/>
        <item x="41"/>
        <item x="9"/>
        <item m="1" x="111"/>
        <item x="16"/>
        <item x="36"/>
        <item x="2"/>
        <item m="1" x="78"/>
        <item m="1" x="75"/>
        <item m="1" x="79"/>
        <item m="1" x="77"/>
        <item m="1" x="76"/>
        <item x="23"/>
        <item x="61"/>
        <item x="62"/>
        <item x="64"/>
        <item x="40"/>
        <item x="58"/>
        <item x="44"/>
        <item x="32"/>
        <item x="18"/>
        <item x="29"/>
        <item x="25"/>
        <item x="19"/>
        <item x="27"/>
        <item x="21"/>
        <item x="65"/>
        <item x="33"/>
        <item x="15"/>
        <item m="1" x="109"/>
        <item x="52"/>
        <item x="37"/>
        <item x="0"/>
        <item x="7"/>
        <item x="8"/>
        <item x="5"/>
        <item x="53"/>
        <item x="47"/>
        <item x="48"/>
        <item x="11"/>
        <item x="6"/>
        <item m="1" x="82"/>
        <item x="14"/>
        <item x="13"/>
        <item x="46"/>
        <item x="10"/>
        <item x="17"/>
        <item m="1" x="66"/>
        <item t="default"/>
      </items>
    </pivotField>
    <pivotField showAll="0"/>
    <pivotField axis="axisCol" showAll="0">
      <items count="75">
        <item x="38"/>
        <item x="17"/>
        <item m="1" x="62"/>
        <item m="1" x="64"/>
        <item m="1" x="65"/>
        <item m="1" x="66"/>
        <item x="30"/>
        <item m="1" x="63"/>
        <item m="1" x="58"/>
        <item m="1" x="60"/>
        <item x="9"/>
        <item x="10"/>
        <item x="15"/>
        <item x="16"/>
        <item x="18"/>
        <item x="32"/>
        <item x="31"/>
        <item m="1" x="61"/>
        <item m="1" x="59"/>
        <item x="11"/>
        <item x="12"/>
        <item x="14"/>
        <item m="1" x="70"/>
        <item m="1" x="73"/>
        <item x="23"/>
        <item x="1"/>
        <item m="1" x="67"/>
        <item m="1" x="68"/>
        <item m="1" x="69"/>
        <item m="1" x="71"/>
        <item x="50"/>
        <item x="24"/>
        <item x="39"/>
        <item m="1" x="72"/>
        <item x="0"/>
        <item x="7"/>
        <item x="8"/>
        <item x="5"/>
        <item x="6"/>
        <item x="4"/>
        <item x="3"/>
        <item x="21"/>
        <item m="1" x="56"/>
        <item x="19"/>
        <item x="20"/>
        <item m="1" x="54"/>
        <item x="22"/>
        <item m="1" x="57"/>
        <item x="26"/>
        <item x="27"/>
        <item x="29"/>
        <item x="13"/>
        <item x="34"/>
        <item x="35"/>
        <item m="1" x="55"/>
        <item x="37"/>
        <item x="40"/>
        <item x="36"/>
        <item x="41"/>
        <item x="42"/>
        <item x="43"/>
        <item x="2"/>
        <item x="45"/>
        <item x="46"/>
        <item x="47"/>
        <item x="49"/>
        <item x="25"/>
        <item x="28"/>
        <item x="33"/>
        <item x="44"/>
        <item x="48"/>
        <item x="52"/>
        <item x="53"/>
        <item x="51"/>
        <item t="default"/>
      </items>
    </pivotField>
    <pivotField showAll="0"/>
    <pivotField showAll="0"/>
    <pivotField numFmtId="20" showAll="0"/>
    <pivotField name="سال توقف - کلی" axis="axisRow" showAll="0">
      <items count="5">
        <item h="1" x="0"/>
        <item x="1"/>
        <item h="1" x="2"/>
        <item h="1" m="1" x="3"/>
        <item t="default"/>
      </items>
    </pivotField>
    <pivotField name="فصل توقف - کلی" axis="axisRow" showAll="0" nonAutoSortDefault="1">
      <items count="7">
        <item h="1" x="3"/>
        <item x="0"/>
        <item h="1" x="1"/>
        <item h="1" x="2"/>
        <item h="1" sd="0" x="4"/>
        <item h="1" m="1" x="5"/>
        <item t="default"/>
      </items>
    </pivotField>
    <pivotField name="ماه توقف - کلی" axis="axisRow" showAll="0" sortType="ascending">
      <items count="15">
        <item sd="0" m="1" x="13"/>
        <item sd="0" x="7"/>
        <item sd="0" x="8"/>
        <item sd="0" x="9"/>
        <item sd="0" x="10"/>
        <item sd="0" x="0"/>
        <item sd="0" x="11"/>
        <item sd="0" x="1"/>
        <item sd="0" x="2"/>
        <item sd="0" x="3"/>
        <item x="4"/>
        <item sd="0" x="5"/>
        <item sd="0" x="6"/>
        <item x="12"/>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4">
    <field x="8"/>
    <field x="9"/>
    <field x="10"/>
    <field x="2"/>
  </rowFields>
  <rowItems count="6">
    <i>
      <x v="1"/>
    </i>
    <i r="1">
      <x v="1"/>
    </i>
    <i r="2">
      <x v="4"/>
    </i>
    <i r="2">
      <x v="5"/>
    </i>
    <i r="2">
      <x v="6"/>
    </i>
    <i t="grand">
      <x/>
    </i>
  </rowItems>
  <colFields count="1">
    <field x="4"/>
  </colFields>
  <colItems count="15">
    <i>
      <x v="21"/>
    </i>
    <i>
      <x v="35"/>
    </i>
    <i>
      <x v="36"/>
    </i>
    <i>
      <x v="37"/>
    </i>
    <i>
      <x v="38"/>
    </i>
    <i>
      <x v="39"/>
    </i>
    <i>
      <x v="40"/>
    </i>
    <i>
      <x v="48"/>
    </i>
    <i>
      <x v="49"/>
    </i>
    <i>
      <x v="51"/>
    </i>
    <i>
      <x v="52"/>
    </i>
    <i>
      <x v="56"/>
    </i>
    <i>
      <x v="58"/>
    </i>
    <i>
      <x v="60"/>
    </i>
    <i t="grand">
      <x/>
    </i>
  </colItems>
  <pageFields count="1">
    <pageField fld="1" hier="-1"/>
  </pageFields>
  <dataFields count="1">
    <dataField name="Average of TBF(hours)" fld="30" subtotal="average" baseField="1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800-00000B000000}"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3:U44" firstHeaderRow="1" firstDataRow="2" firstDataCol="1" rowPageCount="1" colPageCount="1"/>
  <pivotFields count="32">
    <pivotField showAll="0"/>
    <pivotField axis="axisPage" multipleItemSelectionAllowed="1" showAll="0">
      <items count="13">
        <item h="1" x="1"/>
        <item h="1" x="3"/>
        <item h="1" m="1" x="7"/>
        <item h="1" m="1" x="6"/>
        <item x="0"/>
        <item h="1" m="1" x="10"/>
        <item h="1" m="1" x="8"/>
        <item h="1" m="1" x="9"/>
        <item h="1" m="1" x="11"/>
        <item h="1" x="4"/>
        <item h="1" m="1" x="5"/>
        <item h="1" x="2"/>
        <item t="default"/>
      </items>
    </pivotField>
    <pivotField axis="axisRow" showAll="0">
      <items count="114">
        <item x="4"/>
        <item x="3"/>
        <item m="1" x="90"/>
        <item m="1" x="107"/>
        <item m="1" x="103"/>
        <item m="1" x="105"/>
        <item m="1" x="106"/>
        <item m="1" x="84"/>
        <item m="1" x="91"/>
        <item m="1" x="92"/>
        <item m="1" x="85"/>
        <item m="1" x="108"/>
        <item m="1" x="93"/>
        <item m="1" x="101"/>
        <item m="1" x="99"/>
        <item m="1" x="98"/>
        <item m="1" x="112"/>
        <item m="1" x="94"/>
        <item m="1" x="95"/>
        <item m="1" x="97"/>
        <item m="1" x="102"/>
        <item m="1" x="96"/>
        <item m="1" x="87"/>
        <item m="1" x="86"/>
        <item m="1" x="100"/>
        <item m="1" x="104"/>
        <item m="1" x="89"/>
        <item m="1" x="88"/>
        <item x="12"/>
        <item x="1"/>
        <item m="1" x="110"/>
        <item m="1" x="68"/>
        <item x="22"/>
        <item m="1" x="83"/>
        <item m="1" x="74"/>
        <item x="9"/>
        <item m="1" x="111"/>
        <item x="16"/>
        <item m="1" x="78"/>
        <item x="29"/>
        <item x="19"/>
        <item x="21"/>
        <item x="15"/>
        <item m="1" x="109"/>
        <item x="0"/>
        <item x="7"/>
        <item x="8"/>
        <item x="5"/>
        <item x="47"/>
        <item x="11"/>
        <item x="6"/>
        <item x="14"/>
        <item x="13"/>
        <item x="10"/>
        <item x="17"/>
        <item m="1" x="66"/>
        <item x="53"/>
        <item x="48"/>
        <item m="1" x="73"/>
        <item m="1" x="76"/>
        <item x="23"/>
        <item x="24"/>
        <item x="25"/>
        <item m="1" x="69"/>
        <item m="1" x="80"/>
        <item x="27"/>
        <item m="1" x="77"/>
        <item m="1" x="81"/>
        <item x="28"/>
        <item x="30"/>
        <item m="1" x="79"/>
        <item x="31"/>
        <item m="1" x="82"/>
        <item x="33"/>
        <item m="1" x="75"/>
        <item x="20"/>
        <item x="34"/>
        <item m="1" x="72"/>
        <item x="36"/>
        <item x="37"/>
        <item x="38"/>
        <item x="39"/>
        <item x="40"/>
        <item x="41"/>
        <item x="42"/>
        <item x="43"/>
        <item x="44"/>
        <item x="45"/>
        <item x="46"/>
        <item m="1" x="70"/>
        <item x="49"/>
        <item x="50"/>
        <item x="2"/>
        <item x="52"/>
        <item x="54"/>
        <item x="55"/>
        <item x="56"/>
        <item x="57"/>
        <item m="1" x="71"/>
        <item x="59"/>
        <item x="60"/>
        <item x="61"/>
        <item x="18"/>
        <item x="35"/>
        <item x="26"/>
        <item x="32"/>
        <item x="51"/>
        <item x="58"/>
        <item x="63"/>
        <item m="1" x="67"/>
        <item x="65"/>
        <item x="64"/>
        <item x="62"/>
        <item t="default"/>
      </items>
    </pivotField>
    <pivotField showAll="0"/>
    <pivotField axis="axisCol" showAll="0">
      <items count="75">
        <item x="38"/>
        <item x="17"/>
        <item m="1" x="62"/>
        <item m="1" x="64"/>
        <item m="1" x="65"/>
        <item m="1" x="66"/>
        <item x="30"/>
        <item m="1" x="63"/>
        <item m="1" x="58"/>
        <item m="1" x="60"/>
        <item x="9"/>
        <item x="10"/>
        <item x="15"/>
        <item x="16"/>
        <item x="18"/>
        <item x="32"/>
        <item x="31"/>
        <item m="1" x="61"/>
        <item m="1" x="59"/>
        <item x="11"/>
        <item x="12"/>
        <item x="14"/>
        <item m="1" x="70"/>
        <item m="1" x="73"/>
        <item x="23"/>
        <item x="1"/>
        <item m="1" x="67"/>
        <item m="1" x="68"/>
        <item m="1" x="69"/>
        <item m="1" x="71"/>
        <item x="50"/>
        <item x="24"/>
        <item x="39"/>
        <item m="1" x="72"/>
        <item x="0"/>
        <item x="7"/>
        <item x="8"/>
        <item x="5"/>
        <item x="6"/>
        <item x="4"/>
        <item x="3"/>
        <item m="1" x="56"/>
        <item x="19"/>
        <item x="20"/>
        <item m="1" x="54"/>
        <item x="22"/>
        <item m="1" x="57"/>
        <item x="21"/>
        <item x="26"/>
        <item x="27"/>
        <item x="29"/>
        <item x="13"/>
        <item x="34"/>
        <item x="35"/>
        <item m="1" x="55"/>
        <item x="37"/>
        <item x="40"/>
        <item x="36"/>
        <item x="41"/>
        <item x="42"/>
        <item x="43"/>
        <item x="2"/>
        <item x="45"/>
        <item x="46"/>
        <item x="47"/>
        <item x="49"/>
        <item x="25"/>
        <item x="28"/>
        <item x="33"/>
        <item x="44"/>
        <item x="48"/>
        <item x="52"/>
        <item x="53"/>
        <item x="51"/>
        <item t="default"/>
      </items>
    </pivotField>
    <pivotField showAll="0"/>
    <pivotField showAll="0"/>
    <pivotField numFmtId="20" showAll="0"/>
    <pivotField showAll="0"/>
    <pivotField showAll="0"/>
    <pivotField showAll="0"/>
    <pivotField showAll="0"/>
    <pivotField showAll="0"/>
    <pivotField showAll="0"/>
    <pivotField showAll="0"/>
    <pivotField showAll="0"/>
    <pivotField showAll="0"/>
    <pivotField name="سال توقف - کلی" axis="axisRow" showAll="0">
      <items count="5">
        <item m="1" x="2"/>
        <item x="0"/>
        <item x="1"/>
        <item m="1" x="3"/>
        <item t="default"/>
      </items>
    </pivotField>
    <pivotField name="فصل توقف  - کلی" axis="axisRow" showAll="0" nonAutoSortDefault="1">
      <items count="10">
        <item x="2"/>
        <item x="3"/>
        <item x="0"/>
        <item x="1"/>
        <item m="1" x="6"/>
        <item m="1" x="8"/>
        <item m="1" x="7"/>
        <item m="1" x="5"/>
        <item h="1" m="1" x="4"/>
        <item t="default"/>
      </items>
    </pivotField>
    <pivotField name="ماه توقف  - کلی" axis="axisRow" showAll="0" sortType="ascending">
      <items count="14">
        <item m="1" x="12"/>
        <item sd="0" x="6"/>
        <item sd="0" x="7"/>
        <item sd="0" x="8"/>
        <item sd="0" x="9"/>
        <item x="10"/>
        <item x="11"/>
        <item sd="0" x="1"/>
        <item sd="0" x="2"/>
        <item sd="0" x="0"/>
        <item sd="0" x="3"/>
        <item sd="0" x="4"/>
        <item sd="0"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4">
    <field x="17"/>
    <field x="18"/>
    <field x="19"/>
    <field x="2"/>
  </rowFields>
  <rowItems count="40">
    <i>
      <x v="1"/>
    </i>
    <i r="1">
      <x v="2"/>
    </i>
    <i r="2">
      <x v="8"/>
    </i>
    <i r="2">
      <x v="9"/>
    </i>
    <i r="1">
      <x v="3"/>
    </i>
    <i r="2">
      <x v="11"/>
    </i>
    <i r="2">
      <x v="12"/>
    </i>
    <i>
      <x v="2"/>
    </i>
    <i r="1">
      <x/>
    </i>
    <i r="2">
      <x v="1"/>
    </i>
    <i r="2">
      <x v="2"/>
    </i>
    <i r="2">
      <x v="3"/>
    </i>
    <i r="1">
      <x v="1"/>
    </i>
    <i r="2">
      <x v="4"/>
    </i>
    <i r="2">
      <x v="5"/>
    </i>
    <i r="3">
      <x/>
    </i>
    <i r="3">
      <x v="1"/>
    </i>
    <i r="3">
      <x v="45"/>
    </i>
    <i r="3">
      <x v="46"/>
    </i>
    <i r="3">
      <x v="47"/>
    </i>
    <i r="3">
      <x v="61"/>
    </i>
    <i r="3">
      <x v="75"/>
    </i>
    <i r="3">
      <x v="80"/>
    </i>
    <i r="2">
      <x v="6"/>
    </i>
    <i r="3">
      <x/>
    </i>
    <i r="3">
      <x v="45"/>
    </i>
    <i r="3">
      <x v="47"/>
    </i>
    <i r="3">
      <x v="61"/>
    </i>
    <i r="3">
      <x v="75"/>
    </i>
    <i r="3">
      <x v="80"/>
    </i>
    <i r="3">
      <x v="83"/>
    </i>
    <i r="3">
      <x v="84"/>
    </i>
    <i r="1">
      <x v="2"/>
    </i>
    <i r="2">
      <x v="7"/>
    </i>
    <i r="2">
      <x v="8"/>
    </i>
    <i r="2">
      <x v="9"/>
    </i>
    <i r="1">
      <x v="3"/>
    </i>
    <i r="2">
      <x v="10"/>
    </i>
    <i r="2">
      <x v="11"/>
    </i>
    <i t="grand">
      <x/>
    </i>
  </rowItems>
  <colFields count="1">
    <field x="4"/>
  </colFields>
  <colItems count="20">
    <i>
      <x v="21"/>
    </i>
    <i>
      <x v="34"/>
    </i>
    <i>
      <x v="35"/>
    </i>
    <i>
      <x v="36"/>
    </i>
    <i>
      <x v="37"/>
    </i>
    <i>
      <x v="38"/>
    </i>
    <i>
      <x v="39"/>
    </i>
    <i>
      <x v="40"/>
    </i>
    <i>
      <x v="43"/>
    </i>
    <i>
      <x v="48"/>
    </i>
    <i>
      <x v="49"/>
    </i>
    <i>
      <x v="51"/>
    </i>
    <i>
      <x v="52"/>
    </i>
    <i>
      <x v="56"/>
    </i>
    <i>
      <x v="58"/>
    </i>
    <i>
      <x v="60"/>
    </i>
    <i>
      <x v="62"/>
    </i>
    <i>
      <x v="65"/>
    </i>
    <i>
      <x v="72"/>
    </i>
    <i t="grand">
      <x/>
    </i>
  </colItems>
  <pageFields count="1">
    <pageField fld="1" hier="-1"/>
  </pageFields>
  <dataFields count="1">
    <dataField name="Average of TTR(mints)" fld="25" subtotal="average" baseField="1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800-000009000000}"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5:D18" firstHeaderRow="0" firstDataRow="1" firstDataCol="1" rowPageCount="3" colPageCount="1"/>
  <pivotFields count="32">
    <pivotField showAll="0"/>
    <pivotField axis="axisPage" multipleItemSelectionAllowed="1" showAll="0">
      <items count="13">
        <item x="1"/>
        <item x="3"/>
        <item m="1" x="7"/>
        <item m="1" x="6"/>
        <item x="0"/>
        <item m="1" x="10"/>
        <item m="1" x="8"/>
        <item m="1" x="9"/>
        <item m="1" x="11"/>
        <item x="4"/>
        <item m="1" x="5"/>
        <item x="2"/>
        <item t="default"/>
      </items>
    </pivotField>
    <pivotField axis="axisPage" showAll="0">
      <items count="114">
        <item x="4"/>
        <item x="3"/>
        <item m="1" x="90"/>
        <item m="1" x="107"/>
        <item m="1" x="103"/>
        <item m="1" x="105"/>
        <item m="1" x="106"/>
        <item m="1" x="84"/>
        <item m="1" x="91"/>
        <item m="1" x="92"/>
        <item m="1" x="85"/>
        <item m="1" x="108"/>
        <item m="1" x="93"/>
        <item m="1" x="101"/>
        <item m="1" x="99"/>
        <item m="1" x="98"/>
        <item m="1" x="112"/>
        <item m="1" x="94"/>
        <item m="1" x="95"/>
        <item m="1" x="97"/>
        <item m="1" x="102"/>
        <item m="1" x="96"/>
        <item m="1" x="87"/>
        <item m="1" x="86"/>
        <item m="1" x="100"/>
        <item m="1" x="104"/>
        <item m="1" x="89"/>
        <item m="1" x="88"/>
        <item x="12"/>
        <item x="1"/>
        <item m="1" x="110"/>
        <item m="1" x="68"/>
        <item x="22"/>
        <item m="1" x="83"/>
        <item m="1" x="74"/>
        <item x="9"/>
        <item m="1" x="111"/>
        <item x="16"/>
        <item m="1" x="78"/>
        <item x="29"/>
        <item x="19"/>
        <item x="21"/>
        <item x="15"/>
        <item m="1" x="109"/>
        <item x="0"/>
        <item x="7"/>
        <item x="8"/>
        <item x="5"/>
        <item x="47"/>
        <item x="11"/>
        <item x="6"/>
        <item x="14"/>
        <item x="13"/>
        <item x="10"/>
        <item x="17"/>
        <item m="1" x="66"/>
        <item x="53"/>
        <item x="48"/>
        <item m="1" x="73"/>
        <item m="1" x="76"/>
        <item x="23"/>
        <item x="24"/>
        <item x="25"/>
        <item m="1" x="69"/>
        <item m="1" x="80"/>
        <item x="27"/>
        <item m="1" x="77"/>
        <item m="1" x="81"/>
        <item x="28"/>
        <item x="30"/>
        <item m="1" x="79"/>
        <item x="31"/>
        <item m="1" x="82"/>
        <item x="33"/>
        <item m="1" x="75"/>
        <item x="20"/>
        <item x="34"/>
        <item m="1" x="72"/>
        <item x="36"/>
        <item x="37"/>
        <item x="38"/>
        <item x="39"/>
        <item x="40"/>
        <item x="41"/>
        <item x="42"/>
        <item x="43"/>
        <item x="44"/>
        <item x="45"/>
        <item x="46"/>
        <item m="1" x="70"/>
        <item x="49"/>
        <item x="50"/>
        <item x="2"/>
        <item x="52"/>
        <item x="54"/>
        <item x="55"/>
        <item x="56"/>
        <item x="57"/>
        <item m="1" x="71"/>
        <item x="59"/>
        <item x="60"/>
        <item x="61"/>
        <item x="18"/>
        <item x="35"/>
        <item x="26"/>
        <item x="32"/>
        <item x="51"/>
        <item x="58"/>
        <item x="63"/>
        <item m="1" x="67"/>
        <item x="65"/>
        <item x="64"/>
        <item x="62"/>
        <item t="default"/>
      </items>
    </pivotField>
    <pivotField showAll="0"/>
    <pivotField axis="axisPage" multipleItemSelectionAllowed="1" showAll="0">
      <items count="75">
        <item x="38"/>
        <item x="17"/>
        <item m="1" x="62"/>
        <item m="1" x="64"/>
        <item m="1" x="65"/>
        <item m="1" x="66"/>
        <item x="30"/>
        <item m="1" x="63"/>
        <item m="1" x="58"/>
        <item m="1" x="60"/>
        <item x="9"/>
        <item x="10"/>
        <item x="15"/>
        <item x="16"/>
        <item x="18"/>
        <item x="32"/>
        <item x="31"/>
        <item m="1" x="61"/>
        <item m="1" x="59"/>
        <item x="11"/>
        <item x="12"/>
        <item x="14"/>
        <item m="1" x="70"/>
        <item m="1" x="73"/>
        <item x="23"/>
        <item x="1"/>
        <item m="1" x="67"/>
        <item m="1" x="68"/>
        <item m="1" x="69"/>
        <item m="1" x="71"/>
        <item x="50"/>
        <item x="24"/>
        <item x="39"/>
        <item m="1" x="72"/>
        <item x="0"/>
        <item x="7"/>
        <item x="8"/>
        <item x="5"/>
        <item x="6"/>
        <item x="4"/>
        <item x="3"/>
        <item m="1" x="56"/>
        <item x="19"/>
        <item x="20"/>
        <item m="1" x="54"/>
        <item x="22"/>
        <item m="1" x="57"/>
        <item x="21"/>
        <item x="26"/>
        <item x="27"/>
        <item x="29"/>
        <item x="13"/>
        <item x="34"/>
        <item x="35"/>
        <item m="1" x="55"/>
        <item x="37"/>
        <item x="40"/>
        <item x="36"/>
        <item x="41"/>
        <item x="42"/>
        <item x="43"/>
        <item x="2"/>
        <item x="45"/>
        <item x="46"/>
        <item x="47"/>
        <item x="49"/>
        <item x="25"/>
        <item x="28"/>
        <item x="33"/>
        <item x="44"/>
        <item x="48"/>
        <item x="52"/>
        <item x="53"/>
        <item x="51"/>
        <item t="default"/>
      </items>
    </pivotField>
    <pivotField showAll="0"/>
    <pivotField showAll="0"/>
    <pivotField numFmtId="20" showAll="0"/>
    <pivotField axis="axisRow" showAll="0">
      <items count="5">
        <item h="1" x="0"/>
        <item x="1"/>
        <item h="1" x="2"/>
        <item h="1" m="1" x="3"/>
        <item t="default"/>
      </items>
    </pivotField>
    <pivotField axis="axisRow" showAll="0" sortType="ascending">
      <items count="7">
        <item x="3"/>
        <item x="1"/>
        <item x="0"/>
        <item x="2"/>
        <item m="1" x="5"/>
        <item x="4"/>
        <item t="default"/>
      </items>
    </pivotField>
    <pivotField axis="axisRow"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3">
    <field x="8"/>
    <field x="9"/>
    <field x="10"/>
  </rowFields>
  <rowItems count="13">
    <i>
      <x v="1"/>
    </i>
    <i r="1">
      <x/>
    </i>
    <i r="2">
      <x v="1"/>
    </i>
    <i r="2">
      <x v="2"/>
    </i>
    <i r="2">
      <x v="3"/>
    </i>
    <i r="1">
      <x v="1"/>
    </i>
    <i r="2">
      <x v="7"/>
    </i>
    <i r="2">
      <x v="8"/>
    </i>
    <i r="1">
      <x v="2"/>
    </i>
    <i r="2">
      <x v="4"/>
    </i>
    <i r="2">
      <x v="5"/>
    </i>
    <i r="2">
      <x v="6"/>
    </i>
    <i t="grand">
      <x/>
    </i>
  </rowItems>
  <colFields count="1">
    <field x="-2"/>
  </colFields>
  <colItems count="3">
    <i>
      <x/>
    </i>
    <i i="1">
      <x v="1"/>
    </i>
    <i i="2">
      <x v="2"/>
    </i>
  </colItems>
  <pageFields count="3">
    <pageField fld="1" hier="-1"/>
    <pageField fld="2" item="45" hier="-1"/>
    <pageField fld="4" hier="-1"/>
  </pageFields>
  <dataFields count="3">
    <dataField name="Average of مبنا MTBF" fld="28" subtotal="average" baseField="9" baseItem="0"/>
    <dataField name="Average of هدف MTBF" fld="29" subtotal="average" baseField="9" baseItem="0"/>
    <dataField name="Average of TBF(hours)" fld="30" subtotal="average" baseField="9" baseItem="1"/>
  </dataFields>
  <chartFormats count="3">
    <chartFormat chart="80" format="26" series="1">
      <pivotArea type="data" outline="0" fieldPosition="0">
        <references count="1">
          <reference field="4294967294" count="1" selected="0">
            <x v="0"/>
          </reference>
        </references>
      </pivotArea>
    </chartFormat>
    <chartFormat chart="80" format="27" series="1">
      <pivotArea type="data" outline="0" fieldPosition="0">
        <references count="1">
          <reference field="4294967294" count="1" selected="0">
            <x v="1"/>
          </reference>
        </references>
      </pivotArea>
    </chartFormat>
    <chartFormat chart="80" format="2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800-00000A000000}"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A5:D18" firstHeaderRow="0" firstDataRow="1" firstDataCol="1" rowPageCount="3" colPageCount="1"/>
  <pivotFields count="32">
    <pivotField showAll="0"/>
    <pivotField axis="axisPage" multipleItemSelectionAllowed="1" showAll="0">
      <items count="13">
        <item x="1"/>
        <item x="3"/>
        <item m="1" x="7"/>
        <item m="1" x="6"/>
        <item x="0"/>
        <item m="1" x="10"/>
        <item m="1" x="8"/>
        <item m="1" x="9"/>
        <item m="1" x="11"/>
        <item x="4"/>
        <item m="1" x="5"/>
        <item x="2"/>
        <item t="default"/>
      </items>
    </pivotField>
    <pivotField axis="axisPage" showAll="0">
      <items count="114">
        <item x="4"/>
        <item x="3"/>
        <item m="1" x="90"/>
        <item m="1" x="107"/>
        <item m="1" x="103"/>
        <item m="1" x="105"/>
        <item m="1" x="106"/>
        <item m="1" x="84"/>
        <item m="1" x="91"/>
        <item m="1" x="92"/>
        <item m="1" x="85"/>
        <item m="1" x="108"/>
        <item m="1" x="93"/>
        <item m="1" x="101"/>
        <item m="1" x="99"/>
        <item m="1" x="98"/>
        <item m="1" x="112"/>
        <item m="1" x="94"/>
        <item m="1" x="95"/>
        <item m="1" x="97"/>
        <item m="1" x="102"/>
        <item m="1" x="96"/>
        <item m="1" x="87"/>
        <item m="1" x="86"/>
        <item m="1" x="100"/>
        <item m="1" x="104"/>
        <item m="1" x="89"/>
        <item m="1" x="88"/>
        <item x="12"/>
        <item x="1"/>
        <item m="1" x="110"/>
        <item m="1" x="68"/>
        <item x="22"/>
        <item m="1" x="83"/>
        <item m="1" x="74"/>
        <item x="9"/>
        <item m="1" x="111"/>
        <item x="16"/>
        <item m="1" x="78"/>
        <item x="29"/>
        <item x="19"/>
        <item x="21"/>
        <item x="15"/>
        <item m="1" x="109"/>
        <item x="0"/>
        <item x="7"/>
        <item x="8"/>
        <item x="5"/>
        <item x="47"/>
        <item x="11"/>
        <item x="6"/>
        <item x="14"/>
        <item x="13"/>
        <item x="10"/>
        <item x="17"/>
        <item m="1" x="66"/>
        <item x="53"/>
        <item x="48"/>
        <item m="1" x="73"/>
        <item m="1" x="76"/>
        <item x="23"/>
        <item x="24"/>
        <item x="25"/>
        <item m="1" x="69"/>
        <item m="1" x="80"/>
        <item x="27"/>
        <item m="1" x="77"/>
        <item m="1" x="81"/>
        <item x="28"/>
        <item x="30"/>
        <item m="1" x="79"/>
        <item x="31"/>
        <item m="1" x="82"/>
        <item x="33"/>
        <item m="1" x="75"/>
        <item x="20"/>
        <item x="34"/>
        <item m="1" x="72"/>
        <item x="36"/>
        <item x="37"/>
        <item x="38"/>
        <item x="39"/>
        <item x="40"/>
        <item x="41"/>
        <item x="42"/>
        <item x="43"/>
        <item x="44"/>
        <item x="45"/>
        <item x="46"/>
        <item m="1" x="70"/>
        <item x="49"/>
        <item x="50"/>
        <item x="2"/>
        <item x="52"/>
        <item x="54"/>
        <item x="55"/>
        <item x="56"/>
        <item x="57"/>
        <item m="1" x="71"/>
        <item x="59"/>
        <item x="60"/>
        <item x="61"/>
        <item x="18"/>
        <item x="35"/>
        <item x="26"/>
        <item x="32"/>
        <item x="51"/>
        <item x="58"/>
        <item x="63"/>
        <item m="1" x="67"/>
        <item x="65"/>
        <item x="64"/>
        <item x="62"/>
        <item t="default"/>
      </items>
    </pivotField>
    <pivotField showAll="0"/>
    <pivotField axis="axisPage" multipleItemSelectionAllowed="1" showAll="0">
      <items count="75">
        <item x="38"/>
        <item x="17"/>
        <item m="1" x="62"/>
        <item m="1" x="64"/>
        <item m="1" x="65"/>
        <item m="1" x="66"/>
        <item x="30"/>
        <item m="1" x="63"/>
        <item m="1" x="58"/>
        <item m="1" x="60"/>
        <item x="9"/>
        <item x="10"/>
        <item x="15"/>
        <item x="16"/>
        <item x="18"/>
        <item x="32"/>
        <item x="31"/>
        <item m="1" x="61"/>
        <item m="1" x="59"/>
        <item x="11"/>
        <item x="12"/>
        <item x="14"/>
        <item m="1" x="70"/>
        <item m="1" x="73"/>
        <item x="23"/>
        <item x="1"/>
        <item m="1" x="67"/>
        <item m="1" x="68"/>
        <item m="1" x="69"/>
        <item m="1" x="71"/>
        <item x="50"/>
        <item x="24"/>
        <item x="39"/>
        <item m="1" x="72"/>
        <item x="0"/>
        <item x="7"/>
        <item x="8"/>
        <item x="5"/>
        <item x="6"/>
        <item x="4"/>
        <item x="3"/>
        <item m="1" x="56"/>
        <item x="19"/>
        <item x="20"/>
        <item m="1" x="54"/>
        <item x="22"/>
        <item m="1" x="57"/>
        <item x="21"/>
        <item x="26"/>
        <item x="27"/>
        <item x="29"/>
        <item x="13"/>
        <item x="34"/>
        <item x="35"/>
        <item m="1" x="55"/>
        <item x="37"/>
        <item x="40"/>
        <item x="36"/>
        <item x="41"/>
        <item x="42"/>
        <item x="43"/>
        <item x="2"/>
        <item x="45"/>
        <item x="46"/>
        <item x="47"/>
        <item x="49"/>
        <item x="25"/>
        <item x="28"/>
        <item x="33"/>
        <item x="44"/>
        <item x="48"/>
        <item x="52"/>
        <item x="53"/>
        <item x="51"/>
        <item t="default"/>
      </items>
    </pivotField>
    <pivotField showAll="0"/>
    <pivotField showAll="0"/>
    <pivotField numFmtId="20" showAll="0"/>
    <pivotField axis="axisRow" showAll="0">
      <items count="5">
        <item h="1" x="0"/>
        <item x="1"/>
        <item h="1" x="2"/>
        <item h="1" m="1" x="3"/>
        <item t="default"/>
      </items>
    </pivotField>
    <pivotField axis="axisRow" showAll="0" sortType="ascending">
      <items count="7">
        <item x="3"/>
        <item x="1"/>
        <item x="0"/>
        <item x="2"/>
        <item m="1" x="5"/>
        <item x="4"/>
        <item t="default"/>
      </items>
    </pivotField>
    <pivotField axis="axisRow" showAll="0">
      <items count="15">
        <item m="1" x="13"/>
        <item x="10"/>
        <item x="0"/>
        <item x="11"/>
        <item x="1"/>
        <item x="2"/>
        <item x="3"/>
        <item x="4"/>
        <item x="5"/>
        <item x="6"/>
        <item x="7"/>
        <item x="8"/>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3">
    <field x="8"/>
    <field x="9"/>
    <field x="10"/>
  </rowFields>
  <rowItems count="13">
    <i>
      <x v="1"/>
    </i>
    <i r="1">
      <x/>
    </i>
    <i r="2">
      <x v="10"/>
    </i>
    <i r="2">
      <x v="11"/>
    </i>
    <i r="2">
      <x v="12"/>
    </i>
    <i r="1">
      <x v="1"/>
    </i>
    <i r="2">
      <x v="4"/>
    </i>
    <i r="2">
      <x v="5"/>
    </i>
    <i r="1">
      <x v="2"/>
    </i>
    <i r="2">
      <x v="1"/>
    </i>
    <i r="2">
      <x v="2"/>
    </i>
    <i r="2">
      <x v="3"/>
    </i>
    <i t="grand">
      <x/>
    </i>
  </rowItems>
  <colFields count="1">
    <field x="-2"/>
  </colFields>
  <colItems count="3">
    <i>
      <x/>
    </i>
    <i i="1">
      <x v="1"/>
    </i>
    <i i="2">
      <x v="2"/>
    </i>
  </colItems>
  <pageFields count="3">
    <pageField fld="1" hier="-1"/>
    <pageField fld="2" item="45" hier="-1"/>
    <pageField fld="4" hier="-1"/>
  </pageFields>
  <dataFields count="3">
    <dataField name="Average of مبنا MTTR" fld="26" subtotal="average" baseField="9" baseItem="0"/>
    <dataField name="Average of هدف MTTR" fld="27" subtotal="average" baseField="9" baseItem="0"/>
    <dataField name="Average of TTR(mints)" fld="25" subtotal="average" baseField="10" baseItem="5"/>
  </dataFields>
  <chartFormats count="3">
    <chartFormat chart="77" format="253" series="1">
      <pivotArea type="data" outline="0" fieldPosition="0">
        <references count="1">
          <reference field="4294967294" count="1" selected="0">
            <x v="0"/>
          </reference>
        </references>
      </pivotArea>
    </chartFormat>
    <chartFormat chart="77" format="254" series="1">
      <pivotArea type="data" outline="0" fieldPosition="0">
        <references count="1">
          <reference field="4294967294" count="1" selected="0">
            <x v="1"/>
          </reference>
        </references>
      </pivotArea>
    </chartFormat>
    <chartFormat chart="77" format="25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E42D324-DF70-4CF2-8222-E767F51CAAD4}"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6">
  <location ref="A6:B38" firstHeaderRow="1" firstDataRow="1" firstDataCol="1" rowPageCount="3" colPageCount="1"/>
  <pivotFields count="32">
    <pivotField showAll="0"/>
    <pivotField axis="axisPage" multipleItemSelectionAllowed="1" showAll="0">
      <items count="13">
        <item x="1"/>
        <item x="3"/>
        <item m="1" x="7"/>
        <item m="1" x="6"/>
        <item x="0"/>
        <item m="1" x="10"/>
        <item m="1" x="8"/>
        <item m="1" x="9"/>
        <item m="1" x="11"/>
        <item x="4"/>
        <item m="1" x="5"/>
        <item x="2"/>
        <item t="default"/>
      </items>
    </pivotField>
    <pivotField axis="axisPage" showAll="0">
      <items count="114">
        <item x="4"/>
        <item x="3"/>
        <item m="1" x="90"/>
        <item m="1" x="107"/>
        <item m="1" x="103"/>
        <item m="1" x="105"/>
        <item m="1" x="106"/>
        <item m="1" x="84"/>
        <item m="1" x="91"/>
        <item m="1" x="92"/>
        <item m="1" x="85"/>
        <item m="1" x="108"/>
        <item m="1" x="93"/>
        <item m="1" x="101"/>
        <item m="1" x="99"/>
        <item m="1" x="98"/>
        <item m="1" x="112"/>
        <item m="1" x="94"/>
        <item m="1" x="95"/>
        <item m="1" x="97"/>
        <item m="1" x="102"/>
        <item m="1" x="96"/>
        <item m="1" x="87"/>
        <item m="1" x="86"/>
        <item m="1" x="100"/>
        <item m="1" x="104"/>
        <item m="1" x="89"/>
        <item m="1" x="88"/>
        <item x="12"/>
        <item x="1"/>
        <item m="1" x="110"/>
        <item m="1" x="68"/>
        <item x="22"/>
        <item m="1" x="83"/>
        <item m="1" x="74"/>
        <item x="9"/>
        <item m="1" x="111"/>
        <item x="16"/>
        <item m="1" x="78"/>
        <item x="29"/>
        <item x="19"/>
        <item x="21"/>
        <item x="15"/>
        <item m="1" x="109"/>
        <item x="0"/>
        <item x="7"/>
        <item x="8"/>
        <item x="5"/>
        <item x="47"/>
        <item x="11"/>
        <item x="6"/>
        <item x="14"/>
        <item x="13"/>
        <item x="10"/>
        <item x="17"/>
        <item m="1" x="66"/>
        <item x="53"/>
        <item x="48"/>
        <item m="1" x="73"/>
        <item m="1" x="76"/>
        <item x="23"/>
        <item x="24"/>
        <item x="25"/>
        <item m="1" x="69"/>
        <item m="1" x="80"/>
        <item x="27"/>
        <item m="1" x="77"/>
        <item m="1" x="81"/>
        <item x="28"/>
        <item x="30"/>
        <item m="1" x="79"/>
        <item x="31"/>
        <item m="1" x="82"/>
        <item x="33"/>
        <item m="1" x="75"/>
        <item x="20"/>
        <item x="34"/>
        <item m="1" x="72"/>
        <item x="36"/>
        <item x="37"/>
        <item x="38"/>
        <item x="39"/>
        <item x="40"/>
        <item x="41"/>
        <item x="42"/>
        <item x="43"/>
        <item x="44"/>
        <item x="45"/>
        <item x="46"/>
        <item m="1" x="70"/>
        <item x="49"/>
        <item x="50"/>
        <item x="2"/>
        <item x="52"/>
        <item x="54"/>
        <item x="55"/>
        <item x="56"/>
        <item x="57"/>
        <item m="1" x="71"/>
        <item x="59"/>
        <item x="60"/>
        <item x="61"/>
        <item x="18"/>
        <item x="35"/>
        <item x="26"/>
        <item x="32"/>
        <item x="51"/>
        <item x="58"/>
        <item x="63"/>
        <item m="1" x="67"/>
        <item x="65"/>
        <item x="64"/>
        <item x="62"/>
        <item t="default"/>
      </items>
    </pivotField>
    <pivotField showAll="0"/>
    <pivotField axis="axisPage" multipleItemSelectionAllowed="1" showAll="0">
      <items count="75">
        <item x="38"/>
        <item x="17"/>
        <item m="1" x="62"/>
        <item m="1" x="64"/>
        <item m="1" x="65"/>
        <item m="1" x="66"/>
        <item x="30"/>
        <item m="1" x="63"/>
        <item m="1" x="58"/>
        <item m="1" x="60"/>
        <item x="9"/>
        <item x="10"/>
        <item x="15"/>
        <item x="16"/>
        <item x="18"/>
        <item x="32"/>
        <item x="31"/>
        <item m="1" x="61"/>
        <item m="1" x="59"/>
        <item x="11"/>
        <item x="12"/>
        <item x="14"/>
        <item m="1" x="70"/>
        <item m="1" x="73"/>
        <item x="23"/>
        <item x="1"/>
        <item m="1" x="67"/>
        <item m="1" x="68"/>
        <item m="1" x="69"/>
        <item m="1" x="71"/>
        <item x="50"/>
        <item x="24"/>
        <item x="39"/>
        <item m="1" x="72"/>
        <item x="0"/>
        <item x="7"/>
        <item x="8"/>
        <item x="5"/>
        <item x="6"/>
        <item x="4"/>
        <item x="3"/>
        <item m="1" x="56"/>
        <item x="19"/>
        <item x="20"/>
        <item m="1" x="54"/>
        <item x="22"/>
        <item m="1" x="57"/>
        <item x="21"/>
        <item x="26"/>
        <item x="27"/>
        <item x="29"/>
        <item x="13"/>
        <item x="34"/>
        <item x="35"/>
        <item m="1" x="55"/>
        <item x="37"/>
        <item x="40"/>
        <item x="36"/>
        <item x="41"/>
        <item x="42"/>
        <item x="43"/>
        <item x="2"/>
        <item x="45"/>
        <item x="46"/>
        <item x="47"/>
        <item x="49"/>
        <item x="25"/>
        <item x="28"/>
        <item x="33"/>
        <item x="44"/>
        <item x="48"/>
        <item x="52"/>
        <item x="53"/>
        <item x="51"/>
        <item t="default"/>
      </items>
    </pivotField>
    <pivotField showAll="0"/>
    <pivotField showAll="0"/>
    <pivotField numFmtId="20" showAll="0"/>
    <pivotField axis="axisRow" showAll="0" sortType="ascending">
      <items count="5">
        <item h="1" m="1" x="3"/>
        <item h="1" x="0"/>
        <item x="1"/>
        <item h="1" x="2"/>
        <item t="default"/>
      </items>
    </pivotField>
    <pivotField axis="axisRow" showAll="0">
      <items count="7">
        <item x="3"/>
        <item x="0"/>
        <item x="1"/>
        <item x="2"/>
        <item m="1" x="5"/>
        <item x="4"/>
        <item t="default"/>
      </items>
    </pivotField>
    <pivotField axis="axisRow" showAll="0" sortType="ascending">
      <items count="15">
        <item m="1" x="13"/>
        <item x="7"/>
        <item x="8"/>
        <item x="9"/>
        <item x="10"/>
        <item x="0"/>
        <item x="11"/>
        <item x="1"/>
        <item x="2"/>
        <item x="3"/>
        <item x="4"/>
        <item x="5"/>
        <item x="6"/>
        <item x="12"/>
        <item t="default"/>
      </items>
    </pivotField>
    <pivotField axis="axisRow" showAll="0" sortType="ascending">
      <items count="36">
        <item m="1" x="34"/>
        <item x="31"/>
        <item x="32"/>
        <item x="0"/>
        <item x="26"/>
        <item x="13"/>
        <item x="6"/>
        <item x="7"/>
        <item x="27"/>
        <item x="17"/>
        <item x="2"/>
        <item x="14"/>
        <item x="3"/>
        <item x="18"/>
        <item x="19"/>
        <item x="28"/>
        <item x="8"/>
        <item x="20"/>
        <item x="4"/>
        <item x="1"/>
        <item x="5"/>
        <item x="9"/>
        <item x="21"/>
        <item x="24"/>
        <item x="22"/>
        <item x="29"/>
        <item x="15"/>
        <item x="23"/>
        <item x="10"/>
        <item x="16"/>
        <item x="30"/>
        <item x="11"/>
        <item x="12"/>
        <item x="25"/>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4">
    <field x="8"/>
    <field x="9"/>
    <field x="10"/>
    <field x="11"/>
  </rowFields>
  <rowItems count="32">
    <i>
      <x v="2"/>
    </i>
    <i r="1">
      <x/>
    </i>
    <i r="2">
      <x v="1"/>
    </i>
    <i r="3">
      <x v="20"/>
    </i>
    <i r="3">
      <x v="27"/>
    </i>
    <i r="3">
      <x v="28"/>
    </i>
    <i r="3">
      <x v="33"/>
    </i>
    <i r="2">
      <x v="2"/>
    </i>
    <i r="3">
      <x v="8"/>
    </i>
    <i r="3">
      <x v="23"/>
    </i>
    <i r="3">
      <x v="25"/>
    </i>
    <i r="3">
      <x v="29"/>
    </i>
    <i r="2">
      <x v="3"/>
    </i>
    <i r="3">
      <x v="11"/>
    </i>
    <i r="1">
      <x v="1"/>
    </i>
    <i r="2">
      <x v="4"/>
    </i>
    <i r="3">
      <x v="19"/>
    </i>
    <i r="3">
      <x v="20"/>
    </i>
    <i r="2">
      <x v="5"/>
    </i>
    <i r="3">
      <x v="4"/>
    </i>
    <i r="3">
      <x v="13"/>
    </i>
    <i r="2">
      <x v="6"/>
    </i>
    <i r="3">
      <x v="29"/>
    </i>
    <i r="1">
      <x v="2"/>
    </i>
    <i r="2">
      <x v="7"/>
    </i>
    <i r="3">
      <x v="16"/>
    </i>
    <i r="3">
      <x v="30"/>
    </i>
    <i r="3">
      <x v="31"/>
    </i>
    <i r="2">
      <x v="8"/>
    </i>
    <i r="3">
      <x v="13"/>
    </i>
    <i r="3">
      <x v="21"/>
    </i>
    <i t="grand">
      <x/>
    </i>
  </rowItems>
  <colItems count="1">
    <i/>
  </colItems>
  <pageFields count="3">
    <pageField fld="1" hier="-1"/>
    <pageField fld="2" item="45" hier="-1"/>
    <pageField fld="4" hier="-1"/>
  </pageFields>
  <dataFields count="1">
    <dataField name="Average of TTR(mints)" fld="25" subtotal="average" baseField="10" baseItem="3"/>
  </dataFields>
  <chartFormats count="1">
    <chartFormat chart="95" format="2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CE86FE7-810C-40D1-A422-145424351E41}"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E8:F29" firstHeaderRow="1" firstDataRow="1" firstDataCol="1" rowPageCount="5" colPageCount="1"/>
  <pivotFields count="32">
    <pivotField showAll="0"/>
    <pivotField name="سالن - کلی" axis="axisPage" multipleItemSelectionAllowed="1" showAll="0">
      <items count="13">
        <item h="1" x="1"/>
        <item h="1" x="3"/>
        <item h="1" m="1" x="7"/>
        <item h="1" m="1" x="6"/>
        <item x="0"/>
        <item h="1" m="1" x="10"/>
        <item h="1" m="1" x="8"/>
        <item h="1" m="1" x="9"/>
        <item h="1" m="1" x="11"/>
        <item h="1" x="4"/>
        <item h="1" m="1" x="5"/>
        <item h="1" x="2"/>
        <item t="default"/>
      </items>
    </pivotField>
    <pivotField axis="axisRow" showAll="0" measureFilter="1" sortType="descending">
      <items count="114">
        <item x="4"/>
        <item x="3"/>
        <item m="1" x="90"/>
        <item m="1" x="107"/>
        <item m="1" x="103"/>
        <item m="1" x="105"/>
        <item m="1" x="106"/>
        <item m="1" x="84"/>
        <item m="1" x="91"/>
        <item m="1" x="92"/>
        <item m="1" x="85"/>
        <item m="1" x="108"/>
        <item m="1" x="93"/>
        <item m="1" x="101"/>
        <item m="1" x="99"/>
        <item m="1" x="98"/>
        <item m="1" x="112"/>
        <item m="1" x="94"/>
        <item m="1" x="95"/>
        <item m="1" x="97"/>
        <item x="34"/>
        <item m="1" x="102"/>
        <item m="1" x="96"/>
        <item m="1" x="87"/>
        <item m="1" x="86"/>
        <item m="1" x="100"/>
        <item m="1" x="104"/>
        <item m="1" x="89"/>
        <item m="1" x="88"/>
        <item m="1" x="73"/>
        <item x="12"/>
        <item x="1"/>
        <item x="30"/>
        <item x="31"/>
        <item m="1" x="110"/>
        <item m="1" x="69"/>
        <item m="1" x="68"/>
        <item x="22"/>
        <item m="1" x="83"/>
        <item m="1" x="74"/>
        <item m="1" x="72"/>
        <item x="24"/>
        <item m="1" x="80"/>
        <item x="28"/>
        <item m="1" x="81"/>
        <item x="20"/>
        <item x="38"/>
        <item x="9"/>
        <item m="1" x="111"/>
        <item x="16"/>
        <item x="36"/>
        <item m="1" x="78"/>
        <item m="1" x="75"/>
        <item m="1" x="79"/>
        <item m="1" x="77"/>
        <item m="1" x="76"/>
        <item x="23"/>
        <item x="29"/>
        <item x="25"/>
        <item x="19"/>
        <item x="27"/>
        <item x="21"/>
        <item x="33"/>
        <item x="15"/>
        <item m="1" x="109"/>
        <item x="37"/>
        <item x="0"/>
        <item x="7"/>
        <item x="8"/>
        <item x="5"/>
        <item x="53"/>
        <item x="47"/>
        <item x="48"/>
        <item x="11"/>
        <item x="6"/>
        <item m="1" x="82"/>
        <item x="14"/>
        <item x="13"/>
        <item x="10"/>
        <item x="17"/>
        <item m="1" x="66"/>
        <item x="39"/>
        <item x="40"/>
        <item x="41"/>
        <item x="42"/>
        <item x="43"/>
        <item x="44"/>
        <item x="45"/>
        <item x="46"/>
        <item m="1" x="70"/>
        <item x="49"/>
        <item x="50"/>
        <item x="2"/>
        <item x="52"/>
        <item x="54"/>
        <item x="55"/>
        <item x="56"/>
        <item x="57"/>
        <item m="1" x="71"/>
        <item x="59"/>
        <item x="60"/>
        <item x="61"/>
        <item x="18"/>
        <item x="35"/>
        <item x="26"/>
        <item x="32"/>
        <item x="51"/>
        <item x="58"/>
        <item x="63"/>
        <item m="1" x="67"/>
        <item x="65"/>
        <item x="64"/>
        <item x="62"/>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4">
        <item x="1"/>
        <item x="0"/>
        <item m="1" x="2"/>
        <item t="default"/>
      </items>
    </pivotField>
    <pivotField showAll="0"/>
    <pivotField numFmtId="20" showAll="0"/>
    <pivotField name="سال توقف" multipleItemSelectionAllowed="1" showAll="0"/>
    <pivotField name="فصل توقف" multipleItemSelectionAllowed="1" showAll="0"/>
    <pivotField name="ماه توقف"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numFmtId="20" showAll="0"/>
    <pivotField name="سال توقف - کلی" axis="axisPage" showAll="0">
      <items count="5">
        <item m="1" x="2"/>
        <item x="0"/>
        <item x="1"/>
        <item m="1" x="3"/>
        <item t="default"/>
      </items>
    </pivotField>
    <pivotField name="فصل توقف - کلی" axis="axisPage" showAll="0">
      <items count="10">
        <item x="1"/>
        <item x="0"/>
        <item x="3"/>
        <item x="2"/>
        <item m="1" x="5"/>
        <item m="1" x="4"/>
        <item m="1" x="6"/>
        <item m="1" x="7"/>
        <item m="1" x="8"/>
        <item t="default"/>
      </items>
    </pivotField>
    <pivotField name="ماه توقف - کلی" axis="axisPage"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21">
    <i>
      <x v="70"/>
    </i>
    <i>
      <x v="72"/>
    </i>
    <i>
      <x v="46"/>
    </i>
    <i>
      <x v="91"/>
    </i>
    <i>
      <x v="41"/>
    </i>
    <i>
      <x v="85"/>
    </i>
    <i>
      <x v="66"/>
    </i>
    <i>
      <x v="69"/>
    </i>
    <i>
      <x v="74"/>
    </i>
    <i>
      <x v="100"/>
    </i>
    <i>
      <x v="101"/>
    </i>
    <i>
      <x v="67"/>
    </i>
    <i>
      <x v="68"/>
    </i>
    <i>
      <x v="1"/>
    </i>
    <i>
      <x v="79"/>
    </i>
    <i>
      <x v="45"/>
    </i>
    <i>
      <x v="58"/>
    </i>
    <i>
      <x/>
    </i>
    <i>
      <x v="93"/>
    </i>
    <i>
      <x v="43"/>
    </i>
    <i t="grand">
      <x/>
    </i>
  </rowItems>
  <colItems count="1">
    <i/>
  </colItems>
  <pageFields count="5">
    <pageField fld="1" hier="-1"/>
    <pageField fld="17" hier="-1"/>
    <pageField fld="18" hier="-1"/>
    <pageField fld="19" hier="-1"/>
    <pageField fld="5" hier="-1"/>
  </pageFields>
  <dataFields count="1">
    <dataField name="Average of TTR(mints)" fld="25" subtotal="average" baseField="2" baseItem="33"/>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EB39B0E-9956-4396-86FD-614D38CA6B98}"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8:B29" firstHeaderRow="1" firstDataRow="1" firstDataCol="1" rowPageCount="5" colPageCount="1"/>
  <pivotFields count="32">
    <pivotField showAll="0"/>
    <pivotField name="سالن - کلی" axis="axisPage" multipleItemSelectionAllowed="1" showAll="0">
      <items count="13">
        <item h="1" x="1"/>
        <item h="1" x="3"/>
        <item h="1" m="1" x="7"/>
        <item h="1" m="1" x="6"/>
        <item x="0"/>
        <item h="1" m="1" x="10"/>
        <item h="1" m="1" x="8"/>
        <item h="1" m="1" x="9"/>
        <item h="1" m="1" x="11"/>
        <item h="1" x="4"/>
        <item h="1" m="1" x="5"/>
        <item h="1" x="2"/>
        <item t="default"/>
      </items>
    </pivotField>
    <pivotField axis="axisRow" showAll="0" measureFilter="1" sortType="ascending">
      <items count="114">
        <item m="1" x="66"/>
        <item x="17"/>
        <item x="10"/>
        <item x="13"/>
        <item x="14"/>
        <item m="1" x="82"/>
        <item x="6"/>
        <item x="11"/>
        <item x="48"/>
        <item x="47"/>
        <item x="53"/>
        <item x="5"/>
        <item x="8"/>
        <item x="7"/>
        <item x="0"/>
        <item x="37"/>
        <item m="1" x="109"/>
        <item x="15"/>
        <item x="33"/>
        <item x="21"/>
        <item x="27"/>
        <item x="19"/>
        <item x="25"/>
        <item x="29"/>
        <item x="23"/>
        <item m="1" x="76"/>
        <item m="1" x="77"/>
        <item m="1" x="79"/>
        <item m="1" x="75"/>
        <item m="1" x="78"/>
        <item x="36"/>
        <item x="16"/>
        <item m="1" x="111"/>
        <item x="9"/>
        <item x="38"/>
        <item x="20"/>
        <item m="1" x="81"/>
        <item x="28"/>
        <item m="1" x="80"/>
        <item x="24"/>
        <item m="1" x="72"/>
        <item m="1" x="74"/>
        <item m="1" x="83"/>
        <item x="22"/>
        <item m="1" x="68"/>
        <item m="1" x="69"/>
        <item m="1" x="110"/>
        <item x="31"/>
        <item x="30"/>
        <item x="1"/>
        <item x="12"/>
        <item m="1" x="73"/>
        <item m="1" x="88"/>
        <item m="1" x="89"/>
        <item m="1" x="104"/>
        <item m="1" x="100"/>
        <item m="1" x="86"/>
        <item m="1" x="87"/>
        <item m="1" x="96"/>
        <item m="1" x="102"/>
        <item x="34"/>
        <item m="1" x="97"/>
        <item m="1" x="95"/>
        <item m="1" x="94"/>
        <item m="1" x="112"/>
        <item m="1" x="98"/>
        <item m="1" x="99"/>
        <item m="1" x="101"/>
        <item m="1" x="93"/>
        <item m="1" x="108"/>
        <item m="1" x="85"/>
        <item m="1" x="92"/>
        <item m="1" x="91"/>
        <item m="1" x="84"/>
        <item m="1" x="106"/>
        <item m="1" x="105"/>
        <item m="1" x="103"/>
        <item m="1" x="107"/>
        <item m="1" x="90"/>
        <item x="3"/>
        <item x="4"/>
        <item x="39"/>
        <item x="40"/>
        <item x="41"/>
        <item x="42"/>
        <item x="43"/>
        <item x="44"/>
        <item x="45"/>
        <item x="46"/>
        <item m="1" x="70"/>
        <item x="49"/>
        <item x="50"/>
        <item x="2"/>
        <item x="52"/>
        <item x="54"/>
        <item x="55"/>
        <item x="56"/>
        <item x="57"/>
        <item m="1" x="71"/>
        <item x="59"/>
        <item x="60"/>
        <item x="61"/>
        <item x="18"/>
        <item x="35"/>
        <item x="26"/>
        <item x="32"/>
        <item x="51"/>
        <item x="58"/>
        <item x="63"/>
        <item m="1" x="67"/>
        <item x="65"/>
        <item x="64"/>
        <item x="62"/>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4">
        <item x="1"/>
        <item x="0"/>
        <item m="1" x="2"/>
        <item t="default"/>
      </items>
    </pivotField>
    <pivotField showAll="0"/>
    <pivotField numFmtId="20" showAll="0"/>
    <pivotField name="سال توقف - کلی" axis="axisPage" multipleItemSelectionAllowed="1" showAll="0">
      <items count="5">
        <item h="1" x="0"/>
        <item x="1"/>
        <item h="1" x="2"/>
        <item h="1" m="1" x="3"/>
        <item t="default"/>
      </items>
    </pivotField>
    <pivotField name="فصل توقف - کلی" axis="axisPage" multipleItemSelectionAllowed="1" showAll="0">
      <items count="7">
        <item x="2"/>
        <item x="1"/>
        <item x="0"/>
        <item x="3"/>
        <item x="4"/>
        <item m="1" x="5"/>
        <item t="default"/>
      </items>
    </pivotField>
    <pivotField name="ماه توقف - کلی" axis="axisPage"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numFmtId="2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21">
    <i>
      <x v="93"/>
    </i>
    <i>
      <x v="79"/>
    </i>
    <i>
      <x v="37"/>
    </i>
    <i>
      <x v="8"/>
    </i>
    <i>
      <x v="39"/>
    </i>
    <i>
      <x v="91"/>
    </i>
    <i>
      <x v="11"/>
    </i>
    <i>
      <x v="13"/>
    </i>
    <i>
      <x v="10"/>
    </i>
    <i>
      <x v="99"/>
    </i>
    <i>
      <x v="12"/>
    </i>
    <i>
      <x v="34"/>
    </i>
    <i>
      <x v="80"/>
    </i>
    <i>
      <x v="14"/>
    </i>
    <i>
      <x v="9"/>
    </i>
    <i>
      <x v="100"/>
    </i>
    <i>
      <x v="22"/>
    </i>
    <i>
      <x v="90"/>
    </i>
    <i>
      <x v="35"/>
    </i>
    <i>
      <x v="101"/>
    </i>
    <i t="grand">
      <x/>
    </i>
  </rowItems>
  <colItems count="1">
    <i/>
  </colItems>
  <pageFields count="5">
    <pageField fld="1" hier="-1"/>
    <pageField fld="8" hier="-1"/>
    <pageField fld="9" hier="-1"/>
    <pageField fld="10" hier="-1"/>
    <pageField fld="5" hier="-1"/>
  </pageFields>
  <dataFields count="1">
    <dataField name="Average of TBF(hours)" fld="30" subtotal="average" baseField="2" baseItem="11"/>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26573DF-69B8-4F53-AF56-75CFEF49F38C}"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K7:L13" firstHeaderRow="1" firstDataRow="1" firstDataCol="1" rowPageCount="4" colPageCount="1"/>
  <pivotFields count="32">
    <pivotField showAll="0"/>
    <pivotField axis="axisRow" showAll="0" sortType="descending">
      <items count="13">
        <item x="1"/>
        <item x="3"/>
        <item m="1" x="7"/>
        <item m="1" x="6"/>
        <item x="0"/>
        <item m="1" x="10"/>
        <item m="1" x="8"/>
        <item m="1" x="9"/>
        <item m="1" x="11"/>
        <item x="4"/>
        <item m="1"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4">
        <item x="1"/>
        <item x="0"/>
        <item m="1" x="2"/>
        <item t="default"/>
      </items>
    </pivotField>
    <pivotField showAll="0"/>
    <pivotField numFmtId="20" showAll="0"/>
    <pivotField name="سال توقف" showAll="0"/>
    <pivotField name="فصل توقف" multipleItemSelectionAllowed="1" showAll="0"/>
    <pivotField name="ماه توقف"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numFmtId="20" showAll="0"/>
    <pivotField name="سال توقف - کلی" axis="axisPage" showAll="0">
      <items count="5">
        <item m="1" x="2"/>
        <item x="0"/>
        <item x="1"/>
        <item m="1" x="3"/>
        <item t="default"/>
      </items>
    </pivotField>
    <pivotField name="فصل توقف - کلی" axis="axisPage" showAll="0">
      <items count="10">
        <item x="1"/>
        <item x="0"/>
        <item x="3"/>
        <item x="2"/>
        <item m="1" x="5"/>
        <item m="1" x="4"/>
        <item m="1" x="6"/>
        <item m="1" x="7"/>
        <item m="1" x="8"/>
        <item t="default"/>
      </items>
    </pivotField>
    <pivotField name="ماه توقف - کلی" axis="axisPage" showAll="0">
      <items count="14">
        <item m="1" x="12"/>
        <item x="6"/>
        <item x="7"/>
        <item x="8"/>
        <item x="9"/>
        <item x="10"/>
        <item x="11"/>
        <item x="1"/>
        <item x="2"/>
        <item x="0"/>
        <item x="3"/>
        <item x="4"/>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6">
    <i>
      <x v="9"/>
    </i>
    <i>
      <x v="4"/>
    </i>
    <i>
      <x v="1"/>
    </i>
    <i>
      <x v="11"/>
    </i>
    <i>
      <x/>
    </i>
    <i t="grand">
      <x/>
    </i>
  </rowItems>
  <colItems count="1">
    <i/>
  </colItems>
  <pageFields count="4">
    <pageField fld="17" hier="-1"/>
    <pageField fld="18" hier="-1"/>
    <pageField fld="19" hier="-1"/>
    <pageField fld="5" hier="-1"/>
  </pageFields>
  <dataFields count="1">
    <dataField name="Average of TTR(mints)" fld="25" subtotal="average" baseField="1" baseItem="4"/>
  </dataFields>
  <chartFormats count="3">
    <chartFormat chart="33" format="5"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5E64B1F-793A-4612-B258-C637D8D9F8FE}"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H7:I13" firstHeaderRow="1" firstDataRow="1" firstDataCol="1" rowPageCount="4" colPageCount="1"/>
  <pivotFields count="32">
    <pivotField showAll="0"/>
    <pivotField axis="axisRow" showAll="0" sortType="ascending">
      <items count="13">
        <item x="1"/>
        <item x="3"/>
        <item m="1" x="7"/>
        <item m="1" x="6"/>
        <item x="0"/>
        <item m="1" x="10"/>
        <item m="1" x="8"/>
        <item m="1" x="9"/>
        <item m="1" x="11"/>
        <item x="4"/>
        <item m="1"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4">
        <item x="1"/>
        <item x="0"/>
        <item m="1" x="2"/>
        <item t="default"/>
      </items>
    </pivotField>
    <pivotField showAll="0"/>
    <pivotField numFmtId="20" showAll="0"/>
    <pivotField name="سال توقف - کلی" axis="axisPage" multipleItemSelectionAllowed="1" showAll="0">
      <items count="5">
        <item h="1" x="0"/>
        <item x="1"/>
        <item h="1" x="2"/>
        <item h="1" m="1" x="3"/>
        <item t="default"/>
      </items>
    </pivotField>
    <pivotField name="فصل توقف - کلی" axis="axisPage" multipleItemSelectionAllowed="1" showAll="0">
      <items count="7">
        <item x="2"/>
        <item x="1"/>
        <item x="0"/>
        <item x="3"/>
        <item x="4"/>
        <item m="1" x="5"/>
        <item t="default"/>
      </items>
    </pivotField>
    <pivotField name="ماه توقف - کلی" axis="axisPage" showAll="0">
      <items count="15">
        <item m="1" x="13"/>
        <item x="7"/>
        <item x="8"/>
        <item x="9"/>
        <item x="10"/>
        <item x="0"/>
        <item x="11"/>
        <item x="1"/>
        <item x="2"/>
        <item x="3"/>
        <item x="4"/>
        <item x="5"/>
        <item x="6"/>
        <item x="12"/>
        <item t="default"/>
      </items>
    </pivotField>
    <pivotField showAll="0"/>
    <pivotField showAll="0"/>
    <pivotField showAll="0"/>
    <pivotField showAll="0"/>
    <pivotField showAll="0"/>
    <pivotField numFmtId="2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6">
    <i>
      <x v="9"/>
    </i>
    <i>
      <x v="4"/>
    </i>
    <i>
      <x v="1"/>
    </i>
    <i>
      <x v="11"/>
    </i>
    <i>
      <x/>
    </i>
    <i t="grand">
      <x/>
    </i>
  </rowItems>
  <colItems count="1">
    <i/>
  </colItems>
  <pageFields count="4">
    <pageField fld="8" hier="-1"/>
    <pageField fld="9" hier="-1"/>
    <pageField fld="10" hier="-1"/>
    <pageField fld="5" hier="-1"/>
  </pageFields>
  <dataFields count="1">
    <dataField name="Average of TBF(hours)" fld="30" subtotal="average" baseField="1" baseItem="0"/>
  </dataFields>
  <chartFormats count="3">
    <chartFormat chart="50" format="7" series="1">
      <pivotArea type="data" outline="0" fieldPosition="0">
        <references count="1">
          <reference field="4294967294" count="1" selected="0">
            <x v="0"/>
          </reference>
        </references>
      </pivotArea>
    </chartFormat>
    <chartFormat chart="51" format="8" series="1">
      <pivotArea type="data" outline="0" fieldPosition="0">
        <references count="1">
          <reference field="4294967294" count="1" selected="0">
            <x v="0"/>
          </reference>
        </references>
      </pivotArea>
    </chartFormat>
    <chartFormat chart="5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الن" xr10:uid="{00000000-0013-0000-FFFF-FFFF01000000}" sourceName="سالن">
  <pivotTables>
    <pivotTable tabId="21" name="PivotTable6"/>
    <pivotTable tabId="20" name="PivotTable7"/>
    <pivotTable tabId="22" name="PivotTable5"/>
    <pivotTable tabId="15" name="PivotTable1"/>
    <pivotTable tabId="27" name="PivotTable2"/>
    <pivotTable tabId="27" name="PivotTable3"/>
    <pivotTable tabId="28" name="PivotTable2"/>
    <pivotTable tabId="28" name="PivotTable3"/>
  </pivotTables>
  <data>
    <tabular pivotCacheId="1214876103">
      <items count="12">
        <i x="1"/>
        <i x="3"/>
        <i x="0" s="1"/>
        <i x="2"/>
        <i x="4"/>
        <i x="7" nd="1"/>
        <i x="6" nd="1"/>
        <i x="10" nd="1"/>
        <i x="8" nd="1"/>
        <i x="9" nd="1"/>
        <i x="11"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دستگاه" xr10:uid="{00000000-0013-0000-FFFF-FFFF02000000}" sourceName="دستگاه">
  <pivotTables>
    <pivotTable tabId="17" name="PivotTable2"/>
    <pivotTable tabId="19" name="PivotTable3"/>
    <pivotTable tabId="24" name="PivotTable2"/>
  </pivotTables>
  <data>
    <tabular pivotCacheId="1214876103">
      <items count="113">
        <i x="26"/>
        <i x="4"/>
        <i x="3"/>
        <i x="43"/>
        <i x="34"/>
        <i x="51"/>
        <i x="54"/>
        <i x="39"/>
        <i x="35"/>
        <i x="30"/>
        <i x="31"/>
        <i x="59"/>
        <i x="42"/>
        <i x="24"/>
        <i x="55"/>
        <i x="50"/>
        <i x="60"/>
        <i x="49"/>
        <i x="28"/>
        <i x="57"/>
        <i x="56"/>
        <i x="45"/>
        <i x="20"/>
        <i x="38"/>
        <i x="41"/>
        <i x="36"/>
        <i x="2"/>
        <i x="23"/>
        <i x="61"/>
        <i x="40"/>
        <i x="58"/>
        <i x="44"/>
        <i x="32"/>
        <i x="18"/>
        <i x="29"/>
        <i x="25"/>
        <i x="27"/>
        <i x="65"/>
        <i x="33"/>
        <i x="52"/>
        <i x="37"/>
        <i x="0"/>
        <i x="7" s="1"/>
        <i x="8"/>
        <i x="5"/>
        <i x="53"/>
        <i x="47"/>
        <i x="48"/>
        <i x="14"/>
        <i x="46"/>
        <i x="10"/>
        <i x="90" nd="1"/>
        <i x="107" nd="1"/>
        <i x="103" nd="1"/>
        <i x="105" nd="1"/>
        <i x="106" nd="1"/>
        <i x="84" nd="1"/>
        <i x="91" nd="1"/>
        <i x="92" nd="1"/>
        <i x="85" nd="1"/>
        <i x="108" nd="1"/>
        <i x="93" nd="1"/>
        <i x="101" nd="1"/>
        <i x="99" nd="1"/>
        <i x="98" nd="1"/>
        <i x="112" nd="1"/>
        <i x="94" nd="1"/>
        <i x="95" nd="1"/>
        <i x="97" nd="1"/>
        <i x="102" nd="1"/>
        <i x="96" nd="1"/>
        <i x="87" nd="1"/>
        <i x="86" nd="1"/>
        <i x="100" nd="1"/>
        <i x="104" nd="1"/>
        <i x="89" nd="1"/>
        <i x="88" nd="1"/>
        <i x="73" nd="1"/>
        <i x="12" nd="1"/>
        <i x="1" nd="1"/>
        <i x="110" nd="1"/>
        <i x="69" nd="1"/>
        <i x="68" nd="1"/>
        <i x="63" nd="1"/>
        <i x="71" nd="1"/>
        <i x="22" nd="1"/>
        <i x="70" nd="1"/>
        <i x="83" nd="1"/>
        <i x="74" nd="1"/>
        <i x="67" nd="1"/>
        <i x="72" nd="1"/>
        <i x="80" nd="1"/>
        <i x="81" nd="1"/>
        <i x="9" nd="1"/>
        <i x="111" nd="1"/>
        <i x="16" nd="1"/>
        <i x="78" nd="1"/>
        <i x="75" nd="1"/>
        <i x="79" nd="1"/>
        <i x="77" nd="1"/>
        <i x="76" nd="1"/>
        <i x="62" nd="1"/>
        <i x="64" nd="1"/>
        <i x="19" nd="1"/>
        <i x="21" nd="1"/>
        <i x="15" nd="1"/>
        <i x="109" nd="1"/>
        <i x="11" nd="1"/>
        <i x="6" nd="1"/>
        <i x="82" nd="1"/>
        <i x="13" nd="1"/>
        <i x="17" nd="1"/>
        <i x="6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کد" xr10:uid="{00000000-0013-0000-FFFF-FFFF03000000}" sourceName="کد">
  <pivotTables>
    <pivotTable tabId="17" name="PivotTable2"/>
    <pivotTable tabId="19" name="PivotTable3"/>
    <pivotTable tabId="24" name="PivotTable2"/>
  </pivotTables>
  <data>
    <tabular pivotCacheId="1214876103">
      <items count="74">
        <i x="7" s="1"/>
        <i x="38" s="1" nd="1"/>
        <i x="17" s="1" nd="1"/>
        <i x="62" s="1" nd="1"/>
        <i x="64" s="1" nd="1"/>
        <i x="65" s="1" nd="1"/>
        <i x="66" s="1" nd="1"/>
        <i x="30" s="1" nd="1"/>
        <i x="63" s="1" nd="1"/>
        <i x="58" s="1" nd="1"/>
        <i x="60" s="1" nd="1"/>
        <i x="9" s="1" nd="1"/>
        <i x="10" s="1" nd="1"/>
        <i x="35" s="1" nd="1"/>
        <i x="15" s="1" nd="1"/>
        <i x="16" s="1" nd="1"/>
        <i x="18" s="1" nd="1"/>
        <i x="32" s="1" nd="1"/>
        <i x="31" s="1" nd="1"/>
        <i x="61" s="1" nd="1"/>
        <i x="59" s="1" nd="1"/>
        <i x="37" s="1" nd="1"/>
        <i x="11" s="1" nd="1"/>
        <i x="12" s="1" nd="1"/>
        <i x="14" s="1" nd="1"/>
        <i x="70" s="1" nd="1"/>
        <i x="73" s="1" nd="1"/>
        <i x="29" s="1" nd="1"/>
        <i x="23" s="1" nd="1"/>
        <i x="1" s="1" nd="1"/>
        <i x="13" s="1" nd="1"/>
        <i x="41" s="1" nd="1"/>
        <i x="43" s="1" nd="1"/>
        <i x="67" s="1" nd="1"/>
        <i x="68" s="1" nd="1"/>
        <i x="69" s="1" nd="1"/>
        <i x="71" s="1" nd="1"/>
        <i x="28" s="1" nd="1"/>
        <i x="33" s="1" nd="1"/>
        <i x="44" s="1" nd="1"/>
        <i x="50" s="1" nd="1"/>
        <i x="24" s="1" nd="1"/>
        <i x="39" s="1" nd="1"/>
        <i x="55" s="1" nd="1"/>
        <i x="25" s="1" nd="1"/>
        <i x="49" s="1" nd="1"/>
        <i x="51" s="1" nd="1"/>
        <i x="42" s="1" nd="1"/>
        <i x="48" s="1" nd="1"/>
        <i x="47" s="1" nd="1"/>
        <i x="72" s="1" nd="1"/>
        <i x="36" s="1" nd="1"/>
        <i x="2" s="1" nd="1"/>
        <i x="46" s="1" nd="1"/>
        <i x="52" s="1" nd="1"/>
        <i x="53" s="1" nd="1"/>
        <i x="45" s="1" nd="1"/>
        <i x="0" s="1" nd="1"/>
        <i x="8" s="1" nd="1"/>
        <i x="5" s="1" nd="1"/>
        <i x="34" s="1" nd="1"/>
        <i x="27" s="1" nd="1"/>
        <i x="6" s="1" nd="1"/>
        <i x="4" s="1" nd="1"/>
        <i x="3" s="1" nd="1"/>
        <i x="40" s="1" nd="1"/>
        <i x="26" s="1" nd="1"/>
        <i x="56" s="1" nd="1"/>
        <i x="19" s="1" nd="1"/>
        <i x="20" s="1" nd="1"/>
        <i x="54" s="1" nd="1"/>
        <i x="22" s="1" nd="1"/>
        <i x="57" s="1" nd="1"/>
        <i x="2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فصل_توقف" xr10:uid="{A59C309B-0AF9-489D-BB90-C721E22E5BD6}" sourceName="فصل توقف">
  <pivotTables>
    <pivotTable tabId="28" name="PivotTable2"/>
    <pivotTable tabId="28" name="PivotTable3"/>
    <pivotTable tabId="28" name="PivotTable16"/>
    <pivotTable tabId="28" name="PivotTable17"/>
    <pivotTable tabId="28" name="PivotTable18"/>
    <pivotTable tabId="28" name="PivotTable19"/>
    <pivotTable tabId="28" name="PivotTable20"/>
    <pivotTable tabId="28" name="PivotTable21"/>
    <pivotTable tabId="28" name="PivotTable22"/>
    <pivotTable tabId="28" name="PivotTable23"/>
    <pivotTable tabId="28" name="PivotTable24"/>
    <pivotTable tabId="28" name="PivotTable25"/>
  </pivotTables>
  <data>
    <tabular pivotCacheId="1214876103">
      <items count="6">
        <i x="3" s="1"/>
        <i x="1" s="1"/>
        <i x="0" s="1"/>
        <i x="2" s="1"/>
        <i x="5"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اه_توقف" xr10:uid="{2265883B-EFAC-45A6-9215-B97B3D1B44A0}" sourceName="ماه توقف">
  <pivotTables>
    <pivotTable tabId="21" name="PivotTable6"/>
    <pivotTable tabId="22" name="PivotTable5"/>
    <pivotTable tabId="27" name="PivotTable2"/>
    <pivotTable tabId="27" name="PivotTable3"/>
    <pivotTable tabId="27" name="PivotTable4"/>
    <pivotTable tabId="27" name="PivotTable5"/>
    <pivotTable tabId="28" name="PivotTable2"/>
    <pivotTable tabId="28" name="PivotTable3"/>
  </pivotTables>
  <data>
    <tabular pivotCacheId="1214876103">
      <items count="14">
        <i x="7" s="1"/>
        <i x="8" s="1"/>
        <i x="9" s="1"/>
        <i x="10" s="1"/>
        <i x="0" s="1"/>
        <i x="11" s="1"/>
        <i x="1" s="1"/>
        <i x="2" s="1"/>
        <i x="3" s="1"/>
        <i x="4" s="1"/>
        <i x="5" s="1"/>
        <i x="6" s="1"/>
        <i x="12" s="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الن1" xr10:uid="{A968BAE2-2603-4D76-B38A-992988403AA1}" sourceName="سالن">
  <pivotTables>
    <pivotTable tabId="24" name="PivotTable2"/>
    <pivotTable tabId="19" name="PivotTable3"/>
    <pivotTable tabId="17" name="PivotTable2"/>
  </pivotTables>
  <data>
    <tabular pivotCacheId="1214876103">
      <items count="12">
        <i x="0" s="1"/>
        <i x="1" s="1" nd="1"/>
        <i x="3" s="1" nd="1"/>
        <i x="7" s="1" nd="1"/>
        <i x="6" s="1" nd="1"/>
        <i x="10" s="1" nd="1"/>
        <i x="8" s="1" nd="1"/>
        <i x="9" s="1" nd="1"/>
        <i x="11" s="1" nd="1"/>
        <i x="2" s="1" nd="1"/>
        <i x="4" s="1" nd="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ال_توقف1" xr10:uid="{D2C62D7C-56AF-453A-AF29-40EC66918170}" sourceName="سال توقف">
  <pivotTables>
    <pivotTable tabId="28" name="PivotTable2"/>
    <pivotTable tabId="28" name="PivotTable3"/>
    <pivotTable tabId="28" name="PivotTable16"/>
    <pivotTable tabId="28" name="PivotTable17"/>
    <pivotTable tabId="28" name="PivotTable18"/>
    <pivotTable tabId="28" name="PivotTable19"/>
    <pivotTable tabId="28" name="PivotTable20"/>
    <pivotTable tabId="28" name="PivotTable21"/>
    <pivotTable tabId="28" name="PivotTable22"/>
    <pivotTable tabId="28" name="PivotTable23"/>
    <pivotTable tabId="28" name="PivotTable24"/>
    <pivotTable tabId="28" name="PivotTable25"/>
  </pivotTables>
  <data>
    <tabular pivotCacheId="1214876103">
      <items count="4">
        <i x="0"/>
        <i x="1" s="1"/>
        <i x="2"/>
        <i x="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ال_توقف" xr10:uid="{8AB77AD3-7B36-4837-9D17-961B95E651F4}" sourceName="سال توقف">
  <pivotTables>
    <pivotTable tabId="19" name="PivotTable3"/>
    <pivotTable tabId="24" name="PivotTable2"/>
    <pivotTable tabId="17" name="PivotTable2"/>
  </pivotTables>
  <data>
    <tabular pivotCacheId="1214876103">
      <items count="4">
        <i x="0"/>
        <i x="1" s="1"/>
        <i x="3" nd="1"/>
        <i x="2"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فصل_توقف1" xr10:uid="{AA3ECD3C-9BBB-4427-8BD3-3A9C297EF293}" sourceName="فصل توقف">
  <pivotTables>
    <pivotTable tabId="19" name="PivotTable3"/>
    <pivotTable tabId="24" name="PivotTable2"/>
    <pivotTable tabId="17" name="PivotTable2"/>
  </pivotTables>
  <data>
    <tabular pivotCacheId="1214876103">
      <items count="6">
        <i x="3" s="1"/>
        <i x="1" s="1"/>
        <i x="0" s="1"/>
        <i x="2" s="1" nd="1"/>
        <i x="5" s="1" nd="1"/>
        <i x="4"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اه_توقف1" xr10:uid="{67FBBE70-1EBF-45D3-AA83-E2A8F3180BB0}" sourceName="ماه توقف">
  <pivotTables>
    <pivotTable tabId="19" name="PivotTable3"/>
    <pivotTable tabId="24" name="PivotTable2"/>
    <pivotTable tabId="17" name="PivotTable2"/>
  </pivotTables>
  <data>
    <tabular pivotCacheId="1214876103">
      <items count="14">
        <i x="7" s="1"/>
        <i x="8" s="1"/>
        <i x="9" s="1"/>
        <i x="10" s="1"/>
        <i x="0" s="1"/>
        <i x="11" s="1"/>
        <i x="1" s="1"/>
        <i x="2" s="1"/>
        <i x="13" s="1" nd="1"/>
        <i x="3" s="1" nd="1"/>
        <i x="4" s="1" nd="1"/>
        <i x="5" s="1" nd="1"/>
        <i x="6"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فصل توقف - کلی" xr10:uid="{54D8AB44-6D26-42BD-ABB8-A55917443AB7}" cache="Slicer_فصل_توقف" caption="فصل توقف - گزارش جامع" columnCount="4" rowHeight="241300"/>
  <slicer name="سال توقف - کلی 1" xr10:uid="{67E9B0E5-54C2-4FB0-B210-C96D5380AA51}" cache="Slicer_سال_توقف1" caption="سال توقف - گزارش جامع"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سالن 3" xr10:uid="{31A0A1C8-F5DD-43C3-86C2-8AF0197046B0}" cache="Slicer_سالن" caption="سالن" startItem="10" columnCount="5" rowHeight="396000"/>
  <slicer name="فصل توقف 1" xr10:uid="{C3591831-36B6-40D5-BB0C-98B01DE06DB9}" cache="Slicer_فصل_توقف" caption="فصل توقف - کلی" columnCount="4" rowHeight="241300"/>
  <slicer name="ماه توقف 1" xr10:uid="{D20BC9BF-EFD1-4F52-BDF1-EF8AFE217B88}" cache="Slicer_ماه_توقف" caption="ماه توقف - کلی" columnCount="7" rowHeight="241300"/>
  <slicer name="سال توقف - کلی" xr10:uid="{C8D9C7A3-F604-4131-906A-28CBA6E808B3}" cache="Slicer_سال_توقف1" caption="سال توقف - کلی" columnCoun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دستگاه 1" xr10:uid="{658FD356-DE12-4214-B71A-9B3EF48879BF}" cache="Slicer_دستگاه" caption="دستگاه" columnCount="6" rowHeight="288000"/>
  <slicer name="کد 1" xr10:uid="{E1E361F2-2A52-4F91-A90B-6F1EA7782FDE}" cache="Slicer_کد" caption="کد" columnCount="5" rowHeight="216000"/>
  <slicer name="سالن 1" xr10:uid="{97AB370B-402B-4A56-BCD0-5055DAF53190}" cache="Slicer_سالن1" caption="سالن" columnCount="4" rowHeight="540000"/>
  <slicer name="سال توقف 1" xr10:uid="{89E72D81-7E6B-46DE-A955-D5D430A6C623}" cache="Slicer_سال_توقف" caption="سال توقف" columnCount="4" rowHeight="576000"/>
  <slicer name="فصل توقف 4" xr10:uid="{F8D53B85-50D8-4975-B7EA-BD4F67409F85}" cache="Slicer_فصل_توقف1" caption="فصل توقف" columnCount="6" rowHeight="576000"/>
  <slicer name="ماه توقف 4" xr10:uid="{6239B5F8-0758-4CCC-BE25-96B1E99026BA}" cache="Slicer_ماه_توقف1" caption="ماه توقف" columnCount="7"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13" totalsRowShown="0">
  <autoFilter ref="A1:C13" xr:uid="{00000000-0009-0000-0100-000002000000}"/>
  <tableColumns count="3">
    <tableColumn id="1" xr3:uid="{00000000-0010-0000-0100-000001000000}" name="ماه"/>
    <tableColumn id="2" xr3:uid="{00000000-0010-0000-0100-000002000000}" name="تعداد روز کاری"/>
    <tableColumn id="3" xr3:uid="{00000000-0010-0000-0100-000003000000}" name="فصل"/>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H1:I6" totalsRowShown="0">
  <autoFilter ref="H1:I6" xr:uid="{00000000-0009-0000-0100-000003000000}"/>
  <tableColumns count="2">
    <tableColumn id="1" xr3:uid="{00000000-0010-0000-0200-000001000000}" name="سالن ها"/>
    <tableColumn id="2" xr3:uid="{00000000-0010-0000-0200-000002000000}" name="نوع توقف"/>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K1:Q368" totalsRowShown="0" headerRowDxfId="222" dataDxfId="221">
  <autoFilter ref="K1:Q368" xr:uid="{00000000-0009-0000-0100-000004000000}">
    <filterColumn colId="1">
      <filters>
        <filter val="سالن مونتاژ بردهای الکترونیکی"/>
      </filters>
    </filterColumn>
  </autoFilter>
  <tableColumns count="7">
    <tableColumn id="3" xr3:uid="{00000000-0010-0000-0300-000003000000}" name="کد دستگاه" dataDxfId="220"/>
    <tableColumn id="1" xr3:uid="{00000000-0010-0000-0300-000001000000}" name="سالن" dataDxfId="219"/>
    <tableColumn id="2" xr3:uid="{00000000-0010-0000-0300-000002000000}" name="دستگاه" dataDxfId="218"/>
    <tableColumn id="6" xr3:uid="{36840917-31BA-4F83-8D71-39C299DED812}" name="مبنا MTTR" dataDxfId="217"/>
    <tableColumn id="4" xr3:uid="{00000000-0010-0000-0300-000004000000}" name="هدف MTTR"/>
    <tableColumn id="7" xr3:uid="{4EFB7F5E-5E75-4B79-8A58-FCF9AC001FA0}" name="مبنا MTBF"/>
    <tableColumn id="5" xr3:uid="{00000000-0010-0000-0300-000005000000}" name="هدف MTBF" dataDxfId="21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F292" totalsRowShown="0" headerRowDxfId="215" dataDxfId="214">
  <autoFilter ref="A2:AF292" xr:uid="{00000000-0009-0000-0100-000001000000}"/>
  <tableColumns count="32">
    <tableColumn id="1" xr3:uid="{00000000-0010-0000-0000-000001000000}" name="ردیف" dataDxfId="213"/>
    <tableColumn id="3" xr3:uid="{00000000-0010-0000-0000-000003000000}" name="سالن" dataDxfId="212"/>
    <tableColumn id="4" xr3:uid="{00000000-0010-0000-0000-000004000000}" name="دستگاه" dataDxfId="211"/>
    <tableColumn id="2" xr3:uid="{00000000-0010-0000-0000-000002000000}" name="توضیح دستگاه" dataDxfId="210"/>
    <tableColumn id="6" xr3:uid="{00000000-0010-0000-0000-000006000000}" name="کد" dataDxfId="209"/>
    <tableColumn id="5" xr3:uid="{00000000-0010-0000-0000-000005000000}" name="نوع توقف" dataDxfId="208"/>
    <tableColumn id="8" xr3:uid="{00000000-0010-0000-0000-000008000000}" name="تاریخ توقف" dataDxfId="207"/>
    <tableColumn id="33" xr3:uid="{00000000-0010-0000-0000-000021000000}" name="زمان شروع توقف" dataDxfId="206"/>
    <tableColumn id="21" xr3:uid="{00000000-0010-0000-0000-000015000000}" name="سال توقف" dataDxfId="205">
      <calculatedColumnFormula>LEFT(Table1[[#This Row],[تاریخ توقف]],4)</calculatedColumnFormula>
    </tableColumn>
    <tableColumn id="29" xr3:uid="{00000000-0010-0000-0000-00001D000000}" name="فصل توقف" dataDxfId="204">
      <calculatedColumnFormula>VLOOKUP(Table1[[#This Row],[ماه توقف]],Table2[],3,0)</calculatedColumnFormula>
    </tableColumn>
    <tableColumn id="12" xr3:uid="{00000000-0010-0000-0000-00000C000000}" name="ماه توقف" dataDxfId="203">
      <calculatedColumnFormula>_xlfn.NUMBERVALUE(RIGHT(LEFT(Table1[[#This Row],[تاریخ توقف]],7),2))</calculatedColumnFormula>
    </tableColumn>
    <tableColumn id="9" xr3:uid="{00000000-0010-0000-0000-000009000000}" name="روز توقف" dataDxfId="202">
      <calculatedColumnFormula>RIGHT(LEFT(Table1[[#This Row],[تاریخ توقف]],10),2)</calculatedColumnFormula>
    </tableColumn>
    <tableColumn id="22" xr3:uid="{00000000-0010-0000-0000-000016000000}" name="ساعت توقف2" dataDxfId="201">
      <calculatedColumnFormula>HOUR(Table1[[#This Row],[زمان شروع توقف]])</calculatedColumnFormula>
    </tableColumn>
    <tableColumn id="25" xr3:uid="{00000000-0010-0000-0000-000019000000}" name="دقیقه توقف" dataDxfId="200">
      <calculatedColumnFormula>MINUTE(Table1[[#This Row],[زمان شروع توقف]])</calculatedColumnFormula>
    </tableColumn>
    <tableColumn id="13" xr3:uid="{00000000-0010-0000-0000-00000D000000}" name="زمان توقف" dataDxfId="199">
      <calculatedColumnFormula>((Table1[[#This Row],[سال توقف]]*365+IF(Table1[[#This Row],[ماه توقف]]&lt;7,(Table1[[#This Row],[ماه توقف]]-1)*31,6*31+(Table1[[#This Row],[ماه توقف]]-6-1)*30)+(Table1[[#This Row],[روز توقف]])-1)*24+Table1[[#This Row],[ساعت توقف2]])*60+Table1[[#This Row],[دقیقه توقف]]</calculatedColumnFormula>
    </tableColumn>
    <tableColumn id="28" xr3:uid="{00000000-0010-0000-0000-00001C000000}" name="تاریخ پایان توقف" dataDxfId="198"/>
    <tableColumn id="32" xr3:uid="{00000000-0010-0000-0000-000020000000}" name="زمان پایان توقف" dataDxfId="197"/>
    <tableColumn id="23" xr3:uid="{00000000-0010-0000-0000-000017000000}" name="سال رفع توقف" dataDxfId="196">
      <calculatedColumnFormula>LEFT(Table1[[#This Row],[تاریخ پایان توقف]],4)</calculatedColumnFormula>
    </tableColumn>
    <tableColumn id="30" xr3:uid="{00000000-0010-0000-0000-00001E000000}" name="فصل رفع توقف" dataDxfId="195">
      <calculatedColumnFormula>_xlfn.IFNA(VLOOKUP(Table1[[#This Row],[ماه رفع توقف]],Table2[],3,0),"در حال تعمیر")</calculatedColumnFormula>
    </tableColumn>
    <tableColumn id="20" xr3:uid="{00000000-0010-0000-0000-000014000000}" name="ماه رفع توقف" dataDxfId="194">
      <calculatedColumnFormula>_xlfn.NUMBERVALUE(RIGHT(LEFT(Table1[[#This Row],[تاریخ پایان توقف]],7),2))</calculatedColumnFormula>
    </tableColumn>
    <tableColumn id="11" xr3:uid="{00000000-0010-0000-0000-00000B000000}" name="روز رفع توقف" dataDxfId="193">
      <calculatedColumnFormula>RIGHT(LEFT(Table1[[#This Row],[تاریخ پایان توقف]],10),2)</calculatedColumnFormula>
    </tableColumn>
    <tableColumn id="10" xr3:uid="{00000000-0010-0000-0000-00000A000000}" name="ساعت رفع توقف" dataDxfId="192">
      <calculatedColumnFormula>HOUR(Table1[[#This Row],[زمان پایان توقف]])</calculatedColumnFormula>
    </tableColumn>
    <tableColumn id="24" xr3:uid="{00000000-0010-0000-0000-000018000000}" name="دقیقه رفع توقف" dataDxfId="191">
      <calculatedColumnFormula>MINUTE(Table1[[#This Row],[زمان پایان توقف]])</calculatedColumnFormula>
    </tableColumn>
    <tableColumn id="15" xr3:uid="{00000000-0010-0000-0000-00000F000000}" name="زمان رفع توقف" dataDxfId="190">
      <calculatedColumnFormula>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calculatedColumnFormula>
    </tableColumn>
    <tableColumn id="7" xr3:uid="{00000000-0010-0000-0000-000007000000}" name="شرح توقف" dataDxfId="189"/>
    <tableColumn id="14" xr3:uid="{00000000-0010-0000-0000-00000E000000}" name="TTR(mints)" dataDxfId="188">
      <calculatedColumnFormula>IFERROR((IF(Table1[[#This Row],[تاریخ پایان توقف]]&lt;&gt;"",Table1[[#This Row],[زمان رفع توقف]]-Table1[[#This Row],[زمان توقف]],"")/60),"")</calculatedColumnFormula>
    </tableColumn>
    <tableColumn id="31" xr3:uid="{00000000-0010-0000-0000-00001F000000}" name="مبنا MTTR" dataDxfId="187">
      <calculatedColumnFormula>VLOOKUP(E3,Table4[],4,0)</calculatedColumnFormula>
    </tableColumn>
    <tableColumn id="16" xr3:uid="{00000000-0010-0000-0000-000010000000}" name="هدف MTTR" dataDxfId="186">
      <calculatedColumnFormula>VLOOKUP(E3,Table4[],5,0)</calculatedColumnFormula>
    </tableColumn>
    <tableColumn id="34" xr3:uid="{00000000-0010-0000-0000-000022000000}" name="مبنا MTBF" dataDxfId="185"/>
    <tableColumn id="17" xr3:uid="{00000000-0010-0000-0000-000011000000}" name="هدف MTBF" dataDxfId="184">
      <calculatedColumnFormula>VLOOKUP(E3,Table4[],7,0)</calculatedColumnFormula>
    </tableColumn>
    <tableColumn id="26" xr3:uid="{00000000-0010-0000-0000-00001A000000}" name="TBF(hours)" dataDxfId="183">
      <calculatedColumnFormula>IF(Table1[[#This Row],[زمان آخرین رفع توقف قبل از توقف فعلی]]="","",(Table1[[#This Row],[زمان توقف]]-Table1[[#This Row],[زمان آخرین رفع توقف قبل از توقف فعلی]])/60)</calculatedColumnFormula>
    </tableColumn>
    <tableColumn id="27" xr3:uid="{00000000-0010-0000-0000-00001B000000}" name="زمان آخرین رفع توقف قبل از توقف فعلی" dataDxfId="182">
      <calculatedColumnFormula>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C4" totalsRowShown="0">
  <autoFilter ref="A1:C4" xr:uid="{00000000-0009-0000-0100-000005000000}"/>
  <tableColumns count="3">
    <tableColumn id="1" xr3:uid="{00000000-0010-0000-0400-000001000000}" name="تاریخ اصلاح" dataDxfId="151"/>
    <tableColumn id="2" xr3:uid="{00000000-0010-0000-0400-000002000000}" name="ورژن"/>
    <tableColumn id="3" xr3:uid="{00000000-0010-0000-0400-000003000000}" name="اصلاحیه" dataDxfId="15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6.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68"/>
  <sheetViews>
    <sheetView rightToLeft="1" topLeftCell="A101" zoomScale="78" zoomScaleNormal="78" workbookViewId="0">
      <selection activeCell="M129" sqref="M129"/>
    </sheetView>
  </sheetViews>
  <sheetFormatPr defaultRowHeight="15"/>
  <cols>
    <col min="2" max="2" width="12.85546875" bestFit="1" customWidth="1"/>
    <col min="4" max="4" width="10" bestFit="1" customWidth="1"/>
    <col min="5" max="5" width="11.85546875" bestFit="1" customWidth="1"/>
    <col min="6" max="6" width="5.42578125" bestFit="1" customWidth="1"/>
    <col min="8" max="8" width="22.7109375" bestFit="1" customWidth="1"/>
    <col min="9" max="9" width="11.28515625" bestFit="1" customWidth="1"/>
    <col min="11" max="11" width="10.140625" customWidth="1"/>
    <col min="12" max="12" width="22.7109375" bestFit="1" customWidth="1"/>
    <col min="13" max="13" width="30.28515625" bestFit="1" customWidth="1"/>
    <col min="14" max="14" width="30.28515625" customWidth="1"/>
    <col min="17" max="17" width="10.42578125" customWidth="1"/>
  </cols>
  <sheetData>
    <row r="1" spans="1:17" ht="30">
      <c r="A1" t="s">
        <v>29</v>
      </c>
      <c r="B1" t="s">
        <v>30</v>
      </c>
      <c r="C1" t="s">
        <v>861</v>
      </c>
      <c r="D1" s="13" t="s">
        <v>31</v>
      </c>
      <c r="E1" s="14">
        <f ca="1">TODAY()</f>
        <v>46059</v>
      </c>
      <c r="F1" s="15" t="str">
        <f ca="1">TEXT($E$1,"[$-fa-IR,16]yyyy")</f>
        <v>1404</v>
      </c>
      <c r="H1" t="s">
        <v>96</v>
      </c>
      <c r="I1" t="s">
        <v>10</v>
      </c>
      <c r="K1" s="35" t="s">
        <v>100</v>
      </c>
      <c r="L1" s="35" t="s">
        <v>7</v>
      </c>
      <c r="M1" s="35" t="s">
        <v>4</v>
      </c>
      <c r="N1" s="35" t="s">
        <v>867</v>
      </c>
      <c r="O1" s="2" t="s">
        <v>6</v>
      </c>
      <c r="P1" s="2" t="s">
        <v>868</v>
      </c>
      <c r="Q1" s="4" t="s">
        <v>1</v>
      </c>
    </row>
    <row r="2" spans="1:17" ht="18.75" hidden="1" customHeight="1">
      <c r="A2">
        <v>1</v>
      </c>
      <c r="B2">
        <v>31</v>
      </c>
      <c r="C2" t="s">
        <v>862</v>
      </c>
      <c r="D2" s="13" t="s">
        <v>32</v>
      </c>
      <c r="E2" s="16">
        <f ca="1">NOW()</f>
        <v>46059.705486689818</v>
      </c>
      <c r="F2" s="15" t="str">
        <f ca="1">TEXT(E1,"[$-fa-IR,16]mm")</f>
        <v>11</v>
      </c>
      <c r="H2" t="s">
        <v>75</v>
      </c>
      <c r="I2" t="s">
        <v>12</v>
      </c>
      <c r="K2" s="7" t="s">
        <v>201</v>
      </c>
      <c r="L2" s="7" t="s">
        <v>510</v>
      </c>
      <c r="M2" s="7" t="s">
        <v>548</v>
      </c>
      <c r="N2" s="34">
        <v>24</v>
      </c>
      <c r="O2">
        <v>0.2</v>
      </c>
      <c r="P2">
        <v>360</v>
      </c>
      <c r="Q2" s="9">
        <v>720</v>
      </c>
    </row>
    <row r="3" spans="1:17" ht="18.75" hidden="1" customHeight="1">
      <c r="A3">
        <v>2</v>
      </c>
      <c r="B3">
        <v>31</v>
      </c>
      <c r="C3" t="s">
        <v>862</v>
      </c>
      <c r="D3" s="13"/>
      <c r="E3" s="13"/>
      <c r="F3" s="15" t="str">
        <f ca="1">TEXT(E1,"[$-fa-IR,16]dd")</f>
        <v>17</v>
      </c>
      <c r="H3" t="s">
        <v>97</v>
      </c>
      <c r="I3" t="s">
        <v>11</v>
      </c>
      <c r="K3" s="10" t="s">
        <v>202</v>
      </c>
      <c r="L3" s="8" t="s">
        <v>510</v>
      </c>
      <c r="M3" s="8" t="s">
        <v>549</v>
      </c>
      <c r="N3" s="34">
        <v>24</v>
      </c>
      <c r="O3">
        <v>0.2</v>
      </c>
      <c r="P3">
        <v>360</v>
      </c>
      <c r="Q3" s="9">
        <v>720</v>
      </c>
    </row>
    <row r="4" spans="1:17" ht="18.75" hidden="1" customHeight="1">
      <c r="A4">
        <v>3</v>
      </c>
      <c r="B4">
        <v>31</v>
      </c>
      <c r="C4" t="s">
        <v>862</v>
      </c>
      <c r="D4" s="13" t="s">
        <v>101</v>
      </c>
      <c r="E4" s="13">
        <f ca="1">((F1*365+IF(F2&lt;7,(F2-1)*31,6*31+(F2-6-1)*30)+(F3-1))*24+F4)*60+F5</f>
        <v>738407095</v>
      </c>
      <c r="F4" s="17">
        <f ca="1">HOUR(E2)</f>
        <v>16</v>
      </c>
      <c r="G4" s="5"/>
      <c r="H4" t="s">
        <v>98</v>
      </c>
      <c r="K4" s="7" t="s">
        <v>203</v>
      </c>
      <c r="L4" s="7" t="s">
        <v>510</v>
      </c>
      <c r="M4" s="7" t="s">
        <v>550</v>
      </c>
      <c r="N4" s="34">
        <v>24</v>
      </c>
      <c r="O4">
        <v>0.2</v>
      </c>
      <c r="P4">
        <v>360</v>
      </c>
      <c r="Q4" s="9">
        <v>720</v>
      </c>
    </row>
    <row r="5" spans="1:17" hidden="1">
      <c r="A5">
        <v>4</v>
      </c>
      <c r="B5">
        <v>31</v>
      </c>
      <c r="C5" t="s">
        <v>863</v>
      </c>
      <c r="D5" s="13"/>
      <c r="E5" s="13"/>
      <c r="F5" s="17">
        <f ca="1">MINUTE(E2)</f>
        <v>55</v>
      </c>
      <c r="H5" t="s">
        <v>99</v>
      </c>
      <c r="K5" s="8" t="s">
        <v>92</v>
      </c>
      <c r="L5" s="8" t="s">
        <v>510</v>
      </c>
      <c r="M5" s="8" t="s">
        <v>551</v>
      </c>
      <c r="N5" s="34">
        <v>24</v>
      </c>
      <c r="O5">
        <v>0.2</v>
      </c>
      <c r="P5">
        <v>360</v>
      </c>
      <c r="Q5" s="9">
        <v>720</v>
      </c>
    </row>
    <row r="6" spans="1:17" hidden="1">
      <c r="A6">
        <v>5</v>
      </c>
      <c r="B6">
        <v>31</v>
      </c>
      <c r="C6" t="s">
        <v>863</v>
      </c>
      <c r="H6" t="s">
        <v>1289</v>
      </c>
      <c r="K6" s="7" t="s">
        <v>204</v>
      </c>
      <c r="L6" s="7" t="s">
        <v>510</v>
      </c>
      <c r="M6" s="7" t="s">
        <v>552</v>
      </c>
      <c r="N6" s="34">
        <v>24</v>
      </c>
      <c r="O6">
        <v>0.2</v>
      </c>
      <c r="P6">
        <v>360</v>
      </c>
      <c r="Q6" s="9">
        <v>720</v>
      </c>
    </row>
    <row r="7" spans="1:17" hidden="1">
      <c r="A7">
        <v>6</v>
      </c>
      <c r="B7">
        <v>31</v>
      </c>
      <c r="C7" t="s">
        <v>863</v>
      </c>
      <c r="K7" s="8" t="s">
        <v>93</v>
      </c>
      <c r="L7" s="8" t="s">
        <v>510</v>
      </c>
      <c r="M7" s="8" t="s">
        <v>553</v>
      </c>
      <c r="N7" s="34">
        <v>24</v>
      </c>
      <c r="O7">
        <v>0.2</v>
      </c>
      <c r="P7">
        <v>360</v>
      </c>
      <c r="Q7" s="9">
        <v>720</v>
      </c>
    </row>
    <row r="8" spans="1:17" hidden="1">
      <c r="A8">
        <v>7</v>
      </c>
      <c r="B8">
        <v>30</v>
      </c>
      <c r="C8" t="s">
        <v>864</v>
      </c>
      <c r="K8" s="7" t="s">
        <v>72</v>
      </c>
      <c r="L8" s="7" t="s">
        <v>510</v>
      </c>
      <c r="M8" s="7" t="s">
        <v>554</v>
      </c>
      <c r="N8" s="34">
        <v>24</v>
      </c>
      <c r="O8">
        <v>0.2</v>
      </c>
      <c r="P8">
        <v>360</v>
      </c>
      <c r="Q8" s="9">
        <v>720</v>
      </c>
    </row>
    <row r="9" spans="1:17" hidden="1">
      <c r="A9">
        <v>8</v>
      </c>
      <c r="B9">
        <v>30</v>
      </c>
      <c r="C9" t="s">
        <v>864</v>
      </c>
      <c r="K9" s="8" t="s">
        <v>205</v>
      </c>
      <c r="L9" s="8" t="s">
        <v>510</v>
      </c>
      <c r="M9" s="8" t="s">
        <v>555</v>
      </c>
      <c r="N9" s="34">
        <v>24</v>
      </c>
      <c r="O9">
        <v>0.2</v>
      </c>
      <c r="P9">
        <v>360</v>
      </c>
      <c r="Q9" s="9">
        <v>720</v>
      </c>
    </row>
    <row r="10" spans="1:17" hidden="1">
      <c r="A10">
        <v>9</v>
      </c>
      <c r="B10">
        <v>30</v>
      </c>
      <c r="C10" t="s">
        <v>864</v>
      </c>
      <c r="K10" s="7" t="s">
        <v>206</v>
      </c>
      <c r="L10" s="7" t="s">
        <v>510</v>
      </c>
      <c r="M10" s="7" t="s">
        <v>556</v>
      </c>
      <c r="N10" s="34">
        <v>24</v>
      </c>
      <c r="O10">
        <v>0.2</v>
      </c>
      <c r="P10">
        <v>360</v>
      </c>
      <c r="Q10" s="9">
        <v>720</v>
      </c>
    </row>
    <row r="11" spans="1:17" hidden="1">
      <c r="A11">
        <v>10</v>
      </c>
      <c r="B11">
        <v>30</v>
      </c>
      <c r="C11" t="s">
        <v>865</v>
      </c>
      <c r="K11" s="8" t="s">
        <v>207</v>
      </c>
      <c r="L11" s="8" t="s">
        <v>510</v>
      </c>
      <c r="M11" s="8" t="s">
        <v>557</v>
      </c>
      <c r="N11" s="34">
        <v>24</v>
      </c>
      <c r="O11">
        <v>0.2</v>
      </c>
      <c r="P11">
        <v>360</v>
      </c>
      <c r="Q11" s="9">
        <v>720</v>
      </c>
    </row>
    <row r="12" spans="1:17" hidden="1">
      <c r="A12">
        <v>11</v>
      </c>
      <c r="B12">
        <v>30</v>
      </c>
      <c r="C12" t="s">
        <v>865</v>
      </c>
      <c r="K12" s="7" t="s">
        <v>208</v>
      </c>
      <c r="L12" s="7" t="s">
        <v>510</v>
      </c>
      <c r="M12" s="7" t="s">
        <v>558</v>
      </c>
      <c r="N12" s="34">
        <v>24</v>
      </c>
      <c r="O12">
        <v>0.2</v>
      </c>
      <c r="P12">
        <v>360</v>
      </c>
      <c r="Q12" s="9">
        <v>720</v>
      </c>
    </row>
    <row r="13" spans="1:17" hidden="1">
      <c r="A13">
        <v>12</v>
      </c>
      <c r="B13">
        <v>30</v>
      </c>
      <c r="C13" t="s">
        <v>865</v>
      </c>
      <c r="K13" s="8" t="s">
        <v>209</v>
      </c>
      <c r="L13" s="8" t="s">
        <v>510</v>
      </c>
      <c r="M13" s="8" t="s">
        <v>559</v>
      </c>
      <c r="N13" s="34">
        <v>24</v>
      </c>
      <c r="O13">
        <v>0.2</v>
      </c>
      <c r="P13">
        <v>360</v>
      </c>
      <c r="Q13" s="9">
        <v>720</v>
      </c>
    </row>
    <row r="14" spans="1:17" hidden="1">
      <c r="K14" s="7" t="s">
        <v>210</v>
      </c>
      <c r="L14" s="7" t="s">
        <v>510</v>
      </c>
      <c r="M14" s="7" t="s">
        <v>560</v>
      </c>
      <c r="N14" s="34">
        <v>24</v>
      </c>
      <c r="O14">
        <v>0.2</v>
      </c>
      <c r="P14">
        <v>360</v>
      </c>
      <c r="Q14" s="9">
        <v>720</v>
      </c>
    </row>
    <row r="15" spans="1:17" hidden="1">
      <c r="I15" s="11"/>
      <c r="K15" s="8" t="s">
        <v>211</v>
      </c>
      <c r="L15" s="8" t="s">
        <v>510</v>
      </c>
      <c r="M15" s="8" t="s">
        <v>561</v>
      </c>
      <c r="N15" s="34">
        <v>24</v>
      </c>
      <c r="O15">
        <v>0.2</v>
      </c>
      <c r="P15">
        <v>360</v>
      </c>
      <c r="Q15" s="9">
        <v>720</v>
      </c>
    </row>
    <row r="16" spans="1:17" hidden="1">
      <c r="I16" s="11"/>
      <c r="K16" s="7" t="s">
        <v>212</v>
      </c>
      <c r="L16" s="7" t="s">
        <v>510</v>
      </c>
      <c r="M16" s="7" t="s">
        <v>562</v>
      </c>
      <c r="N16" s="34">
        <v>24</v>
      </c>
      <c r="O16">
        <v>0.2</v>
      </c>
      <c r="P16">
        <v>360</v>
      </c>
      <c r="Q16" s="9">
        <v>720</v>
      </c>
    </row>
    <row r="17" spans="9:17" hidden="1">
      <c r="I17" s="11"/>
      <c r="K17" s="8" t="s">
        <v>213</v>
      </c>
      <c r="L17" s="8" t="s">
        <v>510</v>
      </c>
      <c r="M17" s="8" t="s">
        <v>563</v>
      </c>
      <c r="N17" s="34">
        <v>24</v>
      </c>
      <c r="O17">
        <v>0.2</v>
      </c>
      <c r="P17">
        <v>360</v>
      </c>
      <c r="Q17" s="9">
        <v>720</v>
      </c>
    </row>
    <row r="18" spans="9:17" hidden="1">
      <c r="I18" s="11"/>
      <c r="K18" s="7" t="s">
        <v>214</v>
      </c>
      <c r="L18" s="7" t="s">
        <v>510</v>
      </c>
      <c r="M18" s="7" t="s">
        <v>564</v>
      </c>
      <c r="N18" s="34">
        <v>24</v>
      </c>
      <c r="O18">
        <v>0.2</v>
      </c>
      <c r="P18">
        <v>360</v>
      </c>
      <c r="Q18" s="9">
        <v>720</v>
      </c>
    </row>
    <row r="19" spans="9:17" hidden="1">
      <c r="I19" s="11"/>
      <c r="K19" s="8" t="s">
        <v>215</v>
      </c>
      <c r="L19" s="8" t="s">
        <v>510</v>
      </c>
      <c r="M19" s="8" t="s">
        <v>565</v>
      </c>
      <c r="N19" s="34">
        <v>24</v>
      </c>
      <c r="O19">
        <v>0.2</v>
      </c>
      <c r="P19">
        <v>360</v>
      </c>
      <c r="Q19" s="9">
        <v>720</v>
      </c>
    </row>
    <row r="20" spans="9:17" hidden="1">
      <c r="I20" s="11"/>
      <c r="K20" s="7" t="s">
        <v>216</v>
      </c>
      <c r="L20" s="7" t="s">
        <v>510</v>
      </c>
      <c r="M20" s="7" t="s">
        <v>566</v>
      </c>
      <c r="N20" s="34">
        <v>24</v>
      </c>
      <c r="O20">
        <v>0.2</v>
      </c>
      <c r="P20">
        <v>360</v>
      </c>
      <c r="Q20" s="9">
        <v>720</v>
      </c>
    </row>
    <row r="21" spans="9:17" ht="18.75" hidden="1" customHeight="1">
      <c r="I21" s="11"/>
      <c r="K21" s="8" t="s">
        <v>217</v>
      </c>
      <c r="L21" s="8" t="s">
        <v>510</v>
      </c>
      <c r="M21" s="8" t="s">
        <v>567</v>
      </c>
      <c r="N21" s="34">
        <v>24</v>
      </c>
      <c r="O21">
        <v>0.2</v>
      </c>
      <c r="P21">
        <v>360</v>
      </c>
      <c r="Q21" s="9">
        <v>720</v>
      </c>
    </row>
    <row r="22" spans="9:17" hidden="1">
      <c r="I22" s="11"/>
      <c r="K22" s="7" t="s">
        <v>218</v>
      </c>
      <c r="L22" s="7" t="s">
        <v>510</v>
      </c>
      <c r="M22" s="7" t="s">
        <v>568</v>
      </c>
      <c r="N22" s="34">
        <v>24</v>
      </c>
      <c r="O22">
        <v>0.2</v>
      </c>
      <c r="P22">
        <v>360</v>
      </c>
      <c r="Q22" s="9">
        <v>720</v>
      </c>
    </row>
    <row r="23" spans="9:17" hidden="1">
      <c r="I23" s="11"/>
      <c r="K23" s="8" t="s">
        <v>219</v>
      </c>
      <c r="L23" s="8" t="s">
        <v>510</v>
      </c>
      <c r="M23" s="8" t="s">
        <v>569</v>
      </c>
      <c r="N23" s="34">
        <v>24</v>
      </c>
      <c r="O23">
        <v>0.2</v>
      </c>
      <c r="P23">
        <v>360</v>
      </c>
      <c r="Q23" s="9">
        <v>720</v>
      </c>
    </row>
    <row r="24" spans="9:17" hidden="1">
      <c r="I24" s="11"/>
      <c r="K24" s="7" t="s">
        <v>220</v>
      </c>
      <c r="L24" s="7" t="s">
        <v>510</v>
      </c>
      <c r="M24" s="7" t="s">
        <v>570</v>
      </c>
      <c r="N24" s="34">
        <v>24</v>
      </c>
      <c r="O24">
        <v>0.2</v>
      </c>
      <c r="P24">
        <v>360</v>
      </c>
      <c r="Q24" s="9">
        <v>720</v>
      </c>
    </row>
    <row r="25" spans="9:17" ht="18.75" hidden="1" customHeight="1">
      <c r="I25" s="11"/>
      <c r="K25" s="8" t="s">
        <v>221</v>
      </c>
      <c r="L25" s="8" t="s">
        <v>511</v>
      </c>
      <c r="M25" s="8" t="s">
        <v>571</v>
      </c>
      <c r="N25" s="34">
        <v>24</v>
      </c>
      <c r="O25">
        <v>0.2</v>
      </c>
      <c r="P25">
        <v>360</v>
      </c>
      <c r="Q25" s="9">
        <v>720</v>
      </c>
    </row>
    <row r="26" spans="9:17" ht="18.75" hidden="1" customHeight="1">
      <c r="I26" s="11"/>
      <c r="K26" s="7" t="s">
        <v>91</v>
      </c>
      <c r="L26" s="7" t="s">
        <v>511</v>
      </c>
      <c r="M26" s="7" t="s">
        <v>572</v>
      </c>
      <c r="N26" s="34">
        <v>24</v>
      </c>
      <c r="O26">
        <v>0.2</v>
      </c>
      <c r="P26">
        <v>360</v>
      </c>
      <c r="Q26" s="9">
        <v>720</v>
      </c>
    </row>
    <row r="27" spans="9:17" ht="18.75" hidden="1" customHeight="1">
      <c r="I27" s="11"/>
      <c r="K27" s="8" t="s">
        <v>222</v>
      </c>
      <c r="L27" s="8" t="s">
        <v>511</v>
      </c>
      <c r="M27" s="8" t="s">
        <v>573</v>
      </c>
      <c r="N27" s="34">
        <v>24</v>
      </c>
      <c r="O27">
        <v>0.2</v>
      </c>
      <c r="P27">
        <v>360</v>
      </c>
      <c r="Q27" s="9">
        <v>720</v>
      </c>
    </row>
    <row r="28" spans="9:17" ht="18.75" hidden="1" customHeight="1">
      <c r="I28" s="12"/>
      <c r="K28" s="7" t="s">
        <v>130</v>
      </c>
      <c r="L28" s="7" t="s">
        <v>511</v>
      </c>
      <c r="M28" s="7" t="s">
        <v>574</v>
      </c>
      <c r="N28" s="34">
        <v>24</v>
      </c>
      <c r="O28">
        <v>0.2</v>
      </c>
      <c r="P28">
        <v>360</v>
      </c>
      <c r="Q28" s="9">
        <v>720</v>
      </c>
    </row>
    <row r="29" spans="9:17" ht="18.75" hidden="1" customHeight="1">
      <c r="K29" s="7" t="s">
        <v>122</v>
      </c>
      <c r="L29" s="7" t="s">
        <v>511</v>
      </c>
      <c r="M29" s="7" t="s">
        <v>575</v>
      </c>
      <c r="N29" s="34">
        <v>24</v>
      </c>
      <c r="O29">
        <v>0.2</v>
      </c>
      <c r="P29">
        <v>360</v>
      </c>
      <c r="Q29" s="9">
        <v>720</v>
      </c>
    </row>
    <row r="30" spans="9:17" ht="18.75" hidden="1" customHeight="1">
      <c r="K30" s="7" t="s">
        <v>107</v>
      </c>
      <c r="L30" s="7" t="s">
        <v>511</v>
      </c>
      <c r="M30" s="7" t="s">
        <v>576</v>
      </c>
      <c r="N30" s="34">
        <v>24</v>
      </c>
      <c r="O30">
        <v>0.2</v>
      </c>
      <c r="P30">
        <v>360</v>
      </c>
      <c r="Q30" s="9">
        <v>720</v>
      </c>
    </row>
    <row r="31" spans="9:17" ht="18.75" hidden="1" customHeight="1">
      <c r="K31" s="7" t="s">
        <v>117</v>
      </c>
      <c r="L31" s="7" t="s">
        <v>511</v>
      </c>
      <c r="M31" s="7" t="s">
        <v>577</v>
      </c>
      <c r="N31" s="34">
        <v>24</v>
      </c>
      <c r="O31">
        <v>0.2</v>
      </c>
      <c r="P31">
        <v>360</v>
      </c>
      <c r="Q31" s="9">
        <v>720</v>
      </c>
    </row>
    <row r="32" spans="9:17" ht="18.75" hidden="1" customHeight="1">
      <c r="K32" s="7" t="s">
        <v>223</v>
      </c>
      <c r="L32" s="7" t="s">
        <v>511</v>
      </c>
      <c r="M32" s="7" t="s">
        <v>578</v>
      </c>
      <c r="N32" s="34">
        <v>24</v>
      </c>
      <c r="O32">
        <v>0.2</v>
      </c>
      <c r="P32">
        <v>360</v>
      </c>
      <c r="Q32" s="9">
        <v>720</v>
      </c>
    </row>
    <row r="33" spans="11:17" ht="18.75" hidden="1" customHeight="1">
      <c r="K33" s="7" t="s">
        <v>74</v>
      </c>
      <c r="L33" s="7" t="s">
        <v>511</v>
      </c>
      <c r="M33" s="7" t="s">
        <v>579</v>
      </c>
      <c r="N33" s="34">
        <v>24</v>
      </c>
      <c r="O33">
        <v>0.2</v>
      </c>
      <c r="P33">
        <v>360</v>
      </c>
      <c r="Q33" s="9">
        <v>720</v>
      </c>
    </row>
    <row r="34" spans="11:17" ht="18.75" hidden="1" customHeight="1">
      <c r="K34" s="7" t="s">
        <v>73</v>
      </c>
      <c r="L34" s="7" t="s">
        <v>511</v>
      </c>
      <c r="M34" s="7" t="s">
        <v>580</v>
      </c>
      <c r="N34" s="34">
        <v>24</v>
      </c>
      <c r="O34">
        <v>0.2</v>
      </c>
      <c r="P34">
        <v>360</v>
      </c>
      <c r="Q34" s="9">
        <v>720</v>
      </c>
    </row>
    <row r="35" spans="11:17" ht="18.75" hidden="1" customHeight="1">
      <c r="K35" s="7" t="s">
        <v>224</v>
      </c>
      <c r="L35" s="7" t="s">
        <v>511</v>
      </c>
      <c r="M35" s="7" t="s">
        <v>581</v>
      </c>
      <c r="N35" s="34">
        <v>24</v>
      </c>
      <c r="O35">
        <v>0.2</v>
      </c>
      <c r="P35">
        <v>360</v>
      </c>
      <c r="Q35" s="9">
        <v>720</v>
      </c>
    </row>
    <row r="36" spans="11:17" hidden="1">
      <c r="K36" s="7" t="s">
        <v>74</v>
      </c>
      <c r="L36" s="7" t="s">
        <v>511</v>
      </c>
      <c r="M36" s="7" t="s">
        <v>582</v>
      </c>
      <c r="N36" s="34">
        <v>24</v>
      </c>
      <c r="O36">
        <v>0.2</v>
      </c>
      <c r="P36">
        <v>360</v>
      </c>
      <c r="Q36" s="9">
        <v>720</v>
      </c>
    </row>
    <row r="37" spans="11:17" hidden="1">
      <c r="K37" s="7" t="s">
        <v>73</v>
      </c>
      <c r="L37" s="7" t="s">
        <v>511</v>
      </c>
      <c r="M37" s="7" t="s">
        <v>583</v>
      </c>
      <c r="N37" s="34">
        <v>24</v>
      </c>
      <c r="O37">
        <v>0.2</v>
      </c>
      <c r="P37">
        <v>360</v>
      </c>
      <c r="Q37" s="9">
        <v>720</v>
      </c>
    </row>
    <row r="38" spans="11:17" hidden="1">
      <c r="K38" s="7" t="s">
        <v>224</v>
      </c>
      <c r="L38" s="7" t="s">
        <v>511</v>
      </c>
      <c r="M38" s="7" t="s">
        <v>584</v>
      </c>
      <c r="N38" s="34">
        <v>24</v>
      </c>
      <c r="O38">
        <v>0.2</v>
      </c>
      <c r="P38">
        <v>360</v>
      </c>
      <c r="Q38" s="9">
        <v>720</v>
      </c>
    </row>
    <row r="39" spans="11:17" hidden="1">
      <c r="K39" s="7" t="s">
        <v>225</v>
      </c>
      <c r="L39" s="7" t="s">
        <v>511</v>
      </c>
      <c r="M39" s="7" t="s">
        <v>585</v>
      </c>
      <c r="N39" s="34">
        <v>24</v>
      </c>
      <c r="O39">
        <v>0.2</v>
      </c>
      <c r="P39">
        <v>360</v>
      </c>
      <c r="Q39" s="9">
        <v>720</v>
      </c>
    </row>
    <row r="40" spans="11:17" ht="18.75" hidden="1" customHeight="1">
      <c r="K40" s="7" t="s">
        <v>226</v>
      </c>
      <c r="L40" s="7" t="s">
        <v>511</v>
      </c>
      <c r="M40" s="7" t="s">
        <v>586</v>
      </c>
      <c r="N40" s="34">
        <v>24</v>
      </c>
      <c r="O40">
        <v>0.2</v>
      </c>
      <c r="P40">
        <v>360</v>
      </c>
      <c r="Q40" s="9">
        <v>720</v>
      </c>
    </row>
    <row r="41" spans="11:17" ht="18.75" hidden="1" customHeight="1">
      <c r="K41" s="7" t="s">
        <v>221</v>
      </c>
      <c r="L41" s="7" t="s">
        <v>511</v>
      </c>
      <c r="M41" s="7" t="s">
        <v>587</v>
      </c>
      <c r="N41" s="34">
        <v>24</v>
      </c>
      <c r="O41">
        <v>0.2</v>
      </c>
      <c r="P41">
        <v>360</v>
      </c>
      <c r="Q41" s="9">
        <v>720</v>
      </c>
    </row>
    <row r="42" spans="11:17" ht="18.75" hidden="1" customHeight="1">
      <c r="K42" s="7" t="s">
        <v>227</v>
      </c>
      <c r="L42" s="7" t="s">
        <v>511</v>
      </c>
      <c r="M42" s="7" t="s">
        <v>588</v>
      </c>
      <c r="N42" s="34">
        <v>24</v>
      </c>
      <c r="O42">
        <v>0.2</v>
      </c>
      <c r="P42">
        <v>360</v>
      </c>
      <c r="Q42" s="9">
        <v>720</v>
      </c>
    </row>
    <row r="43" spans="11:17" ht="18.75" hidden="1" customHeight="1">
      <c r="K43" s="7" t="s">
        <v>228</v>
      </c>
      <c r="L43" s="7" t="s">
        <v>511</v>
      </c>
      <c r="M43" s="7" t="s">
        <v>589</v>
      </c>
      <c r="N43" s="34">
        <v>24</v>
      </c>
      <c r="O43">
        <v>0.2</v>
      </c>
      <c r="P43">
        <v>360</v>
      </c>
      <c r="Q43" s="9">
        <v>720</v>
      </c>
    </row>
    <row r="44" spans="11:17" hidden="1">
      <c r="K44" s="7" t="s">
        <v>229</v>
      </c>
      <c r="L44" s="7" t="s">
        <v>511</v>
      </c>
      <c r="M44" s="7" t="s">
        <v>590</v>
      </c>
      <c r="N44" s="34">
        <v>24</v>
      </c>
      <c r="O44">
        <v>0.2</v>
      </c>
      <c r="P44">
        <v>360</v>
      </c>
      <c r="Q44" s="9">
        <v>720</v>
      </c>
    </row>
    <row r="45" spans="11:17" hidden="1">
      <c r="K45" s="7" t="s">
        <v>230</v>
      </c>
      <c r="L45" s="7" t="s">
        <v>511</v>
      </c>
      <c r="M45" s="7" t="s">
        <v>591</v>
      </c>
      <c r="N45" s="34">
        <v>24</v>
      </c>
      <c r="O45">
        <v>0.2</v>
      </c>
      <c r="P45">
        <v>360</v>
      </c>
      <c r="Q45" s="9">
        <v>720</v>
      </c>
    </row>
    <row r="46" spans="11:17" ht="18.75" hidden="1" customHeight="1">
      <c r="K46" s="7" t="s">
        <v>231</v>
      </c>
      <c r="L46" s="7" t="s">
        <v>511</v>
      </c>
      <c r="M46" s="7" t="s">
        <v>592</v>
      </c>
      <c r="N46" s="34">
        <v>24</v>
      </c>
      <c r="O46">
        <v>0.2</v>
      </c>
      <c r="P46">
        <v>360</v>
      </c>
      <c r="Q46" s="9">
        <v>720</v>
      </c>
    </row>
    <row r="47" spans="11:17" ht="18.75" hidden="1" customHeight="1">
      <c r="K47" s="7" t="s">
        <v>232</v>
      </c>
      <c r="L47" s="7" t="s">
        <v>511</v>
      </c>
      <c r="M47" s="7" t="s">
        <v>593</v>
      </c>
      <c r="N47" s="34">
        <v>24</v>
      </c>
      <c r="O47">
        <v>0.2</v>
      </c>
      <c r="P47">
        <v>360</v>
      </c>
      <c r="Q47" s="9">
        <v>720</v>
      </c>
    </row>
    <row r="48" spans="11:17" ht="18.75" hidden="1" customHeight="1">
      <c r="K48" s="7" t="s">
        <v>233</v>
      </c>
      <c r="L48" s="7" t="s">
        <v>511</v>
      </c>
      <c r="M48" s="7" t="s">
        <v>594</v>
      </c>
      <c r="N48" s="34">
        <v>24</v>
      </c>
      <c r="O48">
        <v>0.2</v>
      </c>
      <c r="P48">
        <v>360</v>
      </c>
      <c r="Q48" s="9">
        <v>720</v>
      </c>
    </row>
    <row r="49" spans="11:17" hidden="1">
      <c r="K49" s="7" t="s">
        <v>234</v>
      </c>
      <c r="L49" s="7" t="s">
        <v>511</v>
      </c>
      <c r="M49" s="7" t="s">
        <v>595</v>
      </c>
      <c r="N49" s="34">
        <v>24</v>
      </c>
      <c r="O49">
        <v>0.2</v>
      </c>
      <c r="P49">
        <v>360</v>
      </c>
      <c r="Q49" s="9">
        <v>720</v>
      </c>
    </row>
    <row r="50" spans="11:17" hidden="1">
      <c r="K50" s="7" t="s">
        <v>235</v>
      </c>
      <c r="L50" s="7" t="s">
        <v>511</v>
      </c>
      <c r="M50" s="7" t="s">
        <v>596</v>
      </c>
      <c r="N50" s="34">
        <v>24</v>
      </c>
      <c r="O50">
        <v>0.2</v>
      </c>
      <c r="P50">
        <v>360</v>
      </c>
      <c r="Q50" s="9">
        <v>720</v>
      </c>
    </row>
    <row r="51" spans="11:17" hidden="1">
      <c r="K51" s="7" t="s">
        <v>236</v>
      </c>
      <c r="L51" s="7" t="s">
        <v>511</v>
      </c>
      <c r="M51" s="7" t="s">
        <v>597</v>
      </c>
      <c r="N51" s="34">
        <v>24</v>
      </c>
      <c r="O51">
        <v>0.2</v>
      </c>
      <c r="P51">
        <v>360</v>
      </c>
      <c r="Q51" s="9">
        <v>720</v>
      </c>
    </row>
    <row r="52" spans="11:17" hidden="1">
      <c r="K52" s="7" t="s">
        <v>237</v>
      </c>
      <c r="L52" s="7" t="s">
        <v>511</v>
      </c>
      <c r="M52" s="7" t="s">
        <v>598</v>
      </c>
      <c r="N52" s="34">
        <v>24</v>
      </c>
      <c r="O52">
        <v>0.2</v>
      </c>
      <c r="P52">
        <v>360</v>
      </c>
      <c r="Q52" s="9">
        <v>720</v>
      </c>
    </row>
    <row r="53" spans="11:17" ht="18.75" hidden="1" customHeight="1">
      <c r="K53" s="7" t="s">
        <v>238</v>
      </c>
      <c r="L53" s="7" t="s">
        <v>512</v>
      </c>
      <c r="M53" s="7" t="s">
        <v>599</v>
      </c>
      <c r="N53" s="34">
        <v>24</v>
      </c>
      <c r="O53">
        <v>0.2</v>
      </c>
      <c r="P53">
        <v>360</v>
      </c>
      <c r="Q53" s="9">
        <v>720</v>
      </c>
    </row>
    <row r="54" spans="11:17" ht="18.75" hidden="1" customHeight="1">
      <c r="K54" s="7" t="s">
        <v>239</v>
      </c>
      <c r="L54" s="7" t="s">
        <v>512</v>
      </c>
      <c r="M54" s="7" t="s">
        <v>600</v>
      </c>
      <c r="N54" s="34">
        <v>24</v>
      </c>
      <c r="O54">
        <v>0.2</v>
      </c>
      <c r="P54">
        <v>360</v>
      </c>
      <c r="Q54" s="9">
        <v>720</v>
      </c>
    </row>
    <row r="55" spans="11:17" ht="18.75" hidden="1" customHeight="1">
      <c r="K55" s="7" t="s">
        <v>240</v>
      </c>
      <c r="L55" s="7" t="s">
        <v>512</v>
      </c>
      <c r="M55" s="7" t="s">
        <v>601</v>
      </c>
      <c r="N55" s="34">
        <v>24</v>
      </c>
      <c r="O55">
        <v>0.2</v>
      </c>
      <c r="P55">
        <v>360</v>
      </c>
      <c r="Q55" s="9">
        <v>720</v>
      </c>
    </row>
    <row r="56" spans="11:17" ht="18.75" hidden="1" customHeight="1">
      <c r="K56" s="7" t="s">
        <v>241</v>
      </c>
      <c r="L56" s="7" t="s">
        <v>512</v>
      </c>
      <c r="M56" s="7" t="s">
        <v>602</v>
      </c>
      <c r="N56" s="34">
        <v>24</v>
      </c>
      <c r="O56">
        <v>0.2</v>
      </c>
      <c r="P56">
        <v>360</v>
      </c>
      <c r="Q56" s="9">
        <v>720</v>
      </c>
    </row>
    <row r="57" spans="11:17" ht="18.75" hidden="1" customHeight="1">
      <c r="K57" s="7" t="s">
        <v>242</v>
      </c>
      <c r="L57" s="7" t="s">
        <v>512</v>
      </c>
      <c r="M57" s="7" t="s">
        <v>603</v>
      </c>
      <c r="N57" s="34">
        <v>24</v>
      </c>
      <c r="O57">
        <v>0.2</v>
      </c>
      <c r="P57">
        <v>360</v>
      </c>
      <c r="Q57" s="9">
        <v>720</v>
      </c>
    </row>
    <row r="58" spans="11:17" ht="18.75" hidden="1" customHeight="1">
      <c r="K58" s="7" t="s">
        <v>243</v>
      </c>
      <c r="L58" s="7" t="s">
        <v>512</v>
      </c>
      <c r="M58" s="7" t="s">
        <v>604</v>
      </c>
      <c r="N58" s="34">
        <v>24</v>
      </c>
      <c r="O58">
        <v>0.2</v>
      </c>
      <c r="P58">
        <v>360</v>
      </c>
      <c r="Q58" s="9">
        <v>720</v>
      </c>
    </row>
    <row r="59" spans="11:17" ht="18.75" hidden="1" customHeight="1">
      <c r="K59" s="7" t="s">
        <v>244</v>
      </c>
      <c r="L59" s="7" t="s">
        <v>512</v>
      </c>
      <c r="M59" s="7" t="s">
        <v>832</v>
      </c>
      <c r="N59" s="34">
        <v>24</v>
      </c>
      <c r="O59">
        <v>0.2</v>
      </c>
      <c r="P59">
        <v>360</v>
      </c>
      <c r="Q59" s="9">
        <v>720</v>
      </c>
    </row>
    <row r="60" spans="11:17" ht="18.75" hidden="1" customHeight="1">
      <c r="K60" s="7" t="s">
        <v>245</v>
      </c>
      <c r="L60" s="7" t="s">
        <v>512</v>
      </c>
      <c r="M60" s="7" t="s">
        <v>833</v>
      </c>
      <c r="N60" s="34">
        <v>24</v>
      </c>
      <c r="O60">
        <v>0.2</v>
      </c>
      <c r="P60">
        <v>360</v>
      </c>
      <c r="Q60" s="9">
        <v>720</v>
      </c>
    </row>
    <row r="61" spans="11:17" ht="18.75" hidden="1" customHeight="1">
      <c r="K61" s="7" t="s">
        <v>246</v>
      </c>
      <c r="L61" s="7" t="s">
        <v>512</v>
      </c>
      <c r="M61" s="7" t="s">
        <v>834</v>
      </c>
      <c r="N61" s="34">
        <v>24</v>
      </c>
      <c r="O61">
        <v>0.2</v>
      </c>
      <c r="P61">
        <v>360</v>
      </c>
      <c r="Q61" s="9">
        <v>720</v>
      </c>
    </row>
    <row r="62" spans="11:17" ht="18.75" hidden="1" customHeight="1">
      <c r="K62" s="7" t="s">
        <v>247</v>
      </c>
      <c r="L62" s="7" t="s">
        <v>512</v>
      </c>
      <c r="M62" s="7" t="s">
        <v>835</v>
      </c>
      <c r="N62" s="34">
        <v>24</v>
      </c>
      <c r="O62">
        <v>0.2</v>
      </c>
      <c r="P62">
        <v>360</v>
      </c>
      <c r="Q62" s="9">
        <v>720</v>
      </c>
    </row>
    <row r="63" spans="11:17" ht="18.75" hidden="1" customHeight="1">
      <c r="K63" s="7" t="s">
        <v>248</v>
      </c>
      <c r="L63" s="7" t="s">
        <v>512</v>
      </c>
      <c r="M63" s="7" t="s">
        <v>836</v>
      </c>
      <c r="N63" s="34">
        <v>24</v>
      </c>
      <c r="O63">
        <v>0.2</v>
      </c>
      <c r="P63">
        <v>360</v>
      </c>
      <c r="Q63" s="9">
        <v>720</v>
      </c>
    </row>
    <row r="64" spans="11:17" hidden="1">
      <c r="K64" s="7" t="s">
        <v>249</v>
      </c>
      <c r="L64" s="7" t="s">
        <v>512</v>
      </c>
      <c r="M64" s="7" t="s">
        <v>605</v>
      </c>
      <c r="N64" s="34">
        <v>24</v>
      </c>
      <c r="O64">
        <v>0.2</v>
      </c>
      <c r="P64">
        <v>360</v>
      </c>
      <c r="Q64" s="9">
        <v>720</v>
      </c>
    </row>
    <row r="65" spans="11:17" hidden="1">
      <c r="K65" s="7" t="s">
        <v>250</v>
      </c>
      <c r="L65" s="7" t="s">
        <v>512</v>
      </c>
      <c r="M65" s="7" t="s">
        <v>606</v>
      </c>
      <c r="N65" s="34">
        <v>24</v>
      </c>
      <c r="O65">
        <v>0.2</v>
      </c>
      <c r="P65">
        <v>360</v>
      </c>
      <c r="Q65" s="9">
        <v>720</v>
      </c>
    </row>
    <row r="66" spans="11:17" ht="18.75" hidden="1" customHeight="1">
      <c r="K66" s="7" t="s">
        <v>251</v>
      </c>
      <c r="L66" s="7" t="s">
        <v>512</v>
      </c>
      <c r="M66" s="7" t="s">
        <v>607</v>
      </c>
      <c r="N66" s="34">
        <v>24</v>
      </c>
      <c r="O66">
        <v>0.2</v>
      </c>
      <c r="P66">
        <v>360</v>
      </c>
      <c r="Q66" s="9">
        <v>720</v>
      </c>
    </row>
    <row r="67" spans="11:17" hidden="1">
      <c r="K67" s="7" t="s">
        <v>252</v>
      </c>
      <c r="L67" s="7" t="s">
        <v>512</v>
      </c>
      <c r="M67" s="7" t="s">
        <v>608</v>
      </c>
      <c r="N67" s="34">
        <v>24</v>
      </c>
      <c r="O67">
        <v>0.2</v>
      </c>
      <c r="P67">
        <v>360</v>
      </c>
      <c r="Q67" s="9">
        <v>720</v>
      </c>
    </row>
    <row r="68" spans="11:17" hidden="1">
      <c r="K68" s="7" t="s">
        <v>253</v>
      </c>
      <c r="L68" s="7" t="s">
        <v>512</v>
      </c>
      <c r="M68" s="7" t="s">
        <v>609</v>
      </c>
      <c r="N68" s="34">
        <v>24</v>
      </c>
      <c r="O68">
        <v>0.2</v>
      </c>
      <c r="P68">
        <v>360</v>
      </c>
      <c r="Q68" s="9">
        <v>720</v>
      </c>
    </row>
    <row r="69" spans="11:17" hidden="1">
      <c r="K69" s="7" t="s">
        <v>254</v>
      </c>
      <c r="L69" s="7" t="s">
        <v>512</v>
      </c>
      <c r="M69" s="7" t="s">
        <v>610</v>
      </c>
      <c r="N69" s="34">
        <v>24</v>
      </c>
      <c r="O69">
        <v>0.2</v>
      </c>
      <c r="P69">
        <v>360</v>
      </c>
      <c r="Q69" s="9">
        <v>720</v>
      </c>
    </row>
    <row r="70" spans="11:17" hidden="1">
      <c r="K70" s="7" t="s">
        <v>255</v>
      </c>
      <c r="L70" s="7" t="s">
        <v>512</v>
      </c>
      <c r="M70" s="7" t="s">
        <v>611</v>
      </c>
      <c r="N70" s="34">
        <v>24</v>
      </c>
      <c r="O70">
        <v>0.2</v>
      </c>
      <c r="P70">
        <v>360</v>
      </c>
      <c r="Q70" s="9">
        <v>720</v>
      </c>
    </row>
    <row r="71" spans="11:17" ht="18.75" hidden="1" customHeight="1">
      <c r="K71" s="7" t="s">
        <v>256</v>
      </c>
      <c r="L71" s="7" t="s">
        <v>512</v>
      </c>
      <c r="M71" s="7" t="s">
        <v>612</v>
      </c>
      <c r="N71" s="34">
        <v>24</v>
      </c>
      <c r="O71">
        <v>0.2</v>
      </c>
      <c r="P71">
        <v>360</v>
      </c>
      <c r="Q71" s="9">
        <v>720</v>
      </c>
    </row>
    <row r="72" spans="11:17" hidden="1">
      <c r="K72" s="7" t="s">
        <v>257</v>
      </c>
      <c r="L72" s="7" t="s">
        <v>512</v>
      </c>
      <c r="M72" s="7" t="s">
        <v>613</v>
      </c>
      <c r="N72" s="34">
        <v>24</v>
      </c>
      <c r="O72">
        <v>0.2</v>
      </c>
      <c r="P72">
        <v>360</v>
      </c>
      <c r="Q72" s="9">
        <v>720</v>
      </c>
    </row>
    <row r="73" spans="11:17" hidden="1">
      <c r="K73" s="7" t="s">
        <v>258</v>
      </c>
      <c r="L73" s="7" t="s">
        <v>512</v>
      </c>
      <c r="M73" s="7" t="s">
        <v>614</v>
      </c>
      <c r="N73" s="34">
        <v>24</v>
      </c>
      <c r="O73">
        <v>0.2</v>
      </c>
      <c r="P73">
        <v>360</v>
      </c>
      <c r="Q73" s="9">
        <v>720</v>
      </c>
    </row>
    <row r="74" spans="11:17" hidden="1">
      <c r="K74" s="7" t="s">
        <v>259</v>
      </c>
      <c r="L74" s="7" t="s">
        <v>512</v>
      </c>
      <c r="M74" s="7" t="s">
        <v>615</v>
      </c>
      <c r="N74" s="34">
        <v>24</v>
      </c>
      <c r="O74">
        <v>0.2</v>
      </c>
      <c r="P74">
        <v>360</v>
      </c>
      <c r="Q74" s="9">
        <v>720</v>
      </c>
    </row>
    <row r="75" spans="11:17" hidden="1">
      <c r="K75" s="7" t="s">
        <v>260</v>
      </c>
      <c r="L75" s="7" t="s">
        <v>512</v>
      </c>
      <c r="M75" s="7" t="s">
        <v>616</v>
      </c>
      <c r="N75" s="34">
        <v>24</v>
      </c>
      <c r="O75">
        <v>0.2</v>
      </c>
      <c r="P75">
        <v>360</v>
      </c>
      <c r="Q75" s="9">
        <v>720</v>
      </c>
    </row>
    <row r="76" spans="11:17" hidden="1">
      <c r="K76" s="7" t="s">
        <v>261</v>
      </c>
      <c r="L76" s="7" t="s">
        <v>513</v>
      </c>
      <c r="M76" s="7" t="s">
        <v>613</v>
      </c>
      <c r="N76" s="34">
        <v>24</v>
      </c>
      <c r="O76">
        <v>0.2</v>
      </c>
      <c r="P76">
        <v>360</v>
      </c>
      <c r="Q76" s="9">
        <v>720</v>
      </c>
    </row>
    <row r="77" spans="11:17" ht="18.75" hidden="1" customHeight="1">
      <c r="K77" s="7" t="s">
        <v>262</v>
      </c>
      <c r="L77" s="7" t="s">
        <v>513</v>
      </c>
      <c r="M77" s="7" t="s">
        <v>617</v>
      </c>
      <c r="N77" s="34">
        <v>24</v>
      </c>
      <c r="O77">
        <v>0.2</v>
      </c>
      <c r="P77">
        <v>360</v>
      </c>
      <c r="Q77" s="9">
        <v>720</v>
      </c>
    </row>
    <row r="78" spans="11:17" ht="18.75" hidden="1" customHeight="1">
      <c r="K78" s="7" t="s">
        <v>263</v>
      </c>
      <c r="L78" s="7" t="s">
        <v>514</v>
      </c>
      <c r="M78" s="7" t="s">
        <v>618</v>
      </c>
      <c r="N78" s="34">
        <v>24</v>
      </c>
      <c r="O78">
        <v>0.2</v>
      </c>
      <c r="P78">
        <v>360</v>
      </c>
      <c r="Q78" s="9">
        <v>720</v>
      </c>
    </row>
    <row r="79" spans="11:17" hidden="1">
      <c r="K79" s="7" t="s">
        <v>264</v>
      </c>
      <c r="L79" s="7" t="s">
        <v>515</v>
      </c>
      <c r="M79" s="7" t="s">
        <v>619</v>
      </c>
      <c r="N79" s="34">
        <v>24</v>
      </c>
      <c r="O79">
        <v>0.2</v>
      </c>
      <c r="P79">
        <v>360</v>
      </c>
      <c r="Q79" s="9">
        <v>720</v>
      </c>
    </row>
    <row r="80" spans="11:17" hidden="1">
      <c r="K80" s="7" t="s">
        <v>265</v>
      </c>
      <c r="L80" s="7" t="s">
        <v>515</v>
      </c>
      <c r="M80" s="7" t="s">
        <v>620</v>
      </c>
      <c r="N80" s="34">
        <v>24</v>
      </c>
      <c r="O80">
        <v>0.2</v>
      </c>
      <c r="P80">
        <v>360</v>
      </c>
      <c r="Q80" s="9">
        <v>720</v>
      </c>
    </row>
    <row r="81" spans="11:17" hidden="1">
      <c r="K81" s="7" t="s">
        <v>266</v>
      </c>
      <c r="L81" s="7" t="s">
        <v>516</v>
      </c>
      <c r="M81" s="7" t="s">
        <v>621</v>
      </c>
      <c r="N81" s="34">
        <v>24</v>
      </c>
      <c r="O81">
        <v>0.2</v>
      </c>
      <c r="P81">
        <v>360</v>
      </c>
      <c r="Q81" s="9">
        <v>720</v>
      </c>
    </row>
    <row r="82" spans="11:17" ht="18.75" hidden="1" customHeight="1">
      <c r="K82" s="7" t="s">
        <v>267</v>
      </c>
      <c r="L82" s="7" t="s">
        <v>516</v>
      </c>
      <c r="M82" s="7" t="s">
        <v>622</v>
      </c>
      <c r="N82" s="34">
        <v>24</v>
      </c>
      <c r="O82">
        <v>0.2</v>
      </c>
      <c r="P82">
        <v>360</v>
      </c>
      <c r="Q82" s="9">
        <v>720</v>
      </c>
    </row>
    <row r="83" spans="11:17" ht="18.75" hidden="1" customHeight="1">
      <c r="K83" s="7" t="s">
        <v>268</v>
      </c>
      <c r="L83" s="7" t="s">
        <v>516</v>
      </c>
      <c r="M83" s="7" t="s">
        <v>623</v>
      </c>
      <c r="N83" s="34">
        <v>24</v>
      </c>
      <c r="O83">
        <v>0.2</v>
      </c>
      <c r="P83">
        <v>360</v>
      </c>
      <c r="Q83" s="9">
        <v>720</v>
      </c>
    </row>
    <row r="84" spans="11:17" hidden="1">
      <c r="K84" s="7" t="s">
        <v>269</v>
      </c>
      <c r="L84" s="7" t="s">
        <v>517</v>
      </c>
      <c r="M84" s="7" t="s">
        <v>624</v>
      </c>
      <c r="N84" s="34">
        <v>24</v>
      </c>
      <c r="O84">
        <v>0.2</v>
      </c>
      <c r="P84">
        <v>360</v>
      </c>
      <c r="Q84" s="9">
        <v>720</v>
      </c>
    </row>
    <row r="85" spans="11:17" hidden="1">
      <c r="K85" s="7" t="s">
        <v>270</v>
      </c>
      <c r="L85" s="7" t="s">
        <v>517</v>
      </c>
      <c r="M85" s="7" t="s">
        <v>625</v>
      </c>
      <c r="N85" s="34">
        <v>24</v>
      </c>
      <c r="O85">
        <v>0.2</v>
      </c>
      <c r="P85">
        <v>360</v>
      </c>
      <c r="Q85" s="9">
        <v>720</v>
      </c>
    </row>
    <row r="86" spans="11:17" hidden="1">
      <c r="K86" s="7" t="s">
        <v>271</v>
      </c>
      <c r="L86" s="7" t="s">
        <v>517</v>
      </c>
      <c r="M86" s="7" t="s">
        <v>626</v>
      </c>
      <c r="N86" s="34">
        <v>24</v>
      </c>
      <c r="O86">
        <v>0.2</v>
      </c>
      <c r="P86">
        <v>360</v>
      </c>
      <c r="Q86" s="9">
        <v>720</v>
      </c>
    </row>
    <row r="87" spans="11:17" hidden="1">
      <c r="K87" s="7" t="s">
        <v>272</v>
      </c>
      <c r="L87" s="7" t="s">
        <v>517</v>
      </c>
      <c r="M87" s="7" t="s">
        <v>627</v>
      </c>
      <c r="N87" s="34">
        <v>24</v>
      </c>
      <c r="O87">
        <v>0.2</v>
      </c>
      <c r="P87">
        <v>360</v>
      </c>
      <c r="Q87" s="9">
        <v>720</v>
      </c>
    </row>
    <row r="88" spans="11:17" hidden="1">
      <c r="K88" s="7" t="s">
        <v>273</v>
      </c>
      <c r="L88" s="7" t="s">
        <v>517</v>
      </c>
      <c r="M88" s="7" t="s">
        <v>628</v>
      </c>
      <c r="N88" s="34">
        <v>24</v>
      </c>
      <c r="O88">
        <v>0.2</v>
      </c>
      <c r="P88">
        <v>360</v>
      </c>
      <c r="Q88" s="9">
        <v>720</v>
      </c>
    </row>
    <row r="89" spans="11:17" hidden="1">
      <c r="K89" s="7" t="s">
        <v>274</v>
      </c>
      <c r="L89" s="7" t="s">
        <v>517</v>
      </c>
      <c r="M89" s="7" t="s">
        <v>629</v>
      </c>
      <c r="N89" s="34">
        <v>24</v>
      </c>
      <c r="O89">
        <v>0.2</v>
      </c>
      <c r="P89">
        <v>360</v>
      </c>
      <c r="Q89" s="9">
        <v>720</v>
      </c>
    </row>
    <row r="90" spans="11:17" hidden="1">
      <c r="K90" s="7" t="s">
        <v>275</v>
      </c>
      <c r="L90" s="7" t="s">
        <v>517</v>
      </c>
      <c r="M90" s="7" t="s">
        <v>630</v>
      </c>
      <c r="N90" s="34">
        <v>24</v>
      </c>
      <c r="O90">
        <v>0.2</v>
      </c>
      <c r="P90">
        <v>360</v>
      </c>
      <c r="Q90" s="9">
        <v>720</v>
      </c>
    </row>
    <row r="91" spans="11:17" ht="18.75" customHeight="1">
      <c r="K91" s="7" t="s">
        <v>276</v>
      </c>
      <c r="L91" s="7" t="s">
        <v>518</v>
      </c>
      <c r="M91" s="7" t="s">
        <v>631</v>
      </c>
      <c r="N91" s="34">
        <v>24</v>
      </c>
      <c r="O91">
        <v>0.2</v>
      </c>
      <c r="P91">
        <v>360</v>
      </c>
      <c r="Q91" s="9">
        <v>720</v>
      </c>
    </row>
    <row r="92" spans="11:17">
      <c r="K92" s="7" t="s">
        <v>277</v>
      </c>
      <c r="L92" s="7" t="s">
        <v>518</v>
      </c>
      <c r="M92" s="7" t="s">
        <v>632</v>
      </c>
      <c r="N92" s="34">
        <v>24</v>
      </c>
      <c r="O92">
        <v>0.2</v>
      </c>
      <c r="P92">
        <v>360</v>
      </c>
      <c r="Q92" s="9">
        <v>720</v>
      </c>
    </row>
    <row r="93" spans="11:17" ht="18.75" customHeight="1">
      <c r="K93" s="7" t="s">
        <v>278</v>
      </c>
      <c r="L93" s="7" t="s">
        <v>518</v>
      </c>
      <c r="M93" s="7" t="s">
        <v>633</v>
      </c>
      <c r="N93" s="34">
        <v>24</v>
      </c>
      <c r="O93">
        <v>0.2</v>
      </c>
      <c r="P93">
        <v>360</v>
      </c>
      <c r="Q93" s="9">
        <v>720</v>
      </c>
    </row>
    <row r="94" spans="11:17" ht="18.75" customHeight="1">
      <c r="K94" s="7" t="s">
        <v>149</v>
      </c>
      <c r="L94" s="7" t="s">
        <v>518</v>
      </c>
      <c r="M94" s="7" t="s">
        <v>634</v>
      </c>
      <c r="N94" s="34">
        <v>24</v>
      </c>
      <c r="O94">
        <v>0.2</v>
      </c>
      <c r="P94">
        <v>360</v>
      </c>
      <c r="Q94" s="9">
        <v>720</v>
      </c>
    </row>
    <row r="95" spans="11:17" ht="18.75" customHeight="1">
      <c r="K95" s="7" t="s">
        <v>279</v>
      </c>
      <c r="L95" s="7" t="s">
        <v>518</v>
      </c>
      <c r="M95" s="7" t="s">
        <v>635</v>
      </c>
      <c r="N95" s="34">
        <v>24</v>
      </c>
      <c r="O95">
        <v>0.2</v>
      </c>
      <c r="P95">
        <v>360</v>
      </c>
      <c r="Q95" s="9">
        <v>720</v>
      </c>
    </row>
    <row r="96" spans="11:17" ht="18.75" customHeight="1">
      <c r="K96" s="7" t="s">
        <v>280</v>
      </c>
      <c r="L96" s="7" t="s">
        <v>518</v>
      </c>
      <c r="M96" s="7" t="s">
        <v>635</v>
      </c>
      <c r="N96" s="34">
        <v>24</v>
      </c>
      <c r="O96">
        <v>0.2</v>
      </c>
      <c r="P96">
        <v>360</v>
      </c>
      <c r="Q96" s="9">
        <v>720</v>
      </c>
    </row>
    <row r="97" spans="11:17" ht="18.75" customHeight="1">
      <c r="K97" s="7" t="s">
        <v>281</v>
      </c>
      <c r="L97" s="7" t="s">
        <v>518</v>
      </c>
      <c r="M97" s="7" t="s">
        <v>636</v>
      </c>
      <c r="N97" s="34">
        <v>24</v>
      </c>
      <c r="O97">
        <v>0.2</v>
      </c>
      <c r="P97">
        <v>360</v>
      </c>
      <c r="Q97" s="9">
        <v>720</v>
      </c>
    </row>
    <row r="98" spans="11:17" ht="18.75" customHeight="1">
      <c r="K98" s="7" t="s">
        <v>149</v>
      </c>
      <c r="L98" s="7" t="s">
        <v>518</v>
      </c>
      <c r="M98" s="7" t="s">
        <v>637</v>
      </c>
      <c r="N98" s="34">
        <v>24</v>
      </c>
      <c r="O98">
        <v>0.2</v>
      </c>
      <c r="P98">
        <v>360</v>
      </c>
      <c r="Q98" s="9">
        <v>720</v>
      </c>
    </row>
    <row r="99" spans="11:17" ht="18.75" customHeight="1">
      <c r="K99" s="7" t="s">
        <v>63</v>
      </c>
      <c r="L99" s="7" t="s">
        <v>518</v>
      </c>
      <c r="M99" s="7" t="s">
        <v>638</v>
      </c>
      <c r="N99" s="34">
        <v>24</v>
      </c>
      <c r="O99">
        <v>0.2</v>
      </c>
      <c r="P99">
        <v>360</v>
      </c>
      <c r="Q99" s="9">
        <v>720</v>
      </c>
    </row>
    <row r="100" spans="11:17" ht="18.75" customHeight="1">
      <c r="K100" s="7" t="s">
        <v>282</v>
      </c>
      <c r="L100" s="7" t="s">
        <v>518</v>
      </c>
      <c r="M100" s="7" t="s">
        <v>639</v>
      </c>
      <c r="N100" s="34">
        <v>24</v>
      </c>
      <c r="O100">
        <v>0.2</v>
      </c>
      <c r="P100">
        <v>360</v>
      </c>
      <c r="Q100" s="9">
        <v>720</v>
      </c>
    </row>
    <row r="101" spans="11:17" ht="18.75" customHeight="1">
      <c r="K101" s="7" t="s">
        <v>62</v>
      </c>
      <c r="L101" s="7" t="s">
        <v>518</v>
      </c>
      <c r="M101" s="7" t="s">
        <v>640</v>
      </c>
      <c r="N101" s="34">
        <v>24</v>
      </c>
      <c r="O101">
        <v>0.2</v>
      </c>
      <c r="P101">
        <v>360</v>
      </c>
      <c r="Q101" s="9">
        <v>720</v>
      </c>
    </row>
    <row r="102" spans="11:17" ht="18.75" customHeight="1">
      <c r="K102" s="7" t="s">
        <v>283</v>
      </c>
      <c r="L102" s="7" t="s">
        <v>518</v>
      </c>
      <c r="M102" s="7" t="s">
        <v>641</v>
      </c>
      <c r="N102" s="34">
        <v>24</v>
      </c>
      <c r="O102">
        <v>0.2</v>
      </c>
      <c r="P102">
        <v>360</v>
      </c>
      <c r="Q102" s="9">
        <v>720</v>
      </c>
    </row>
    <row r="103" spans="11:17">
      <c r="K103" s="7" t="s">
        <v>284</v>
      </c>
      <c r="L103" s="7" t="s">
        <v>518</v>
      </c>
      <c r="M103" s="7" t="s">
        <v>620</v>
      </c>
      <c r="N103" s="34">
        <v>24</v>
      </c>
      <c r="O103">
        <v>0.2</v>
      </c>
      <c r="P103">
        <v>360</v>
      </c>
      <c r="Q103" s="9">
        <v>720</v>
      </c>
    </row>
    <row r="104" spans="11:17" ht="18.75" customHeight="1">
      <c r="K104" s="7" t="s">
        <v>285</v>
      </c>
      <c r="L104" s="7" t="s">
        <v>518</v>
      </c>
      <c r="M104" s="7" t="s">
        <v>620</v>
      </c>
      <c r="N104" s="34">
        <v>24</v>
      </c>
      <c r="O104">
        <v>0.2</v>
      </c>
      <c r="P104">
        <v>360</v>
      </c>
      <c r="Q104" s="9">
        <v>720</v>
      </c>
    </row>
    <row r="105" spans="11:17">
      <c r="K105" s="7" t="s">
        <v>51</v>
      </c>
      <c r="L105" s="7" t="s">
        <v>518</v>
      </c>
      <c r="M105" s="7" t="s">
        <v>1356</v>
      </c>
      <c r="N105" s="34">
        <v>24</v>
      </c>
      <c r="O105">
        <v>0.2</v>
      </c>
      <c r="P105">
        <v>360</v>
      </c>
      <c r="Q105" s="9">
        <v>720</v>
      </c>
    </row>
    <row r="106" spans="11:17">
      <c r="K106" s="7" t="s">
        <v>52</v>
      </c>
      <c r="L106" s="7" t="s">
        <v>518</v>
      </c>
      <c r="M106" s="7" t="s">
        <v>1347</v>
      </c>
      <c r="N106" s="34">
        <v>24</v>
      </c>
      <c r="O106">
        <v>0.2</v>
      </c>
      <c r="P106">
        <v>360</v>
      </c>
      <c r="Q106" s="9">
        <v>720</v>
      </c>
    </row>
    <row r="107" spans="11:17">
      <c r="K107" s="7" t="s">
        <v>53</v>
      </c>
      <c r="L107" s="7" t="s">
        <v>518</v>
      </c>
      <c r="M107" s="7" t="s">
        <v>46</v>
      </c>
      <c r="N107" s="34">
        <v>24</v>
      </c>
      <c r="O107">
        <v>0.2</v>
      </c>
      <c r="P107">
        <v>360</v>
      </c>
      <c r="Q107" s="9">
        <v>720</v>
      </c>
    </row>
    <row r="108" spans="11:17">
      <c r="K108" s="7" t="s">
        <v>54</v>
      </c>
      <c r="L108" s="7" t="s">
        <v>518</v>
      </c>
      <c r="M108" s="7" t="s">
        <v>1344</v>
      </c>
      <c r="N108" s="34">
        <v>24</v>
      </c>
      <c r="O108">
        <v>0.2</v>
      </c>
      <c r="P108">
        <v>360</v>
      </c>
      <c r="Q108" s="9">
        <v>720</v>
      </c>
    </row>
    <row r="109" spans="11:17">
      <c r="K109" s="7" t="s">
        <v>55</v>
      </c>
      <c r="L109" s="7" t="s">
        <v>518</v>
      </c>
      <c r="M109" s="7" t="s">
        <v>1346</v>
      </c>
      <c r="N109" s="34">
        <v>24</v>
      </c>
      <c r="O109">
        <v>0.2</v>
      </c>
      <c r="P109">
        <v>360</v>
      </c>
      <c r="Q109" s="9">
        <v>720</v>
      </c>
    </row>
    <row r="110" spans="11:17">
      <c r="K110" s="7" t="s">
        <v>56</v>
      </c>
      <c r="L110" s="7" t="s">
        <v>518</v>
      </c>
      <c r="M110" s="7" t="s">
        <v>137</v>
      </c>
      <c r="N110" s="34">
        <v>24</v>
      </c>
      <c r="O110">
        <v>0.2</v>
      </c>
      <c r="P110">
        <v>360</v>
      </c>
      <c r="Q110" s="9">
        <v>720</v>
      </c>
    </row>
    <row r="111" spans="11:17">
      <c r="K111" s="7" t="s">
        <v>57</v>
      </c>
      <c r="L111" s="7" t="s">
        <v>518</v>
      </c>
      <c r="M111" s="7" t="s">
        <v>134</v>
      </c>
      <c r="N111" s="34">
        <v>24</v>
      </c>
      <c r="O111">
        <v>0.2</v>
      </c>
      <c r="P111">
        <v>360</v>
      </c>
      <c r="Q111" s="9">
        <v>720</v>
      </c>
    </row>
    <row r="112" spans="11:17">
      <c r="K112" s="7" t="s">
        <v>58</v>
      </c>
      <c r="L112" s="7" t="s">
        <v>518</v>
      </c>
      <c r="M112" s="7" t="s">
        <v>1348</v>
      </c>
      <c r="N112" s="34">
        <v>24</v>
      </c>
      <c r="O112">
        <v>0.2</v>
      </c>
      <c r="P112">
        <v>360</v>
      </c>
      <c r="Q112" s="9">
        <v>720</v>
      </c>
    </row>
    <row r="113" spans="11:17">
      <c r="K113" s="7" t="s">
        <v>59</v>
      </c>
      <c r="L113" s="7" t="s">
        <v>518</v>
      </c>
      <c r="M113" s="7" t="s">
        <v>1351</v>
      </c>
      <c r="N113" s="34">
        <v>24</v>
      </c>
      <c r="O113">
        <v>0.2</v>
      </c>
      <c r="P113">
        <v>360</v>
      </c>
      <c r="Q113" s="9">
        <v>720</v>
      </c>
    </row>
    <row r="114" spans="11:17">
      <c r="K114" s="7" t="s">
        <v>60</v>
      </c>
      <c r="L114" s="7" t="s">
        <v>518</v>
      </c>
      <c r="M114" s="7" t="s">
        <v>1354</v>
      </c>
      <c r="N114" s="34">
        <v>24</v>
      </c>
      <c r="O114">
        <v>0.2</v>
      </c>
      <c r="P114">
        <v>360</v>
      </c>
      <c r="Q114" s="9">
        <v>720</v>
      </c>
    </row>
    <row r="115" spans="11:17">
      <c r="K115" s="7" t="s">
        <v>61</v>
      </c>
      <c r="L115" s="7" t="s">
        <v>518</v>
      </c>
      <c r="M115" s="7" t="s">
        <v>1345</v>
      </c>
      <c r="N115" s="34">
        <v>24</v>
      </c>
      <c r="O115">
        <v>0.2</v>
      </c>
      <c r="P115">
        <v>360</v>
      </c>
      <c r="Q115" s="9">
        <v>720</v>
      </c>
    </row>
    <row r="116" spans="11:17">
      <c r="K116" s="7" t="s">
        <v>62</v>
      </c>
      <c r="L116" s="7" t="s">
        <v>518</v>
      </c>
      <c r="M116" s="7" t="s">
        <v>47</v>
      </c>
      <c r="N116" s="34">
        <v>24</v>
      </c>
      <c r="O116">
        <v>0.2</v>
      </c>
      <c r="P116">
        <v>360</v>
      </c>
      <c r="Q116" s="9">
        <v>720</v>
      </c>
    </row>
    <row r="117" spans="11:17">
      <c r="K117" s="7" t="s">
        <v>63</v>
      </c>
      <c r="L117" s="7" t="s">
        <v>518</v>
      </c>
      <c r="M117" s="7" t="s">
        <v>1349</v>
      </c>
      <c r="N117" s="34">
        <v>24</v>
      </c>
      <c r="O117">
        <v>0.2</v>
      </c>
      <c r="P117">
        <v>360</v>
      </c>
      <c r="Q117" s="9">
        <v>720</v>
      </c>
    </row>
    <row r="118" spans="11:17">
      <c r="K118" s="7" t="s">
        <v>64</v>
      </c>
      <c r="L118" s="7" t="s">
        <v>518</v>
      </c>
      <c r="M118" s="7" t="s">
        <v>113</v>
      </c>
      <c r="N118" s="34">
        <v>24</v>
      </c>
      <c r="O118">
        <v>0.2</v>
      </c>
      <c r="P118">
        <v>360</v>
      </c>
      <c r="Q118" s="9">
        <v>720</v>
      </c>
    </row>
    <row r="119" spans="11:17">
      <c r="K119" s="7" t="s">
        <v>65</v>
      </c>
      <c r="L119" s="7" t="s">
        <v>518</v>
      </c>
      <c r="M119" s="7" t="s">
        <v>111</v>
      </c>
      <c r="N119" s="34">
        <v>24</v>
      </c>
      <c r="O119">
        <v>0.2</v>
      </c>
      <c r="P119">
        <v>360</v>
      </c>
      <c r="Q119" s="9">
        <v>720</v>
      </c>
    </row>
    <row r="120" spans="11:17">
      <c r="K120" s="7" t="s">
        <v>66</v>
      </c>
      <c r="L120" s="7" t="s">
        <v>518</v>
      </c>
      <c r="M120" s="7" t="s">
        <v>1350</v>
      </c>
      <c r="N120" s="34">
        <v>24</v>
      </c>
      <c r="O120">
        <v>0.2</v>
      </c>
      <c r="P120">
        <v>360</v>
      </c>
      <c r="Q120" s="9">
        <v>720</v>
      </c>
    </row>
    <row r="121" spans="11:17">
      <c r="K121" s="7" t="s">
        <v>67</v>
      </c>
      <c r="L121" s="7" t="s">
        <v>518</v>
      </c>
      <c r="M121" s="7" t="s">
        <v>1352</v>
      </c>
      <c r="N121" s="34">
        <v>24</v>
      </c>
      <c r="O121">
        <v>0.2</v>
      </c>
      <c r="P121">
        <v>360</v>
      </c>
      <c r="Q121" s="9">
        <v>720</v>
      </c>
    </row>
    <row r="122" spans="11:17">
      <c r="K122" s="7" t="s">
        <v>68</v>
      </c>
      <c r="L122" s="7" t="s">
        <v>518</v>
      </c>
      <c r="M122" s="7" t="s">
        <v>1353</v>
      </c>
      <c r="N122" s="34">
        <v>24</v>
      </c>
      <c r="O122">
        <v>0.2</v>
      </c>
      <c r="P122">
        <v>360</v>
      </c>
      <c r="Q122" s="9">
        <v>720</v>
      </c>
    </row>
    <row r="123" spans="11:17">
      <c r="K123" s="7" t="s">
        <v>69</v>
      </c>
      <c r="L123" s="7" t="s">
        <v>518</v>
      </c>
      <c r="M123" s="7" t="s">
        <v>1355</v>
      </c>
      <c r="N123" s="34">
        <v>24</v>
      </c>
      <c r="O123">
        <v>0.2</v>
      </c>
      <c r="P123">
        <v>360</v>
      </c>
      <c r="Q123" s="9">
        <v>720</v>
      </c>
    </row>
    <row r="124" spans="11:17">
      <c r="K124" s="7" t="s">
        <v>70</v>
      </c>
      <c r="L124" s="7" t="s">
        <v>518</v>
      </c>
      <c r="M124" s="7" t="s">
        <v>1357</v>
      </c>
      <c r="N124" s="34">
        <v>24</v>
      </c>
      <c r="O124">
        <v>0.2</v>
      </c>
      <c r="P124">
        <v>360</v>
      </c>
      <c r="Q124" s="9">
        <v>720</v>
      </c>
    </row>
    <row r="125" spans="11:17">
      <c r="K125" s="7" t="s">
        <v>286</v>
      </c>
      <c r="L125" s="7" t="s">
        <v>518</v>
      </c>
      <c r="M125" s="7" t="s">
        <v>1358</v>
      </c>
      <c r="N125" s="34">
        <v>24</v>
      </c>
      <c r="O125">
        <v>0.2</v>
      </c>
      <c r="P125">
        <v>360</v>
      </c>
      <c r="Q125" s="9">
        <v>720</v>
      </c>
    </row>
    <row r="126" spans="11:17">
      <c r="K126" s="7" t="s">
        <v>287</v>
      </c>
      <c r="L126" s="7" t="s">
        <v>518</v>
      </c>
      <c r="M126" s="7" t="s">
        <v>643</v>
      </c>
      <c r="N126" s="34">
        <v>24</v>
      </c>
      <c r="O126">
        <v>0.2</v>
      </c>
      <c r="P126">
        <v>360</v>
      </c>
      <c r="Q126" s="9">
        <v>720</v>
      </c>
    </row>
    <row r="127" spans="11:17" ht="18.75" customHeight="1">
      <c r="K127" s="7" t="s">
        <v>288</v>
      </c>
      <c r="L127" s="7" t="s">
        <v>518</v>
      </c>
      <c r="M127" s="7" t="s">
        <v>642</v>
      </c>
      <c r="N127" s="34">
        <v>24</v>
      </c>
      <c r="O127">
        <v>0.2</v>
      </c>
      <c r="P127">
        <v>360</v>
      </c>
      <c r="Q127" s="9">
        <v>720</v>
      </c>
    </row>
    <row r="128" spans="11:17" ht="18.75" customHeight="1">
      <c r="K128" s="7" t="s">
        <v>289</v>
      </c>
      <c r="L128" s="7" t="s">
        <v>518</v>
      </c>
      <c r="M128" s="7" t="s">
        <v>643</v>
      </c>
      <c r="N128" s="34">
        <v>24</v>
      </c>
      <c r="O128">
        <v>0.2</v>
      </c>
      <c r="P128">
        <v>360</v>
      </c>
      <c r="Q128" s="9">
        <v>720</v>
      </c>
    </row>
    <row r="129" spans="11:17" ht="18.75" customHeight="1">
      <c r="K129" s="7" t="s">
        <v>290</v>
      </c>
      <c r="L129" s="7" t="s">
        <v>518</v>
      </c>
      <c r="M129" s="7" t="s">
        <v>548</v>
      </c>
      <c r="N129" s="34">
        <v>24</v>
      </c>
      <c r="O129">
        <v>0.2</v>
      </c>
      <c r="P129">
        <v>360</v>
      </c>
      <c r="Q129" s="9">
        <v>720</v>
      </c>
    </row>
    <row r="130" spans="11:17" ht="18.75" customHeight="1">
      <c r="K130" s="7" t="s">
        <v>291</v>
      </c>
      <c r="L130" s="7" t="s">
        <v>518</v>
      </c>
      <c r="M130" s="7" t="s">
        <v>549</v>
      </c>
      <c r="N130" s="34">
        <v>24</v>
      </c>
      <c r="O130">
        <v>0.2</v>
      </c>
      <c r="P130">
        <v>360</v>
      </c>
      <c r="Q130" s="9">
        <v>720</v>
      </c>
    </row>
    <row r="131" spans="11:17" ht="18.75" customHeight="1">
      <c r="K131" s="7" t="s">
        <v>292</v>
      </c>
      <c r="L131" s="7" t="s">
        <v>518</v>
      </c>
      <c r="M131" s="7" t="s">
        <v>644</v>
      </c>
      <c r="N131" s="34">
        <v>24</v>
      </c>
      <c r="O131">
        <v>0.2</v>
      </c>
      <c r="P131">
        <v>360</v>
      </c>
      <c r="Q131" s="9">
        <v>720</v>
      </c>
    </row>
    <row r="132" spans="11:17" ht="18.75" hidden="1" customHeight="1">
      <c r="K132" s="7" t="s">
        <v>293</v>
      </c>
      <c r="L132" s="7" t="s">
        <v>519</v>
      </c>
      <c r="M132" s="7" t="s">
        <v>645</v>
      </c>
      <c r="N132" s="34">
        <v>24</v>
      </c>
      <c r="O132">
        <v>0.2</v>
      </c>
      <c r="P132">
        <v>360</v>
      </c>
      <c r="Q132" s="9">
        <v>720</v>
      </c>
    </row>
    <row r="133" spans="11:17" ht="18.75" hidden="1" customHeight="1">
      <c r="K133" s="7" t="s">
        <v>294</v>
      </c>
      <c r="L133" s="7" t="s">
        <v>519</v>
      </c>
      <c r="M133" s="7" t="s">
        <v>646</v>
      </c>
      <c r="N133" s="34">
        <v>24</v>
      </c>
      <c r="O133">
        <v>0.2</v>
      </c>
      <c r="P133">
        <v>360</v>
      </c>
      <c r="Q133" s="9">
        <v>720</v>
      </c>
    </row>
    <row r="134" spans="11:17" ht="18.75" hidden="1" customHeight="1">
      <c r="K134" s="7" t="s">
        <v>295</v>
      </c>
      <c r="L134" s="7" t="s">
        <v>519</v>
      </c>
      <c r="M134" s="7" t="s">
        <v>647</v>
      </c>
      <c r="N134" s="34">
        <v>24</v>
      </c>
      <c r="O134">
        <v>0.2</v>
      </c>
      <c r="P134">
        <v>360</v>
      </c>
      <c r="Q134" s="9">
        <v>720</v>
      </c>
    </row>
    <row r="135" spans="11:17" hidden="1">
      <c r="K135" s="7" t="s">
        <v>296</v>
      </c>
      <c r="L135" s="7" t="s">
        <v>519</v>
      </c>
      <c r="M135" s="7" t="s">
        <v>648</v>
      </c>
      <c r="N135" s="34">
        <v>24</v>
      </c>
      <c r="O135">
        <v>0.2</v>
      </c>
      <c r="P135">
        <v>360</v>
      </c>
      <c r="Q135" s="9">
        <v>720</v>
      </c>
    </row>
    <row r="136" spans="11:17" ht="18.75" hidden="1" customHeight="1">
      <c r="K136" s="7" t="s">
        <v>297</v>
      </c>
      <c r="L136" s="7" t="s">
        <v>519</v>
      </c>
      <c r="M136" s="7" t="s">
        <v>649</v>
      </c>
      <c r="N136" s="34">
        <v>24</v>
      </c>
      <c r="O136">
        <v>0.2</v>
      </c>
      <c r="P136">
        <v>360</v>
      </c>
      <c r="Q136" s="9">
        <v>720</v>
      </c>
    </row>
    <row r="137" spans="11:17" ht="18.75" hidden="1" customHeight="1">
      <c r="K137" s="7" t="s">
        <v>298</v>
      </c>
      <c r="L137" s="7" t="s">
        <v>519</v>
      </c>
      <c r="M137" s="7" t="s">
        <v>650</v>
      </c>
      <c r="N137" s="34">
        <v>24</v>
      </c>
      <c r="O137">
        <v>0.2</v>
      </c>
      <c r="P137">
        <v>360</v>
      </c>
      <c r="Q137" s="9">
        <v>720</v>
      </c>
    </row>
    <row r="138" spans="11:17" ht="18.75" hidden="1" customHeight="1">
      <c r="K138" s="7" t="s">
        <v>299</v>
      </c>
      <c r="L138" s="7" t="s">
        <v>519</v>
      </c>
      <c r="M138" s="7" t="s">
        <v>651</v>
      </c>
      <c r="N138" s="34">
        <v>24</v>
      </c>
      <c r="O138">
        <v>0.2</v>
      </c>
      <c r="P138">
        <v>360</v>
      </c>
      <c r="Q138" s="9">
        <v>720</v>
      </c>
    </row>
    <row r="139" spans="11:17" ht="18.75" hidden="1" customHeight="1">
      <c r="K139" s="7" t="s">
        <v>300</v>
      </c>
      <c r="L139" s="7" t="s">
        <v>520</v>
      </c>
      <c r="M139" s="7" t="s">
        <v>618</v>
      </c>
      <c r="N139" s="34">
        <v>24</v>
      </c>
      <c r="O139">
        <v>0.2</v>
      </c>
      <c r="P139">
        <v>360</v>
      </c>
      <c r="Q139" s="9">
        <v>720</v>
      </c>
    </row>
    <row r="140" spans="11:17" hidden="1">
      <c r="K140" s="7" t="s">
        <v>301</v>
      </c>
      <c r="L140" s="7" t="s">
        <v>521</v>
      </c>
      <c r="M140" s="7" t="s">
        <v>652</v>
      </c>
      <c r="N140" s="34">
        <v>24</v>
      </c>
      <c r="O140">
        <v>0.2</v>
      </c>
      <c r="P140">
        <v>360</v>
      </c>
      <c r="Q140" s="9">
        <v>720</v>
      </c>
    </row>
    <row r="141" spans="11:17" hidden="1">
      <c r="K141" s="7" t="s">
        <v>302</v>
      </c>
      <c r="L141" s="7" t="s">
        <v>521</v>
      </c>
      <c r="M141" s="7" t="s">
        <v>653</v>
      </c>
      <c r="N141" s="34">
        <v>24</v>
      </c>
      <c r="O141">
        <v>0.2</v>
      </c>
      <c r="P141">
        <v>360</v>
      </c>
      <c r="Q141" s="9">
        <v>720</v>
      </c>
    </row>
    <row r="142" spans="11:17" ht="18.75" hidden="1" customHeight="1">
      <c r="K142" s="7" t="s">
        <v>303</v>
      </c>
      <c r="L142" s="7" t="s">
        <v>522</v>
      </c>
      <c r="M142" s="7" t="s">
        <v>654</v>
      </c>
      <c r="N142" s="34">
        <v>24</v>
      </c>
      <c r="O142">
        <v>0.2</v>
      </c>
      <c r="P142">
        <v>360</v>
      </c>
      <c r="Q142" s="9">
        <v>720</v>
      </c>
    </row>
    <row r="143" spans="11:17" ht="18.75" hidden="1" customHeight="1">
      <c r="K143" s="7" t="s">
        <v>304</v>
      </c>
      <c r="L143" s="7" t="s">
        <v>522</v>
      </c>
      <c r="M143" s="7" t="s">
        <v>655</v>
      </c>
      <c r="N143" s="34">
        <v>24</v>
      </c>
      <c r="O143">
        <v>0.2</v>
      </c>
      <c r="P143">
        <v>360</v>
      </c>
      <c r="Q143" s="9">
        <v>720</v>
      </c>
    </row>
    <row r="144" spans="11:17" ht="18.75" hidden="1" customHeight="1">
      <c r="K144" s="7" t="s">
        <v>305</v>
      </c>
      <c r="L144" s="7" t="s">
        <v>522</v>
      </c>
      <c r="M144" s="7" t="s">
        <v>656</v>
      </c>
      <c r="N144" s="34">
        <v>24</v>
      </c>
      <c r="O144">
        <v>0.2</v>
      </c>
      <c r="P144">
        <v>360</v>
      </c>
      <c r="Q144" s="9">
        <v>720</v>
      </c>
    </row>
    <row r="145" spans="11:17" ht="18.75" hidden="1" customHeight="1">
      <c r="K145" s="7" t="s">
        <v>306</v>
      </c>
      <c r="L145" s="7" t="s">
        <v>522</v>
      </c>
      <c r="M145" s="7" t="s">
        <v>657</v>
      </c>
      <c r="N145" s="34">
        <v>24</v>
      </c>
      <c r="O145">
        <v>0.2</v>
      </c>
      <c r="P145">
        <v>360</v>
      </c>
      <c r="Q145" s="9">
        <v>720</v>
      </c>
    </row>
    <row r="146" spans="11:17" ht="18.75" hidden="1" customHeight="1">
      <c r="K146" s="7" t="s">
        <v>307</v>
      </c>
      <c r="L146" s="7" t="s">
        <v>522</v>
      </c>
      <c r="M146" s="7" t="s">
        <v>658</v>
      </c>
      <c r="N146" s="34">
        <v>24</v>
      </c>
      <c r="O146">
        <v>0.2</v>
      </c>
      <c r="P146">
        <v>360</v>
      </c>
      <c r="Q146" s="9">
        <v>720</v>
      </c>
    </row>
    <row r="147" spans="11:17" ht="18.75" hidden="1" customHeight="1">
      <c r="K147" s="7" t="s">
        <v>308</v>
      </c>
      <c r="L147" s="7" t="s">
        <v>522</v>
      </c>
      <c r="M147" s="7" t="s">
        <v>659</v>
      </c>
      <c r="N147" s="34">
        <v>24</v>
      </c>
      <c r="O147">
        <v>0.2</v>
      </c>
      <c r="P147">
        <v>360</v>
      </c>
      <c r="Q147" s="9">
        <v>720</v>
      </c>
    </row>
    <row r="148" spans="11:17" ht="18.75" hidden="1" customHeight="1">
      <c r="K148" s="7" t="s">
        <v>309</v>
      </c>
      <c r="L148" s="7" t="s">
        <v>522</v>
      </c>
      <c r="M148" s="7" t="s">
        <v>660</v>
      </c>
      <c r="N148" s="34">
        <v>24</v>
      </c>
      <c r="O148">
        <v>0.2</v>
      </c>
      <c r="P148">
        <v>360</v>
      </c>
      <c r="Q148" s="9">
        <v>720</v>
      </c>
    </row>
    <row r="149" spans="11:17" ht="18.75" hidden="1" customHeight="1">
      <c r="K149" s="7" t="s">
        <v>310</v>
      </c>
      <c r="L149" s="7" t="s">
        <v>522</v>
      </c>
      <c r="M149" s="7" t="s">
        <v>661</v>
      </c>
      <c r="N149" s="34">
        <v>24</v>
      </c>
      <c r="O149">
        <v>0.2</v>
      </c>
      <c r="P149">
        <v>360</v>
      </c>
      <c r="Q149" s="9">
        <v>720</v>
      </c>
    </row>
    <row r="150" spans="11:17" ht="18.75" hidden="1" customHeight="1">
      <c r="K150" s="7" t="s">
        <v>311</v>
      </c>
      <c r="L150" s="7" t="s">
        <v>522</v>
      </c>
      <c r="M150" s="7" t="s">
        <v>662</v>
      </c>
      <c r="N150" s="34">
        <v>24</v>
      </c>
      <c r="O150">
        <v>0.2</v>
      </c>
      <c r="P150">
        <v>360</v>
      </c>
      <c r="Q150" s="9">
        <v>720</v>
      </c>
    </row>
    <row r="151" spans="11:17" ht="18.75" hidden="1" customHeight="1">
      <c r="K151" s="7" t="s">
        <v>312</v>
      </c>
      <c r="L151" s="7" t="s">
        <v>522</v>
      </c>
      <c r="M151" s="7" t="s">
        <v>663</v>
      </c>
      <c r="N151" s="34">
        <v>24</v>
      </c>
      <c r="O151">
        <v>0.2</v>
      </c>
      <c r="P151">
        <v>360</v>
      </c>
      <c r="Q151" s="9">
        <v>720</v>
      </c>
    </row>
    <row r="152" spans="11:17" ht="18.75" hidden="1" customHeight="1">
      <c r="K152" s="7" t="s">
        <v>313</v>
      </c>
      <c r="L152" s="7" t="s">
        <v>522</v>
      </c>
      <c r="M152" s="7" t="s">
        <v>664</v>
      </c>
      <c r="N152" s="34">
        <v>24</v>
      </c>
      <c r="O152">
        <v>0.2</v>
      </c>
      <c r="P152">
        <v>360</v>
      </c>
      <c r="Q152" s="9">
        <v>720</v>
      </c>
    </row>
    <row r="153" spans="11:17" ht="18.75" hidden="1" customHeight="1">
      <c r="K153" s="7" t="s">
        <v>314</v>
      </c>
      <c r="L153" s="7" t="s">
        <v>522</v>
      </c>
      <c r="M153" s="7" t="s">
        <v>665</v>
      </c>
      <c r="N153" s="34">
        <v>24</v>
      </c>
      <c r="O153">
        <v>0.2</v>
      </c>
      <c r="P153">
        <v>360</v>
      </c>
      <c r="Q153" s="9">
        <v>720</v>
      </c>
    </row>
    <row r="154" spans="11:17" ht="18.75" hidden="1" customHeight="1">
      <c r="K154" s="7" t="s">
        <v>315</v>
      </c>
      <c r="L154" s="7" t="s">
        <v>522</v>
      </c>
      <c r="M154" s="7" t="s">
        <v>666</v>
      </c>
      <c r="N154" s="34">
        <v>24</v>
      </c>
      <c r="O154">
        <v>0.2</v>
      </c>
      <c r="P154">
        <v>360</v>
      </c>
      <c r="Q154" s="9">
        <v>720</v>
      </c>
    </row>
    <row r="155" spans="11:17" ht="18.75" hidden="1" customHeight="1">
      <c r="K155" s="7" t="s">
        <v>316</v>
      </c>
      <c r="L155" s="7" t="s">
        <v>522</v>
      </c>
      <c r="M155" s="7" t="s">
        <v>667</v>
      </c>
      <c r="N155" s="34">
        <v>24</v>
      </c>
      <c r="O155">
        <v>0.2</v>
      </c>
      <c r="P155">
        <v>360</v>
      </c>
      <c r="Q155" s="9">
        <v>720</v>
      </c>
    </row>
    <row r="156" spans="11:17" ht="18.75" hidden="1" customHeight="1">
      <c r="K156" s="7" t="s">
        <v>317</v>
      </c>
      <c r="L156" s="7" t="s">
        <v>522</v>
      </c>
      <c r="M156" s="7" t="s">
        <v>668</v>
      </c>
      <c r="N156" s="34">
        <v>24</v>
      </c>
      <c r="O156">
        <v>0.2</v>
      </c>
      <c r="P156">
        <v>360</v>
      </c>
      <c r="Q156" s="9">
        <v>720</v>
      </c>
    </row>
    <row r="157" spans="11:17" hidden="1">
      <c r="K157" s="7" t="s">
        <v>318</v>
      </c>
      <c r="L157" s="7" t="s">
        <v>522</v>
      </c>
      <c r="M157" s="7" t="s">
        <v>669</v>
      </c>
      <c r="N157" s="34">
        <v>24</v>
      </c>
      <c r="O157">
        <v>0.2</v>
      </c>
      <c r="P157">
        <v>360</v>
      </c>
      <c r="Q157" s="9">
        <v>720</v>
      </c>
    </row>
    <row r="158" spans="11:17" hidden="1">
      <c r="K158" s="7" t="s">
        <v>319</v>
      </c>
      <c r="L158" s="7" t="s">
        <v>522</v>
      </c>
      <c r="M158" s="7" t="s">
        <v>670</v>
      </c>
      <c r="N158" s="34">
        <v>24</v>
      </c>
      <c r="O158">
        <v>0.2</v>
      </c>
      <c r="P158">
        <v>360</v>
      </c>
      <c r="Q158" s="9">
        <v>720</v>
      </c>
    </row>
    <row r="159" spans="11:17" hidden="1">
      <c r="K159" s="7" t="s">
        <v>320</v>
      </c>
      <c r="L159" s="7" t="s">
        <v>522</v>
      </c>
      <c r="M159" s="7" t="s">
        <v>671</v>
      </c>
      <c r="N159" s="34">
        <v>24</v>
      </c>
      <c r="O159">
        <v>0.2</v>
      </c>
      <c r="P159">
        <v>360</v>
      </c>
      <c r="Q159" s="9">
        <v>720</v>
      </c>
    </row>
    <row r="160" spans="11:17" hidden="1">
      <c r="K160" s="7" t="s">
        <v>321</v>
      </c>
      <c r="L160" s="7" t="s">
        <v>522</v>
      </c>
      <c r="M160" s="7" t="s">
        <v>672</v>
      </c>
      <c r="N160" s="34">
        <v>24</v>
      </c>
      <c r="O160">
        <v>0.2</v>
      </c>
      <c r="P160">
        <v>360</v>
      </c>
      <c r="Q160" s="9">
        <v>720</v>
      </c>
    </row>
    <row r="161" spans="11:17" hidden="1">
      <c r="K161" s="7" t="s">
        <v>322</v>
      </c>
      <c r="L161" s="7" t="s">
        <v>523</v>
      </c>
      <c r="M161" s="7" t="s">
        <v>673</v>
      </c>
      <c r="N161" s="34">
        <v>24</v>
      </c>
      <c r="O161">
        <v>0.2</v>
      </c>
      <c r="P161">
        <v>360</v>
      </c>
      <c r="Q161" s="9">
        <v>720</v>
      </c>
    </row>
    <row r="162" spans="11:17" hidden="1">
      <c r="K162" s="7" t="s">
        <v>323</v>
      </c>
      <c r="L162" s="7" t="s">
        <v>523</v>
      </c>
      <c r="M162" s="7" t="s">
        <v>628</v>
      </c>
      <c r="N162" s="34">
        <v>24</v>
      </c>
      <c r="O162">
        <v>0.2</v>
      </c>
      <c r="P162">
        <v>360</v>
      </c>
      <c r="Q162" s="9">
        <v>720</v>
      </c>
    </row>
    <row r="163" spans="11:17" hidden="1">
      <c r="K163" s="7" t="s">
        <v>324</v>
      </c>
      <c r="L163" s="7" t="s">
        <v>523</v>
      </c>
      <c r="M163" s="7" t="s">
        <v>674</v>
      </c>
      <c r="N163" s="34">
        <v>24</v>
      </c>
      <c r="O163">
        <v>0.2</v>
      </c>
      <c r="P163">
        <v>360</v>
      </c>
      <c r="Q163" s="9">
        <v>720</v>
      </c>
    </row>
    <row r="164" spans="11:17" ht="18.75" hidden="1" customHeight="1">
      <c r="K164" s="7" t="s">
        <v>325</v>
      </c>
      <c r="L164" s="7" t="s">
        <v>523</v>
      </c>
      <c r="M164" s="7" t="s">
        <v>650</v>
      </c>
      <c r="N164" s="34">
        <v>24</v>
      </c>
      <c r="O164">
        <v>0.2</v>
      </c>
      <c r="P164">
        <v>360</v>
      </c>
      <c r="Q164" s="9">
        <v>720</v>
      </c>
    </row>
    <row r="165" spans="11:17" ht="18.75" hidden="1" customHeight="1">
      <c r="K165" s="7" t="s">
        <v>326</v>
      </c>
      <c r="L165" s="7" t="s">
        <v>523</v>
      </c>
      <c r="M165" s="7" t="s">
        <v>675</v>
      </c>
      <c r="N165" s="34">
        <v>24</v>
      </c>
      <c r="O165">
        <v>0.2</v>
      </c>
      <c r="P165">
        <v>360</v>
      </c>
      <c r="Q165" s="9">
        <v>720</v>
      </c>
    </row>
    <row r="166" spans="11:17" ht="18.75" hidden="1" customHeight="1">
      <c r="K166" s="7" t="s">
        <v>327</v>
      </c>
      <c r="L166" s="7" t="s">
        <v>523</v>
      </c>
      <c r="M166" s="7" t="s">
        <v>676</v>
      </c>
      <c r="N166" s="34">
        <v>24</v>
      </c>
      <c r="O166">
        <v>0.2</v>
      </c>
      <c r="P166">
        <v>360</v>
      </c>
      <c r="Q166" s="9">
        <v>720</v>
      </c>
    </row>
    <row r="167" spans="11:17" hidden="1">
      <c r="K167" s="7" t="s">
        <v>328</v>
      </c>
      <c r="L167" s="7" t="s">
        <v>524</v>
      </c>
      <c r="M167" s="7" t="s">
        <v>677</v>
      </c>
      <c r="N167" s="34">
        <v>24</v>
      </c>
      <c r="O167">
        <v>0.2</v>
      </c>
      <c r="P167">
        <v>360</v>
      </c>
      <c r="Q167" s="9">
        <v>720</v>
      </c>
    </row>
    <row r="168" spans="11:17" hidden="1">
      <c r="K168" s="7" t="s">
        <v>329</v>
      </c>
      <c r="L168" s="7" t="s">
        <v>524</v>
      </c>
      <c r="M168" s="7" t="s">
        <v>678</v>
      </c>
      <c r="N168" s="34">
        <v>24</v>
      </c>
      <c r="O168">
        <v>0.2</v>
      </c>
      <c r="P168">
        <v>360</v>
      </c>
      <c r="Q168" s="9">
        <v>720</v>
      </c>
    </row>
    <row r="169" spans="11:17" ht="18.75" hidden="1" customHeight="1">
      <c r="K169" s="7" t="s">
        <v>330</v>
      </c>
      <c r="L169" s="7" t="s">
        <v>524</v>
      </c>
      <c r="M169" s="7" t="s">
        <v>679</v>
      </c>
      <c r="N169" s="34">
        <v>24</v>
      </c>
      <c r="O169">
        <v>0.2</v>
      </c>
      <c r="P169">
        <v>360</v>
      </c>
      <c r="Q169" s="9">
        <v>720</v>
      </c>
    </row>
    <row r="170" spans="11:17" ht="18.75" hidden="1" customHeight="1">
      <c r="K170" s="7" t="s">
        <v>331</v>
      </c>
      <c r="L170" s="7" t="s">
        <v>525</v>
      </c>
      <c r="M170" s="7" t="s">
        <v>680</v>
      </c>
      <c r="N170" s="34">
        <v>24</v>
      </c>
      <c r="O170">
        <v>0.2</v>
      </c>
      <c r="P170">
        <v>360</v>
      </c>
      <c r="Q170" s="9">
        <v>720</v>
      </c>
    </row>
    <row r="171" spans="11:17" ht="18.75" hidden="1" customHeight="1">
      <c r="K171" s="7" t="s">
        <v>332</v>
      </c>
      <c r="L171" s="7" t="s">
        <v>525</v>
      </c>
      <c r="M171" s="7" t="s">
        <v>600</v>
      </c>
      <c r="N171" s="34">
        <v>24</v>
      </c>
      <c r="O171">
        <v>0.2</v>
      </c>
      <c r="P171">
        <v>360</v>
      </c>
      <c r="Q171" s="9">
        <v>720</v>
      </c>
    </row>
    <row r="172" spans="11:17" hidden="1">
      <c r="K172" s="7" t="s">
        <v>333</v>
      </c>
      <c r="L172" s="7" t="s">
        <v>526</v>
      </c>
      <c r="M172" s="7" t="s">
        <v>681</v>
      </c>
      <c r="N172" s="34">
        <v>24</v>
      </c>
      <c r="O172">
        <v>0.2</v>
      </c>
      <c r="P172">
        <v>360</v>
      </c>
      <c r="Q172" s="9">
        <v>720</v>
      </c>
    </row>
    <row r="173" spans="11:17" hidden="1">
      <c r="K173" s="7" t="s">
        <v>334</v>
      </c>
      <c r="L173" s="7" t="s">
        <v>526</v>
      </c>
      <c r="M173" s="7" t="s">
        <v>682</v>
      </c>
      <c r="N173" s="34">
        <v>24</v>
      </c>
      <c r="O173">
        <v>0.2</v>
      </c>
      <c r="P173">
        <v>360</v>
      </c>
      <c r="Q173" s="9">
        <v>720</v>
      </c>
    </row>
    <row r="174" spans="11:17" hidden="1">
      <c r="K174" s="7" t="s">
        <v>335</v>
      </c>
      <c r="L174" s="7" t="s">
        <v>526</v>
      </c>
      <c r="M174" s="7" t="s">
        <v>683</v>
      </c>
      <c r="N174" s="34">
        <v>24</v>
      </c>
      <c r="O174">
        <v>0.2</v>
      </c>
      <c r="P174">
        <v>360</v>
      </c>
      <c r="Q174" s="9">
        <v>720</v>
      </c>
    </row>
    <row r="175" spans="11:17" hidden="1">
      <c r="K175" s="7" t="s">
        <v>334</v>
      </c>
      <c r="L175" s="7" t="s">
        <v>526</v>
      </c>
      <c r="M175" s="7" t="s">
        <v>684</v>
      </c>
      <c r="N175" s="34">
        <v>24</v>
      </c>
      <c r="O175">
        <v>0.2</v>
      </c>
      <c r="P175">
        <v>360</v>
      </c>
      <c r="Q175" s="9">
        <v>720</v>
      </c>
    </row>
    <row r="176" spans="11:17" ht="18.75" hidden="1" customHeight="1">
      <c r="K176" s="7" t="s">
        <v>336</v>
      </c>
      <c r="L176" s="7" t="s">
        <v>526</v>
      </c>
      <c r="M176" s="7" t="s">
        <v>679</v>
      </c>
      <c r="N176" s="34">
        <v>24</v>
      </c>
      <c r="O176">
        <v>0.2</v>
      </c>
      <c r="P176">
        <v>360</v>
      </c>
      <c r="Q176" s="9">
        <v>720</v>
      </c>
    </row>
    <row r="177" spans="11:17" ht="18.75" hidden="1" customHeight="1">
      <c r="K177" s="7" t="s">
        <v>337</v>
      </c>
      <c r="L177" s="7" t="s">
        <v>526</v>
      </c>
      <c r="M177" s="7" t="s">
        <v>685</v>
      </c>
      <c r="N177" s="34">
        <v>24</v>
      </c>
      <c r="O177">
        <v>0.2</v>
      </c>
      <c r="P177">
        <v>360</v>
      </c>
      <c r="Q177" s="9">
        <v>720</v>
      </c>
    </row>
    <row r="178" spans="11:17" ht="18.75" hidden="1" customHeight="1">
      <c r="K178" s="7" t="s">
        <v>338</v>
      </c>
      <c r="L178" s="7" t="s">
        <v>526</v>
      </c>
      <c r="M178" s="7" t="s">
        <v>686</v>
      </c>
      <c r="N178" s="34">
        <v>24</v>
      </c>
      <c r="O178">
        <v>0.2</v>
      </c>
      <c r="P178">
        <v>360</v>
      </c>
      <c r="Q178" s="9">
        <v>720</v>
      </c>
    </row>
    <row r="179" spans="11:17" ht="18.75" hidden="1" customHeight="1">
      <c r="K179" s="7" t="s">
        <v>339</v>
      </c>
      <c r="L179" s="7" t="s">
        <v>526</v>
      </c>
      <c r="M179" s="7" t="s">
        <v>687</v>
      </c>
      <c r="N179" s="34">
        <v>24</v>
      </c>
      <c r="O179">
        <v>0.2</v>
      </c>
      <c r="P179">
        <v>360</v>
      </c>
      <c r="Q179" s="9">
        <v>720</v>
      </c>
    </row>
    <row r="180" spans="11:17" hidden="1">
      <c r="K180" s="7" t="s">
        <v>340</v>
      </c>
      <c r="L180" s="7" t="s">
        <v>527</v>
      </c>
      <c r="M180" s="7" t="s">
        <v>688</v>
      </c>
      <c r="N180" s="34">
        <v>24</v>
      </c>
      <c r="O180">
        <v>0.2</v>
      </c>
      <c r="P180">
        <v>360</v>
      </c>
      <c r="Q180" s="9">
        <v>720</v>
      </c>
    </row>
    <row r="181" spans="11:17" hidden="1">
      <c r="K181" s="7" t="s">
        <v>341</v>
      </c>
      <c r="L181" s="7" t="s">
        <v>527</v>
      </c>
      <c r="M181" s="7" t="s">
        <v>689</v>
      </c>
      <c r="N181" s="34">
        <v>24</v>
      </c>
      <c r="O181">
        <v>0.2</v>
      </c>
      <c r="P181">
        <v>360</v>
      </c>
      <c r="Q181" s="9">
        <v>720</v>
      </c>
    </row>
    <row r="182" spans="11:17" hidden="1">
      <c r="K182" s="7" t="s">
        <v>342</v>
      </c>
      <c r="L182" s="7" t="s">
        <v>527</v>
      </c>
      <c r="M182" s="7" t="s">
        <v>690</v>
      </c>
      <c r="N182" s="34">
        <v>24</v>
      </c>
      <c r="O182">
        <v>0.2</v>
      </c>
      <c r="P182">
        <v>360</v>
      </c>
      <c r="Q182" s="9">
        <v>720</v>
      </c>
    </row>
    <row r="183" spans="11:17" hidden="1">
      <c r="K183" s="7" t="s">
        <v>343</v>
      </c>
      <c r="L183" s="7" t="s">
        <v>527</v>
      </c>
      <c r="M183" s="7" t="s">
        <v>691</v>
      </c>
      <c r="N183" s="34">
        <v>24</v>
      </c>
      <c r="O183">
        <v>0.2</v>
      </c>
      <c r="P183">
        <v>360</v>
      </c>
      <c r="Q183" s="9">
        <v>720</v>
      </c>
    </row>
    <row r="184" spans="11:17" ht="18.75" hidden="1" customHeight="1">
      <c r="K184" s="7" t="s">
        <v>344</v>
      </c>
      <c r="L184" s="7" t="s">
        <v>528</v>
      </c>
      <c r="M184" s="7" t="s">
        <v>692</v>
      </c>
      <c r="N184" s="34">
        <v>24</v>
      </c>
      <c r="O184">
        <v>0.2</v>
      </c>
      <c r="P184">
        <v>360</v>
      </c>
      <c r="Q184" s="9">
        <v>720</v>
      </c>
    </row>
    <row r="185" spans="11:17" hidden="1">
      <c r="K185" s="7" t="s">
        <v>345</v>
      </c>
      <c r="L185" s="7" t="s">
        <v>528</v>
      </c>
      <c r="M185" s="7" t="s">
        <v>693</v>
      </c>
      <c r="N185" s="34">
        <v>24</v>
      </c>
      <c r="O185">
        <v>0.2</v>
      </c>
      <c r="P185">
        <v>360</v>
      </c>
      <c r="Q185" s="9">
        <v>720</v>
      </c>
    </row>
    <row r="186" spans="11:17" hidden="1">
      <c r="K186" s="7" t="s">
        <v>346</v>
      </c>
      <c r="L186" s="7" t="s">
        <v>528</v>
      </c>
      <c r="M186" s="7" t="s">
        <v>694</v>
      </c>
      <c r="N186" s="34">
        <v>24</v>
      </c>
      <c r="O186">
        <v>0.2</v>
      </c>
      <c r="P186">
        <v>360</v>
      </c>
      <c r="Q186" s="9">
        <v>720</v>
      </c>
    </row>
    <row r="187" spans="11:17" hidden="1">
      <c r="K187" s="7" t="s">
        <v>347</v>
      </c>
      <c r="L187" s="7" t="s">
        <v>529</v>
      </c>
      <c r="M187" s="7" t="s">
        <v>672</v>
      </c>
      <c r="N187" s="34">
        <v>24</v>
      </c>
      <c r="O187">
        <v>0.2</v>
      </c>
      <c r="P187">
        <v>360</v>
      </c>
      <c r="Q187" s="9">
        <v>720</v>
      </c>
    </row>
    <row r="188" spans="11:17" ht="18.75" hidden="1" customHeight="1">
      <c r="K188" s="7" t="s">
        <v>348</v>
      </c>
      <c r="L188" s="7" t="s">
        <v>529</v>
      </c>
      <c r="M188" s="7" t="s">
        <v>679</v>
      </c>
      <c r="N188" s="34">
        <v>24</v>
      </c>
      <c r="O188">
        <v>0.2</v>
      </c>
      <c r="P188">
        <v>360</v>
      </c>
      <c r="Q188" s="9">
        <v>720</v>
      </c>
    </row>
    <row r="189" spans="11:17" ht="18.75" hidden="1" customHeight="1">
      <c r="K189" s="7" t="s">
        <v>349</v>
      </c>
      <c r="L189" s="7" t="s">
        <v>530</v>
      </c>
      <c r="M189" s="7" t="s">
        <v>695</v>
      </c>
      <c r="N189" s="34">
        <v>24</v>
      </c>
      <c r="O189">
        <v>0.2</v>
      </c>
      <c r="P189">
        <v>360</v>
      </c>
      <c r="Q189" s="9">
        <v>720</v>
      </c>
    </row>
    <row r="190" spans="11:17" ht="18.75" hidden="1" customHeight="1">
      <c r="K190" s="7" t="s">
        <v>303</v>
      </c>
      <c r="L190" s="7" t="s">
        <v>531</v>
      </c>
      <c r="M190" s="7" t="s">
        <v>696</v>
      </c>
      <c r="N190" s="34">
        <v>24</v>
      </c>
      <c r="O190">
        <v>0.2</v>
      </c>
      <c r="P190">
        <v>360</v>
      </c>
      <c r="Q190" s="9">
        <v>720</v>
      </c>
    </row>
    <row r="191" spans="11:17" ht="18.75" hidden="1" customHeight="1">
      <c r="K191" s="7" t="s">
        <v>350</v>
      </c>
      <c r="L191" s="7" t="s">
        <v>532</v>
      </c>
      <c r="M191" s="7" t="s">
        <v>697</v>
      </c>
      <c r="N191" s="34">
        <v>24</v>
      </c>
      <c r="O191">
        <v>0.2</v>
      </c>
      <c r="P191">
        <v>360</v>
      </c>
      <c r="Q191" s="9">
        <v>720</v>
      </c>
    </row>
    <row r="192" spans="11:17" ht="18.75" hidden="1" customHeight="1">
      <c r="K192" s="7" t="s">
        <v>351</v>
      </c>
      <c r="L192" s="7" t="s">
        <v>532</v>
      </c>
      <c r="M192" s="7" t="s">
        <v>698</v>
      </c>
      <c r="N192" s="34">
        <v>24</v>
      </c>
      <c r="O192">
        <v>0.2</v>
      </c>
      <c r="P192">
        <v>360</v>
      </c>
      <c r="Q192" s="9">
        <v>720</v>
      </c>
    </row>
    <row r="193" spans="11:17" hidden="1">
      <c r="K193" s="7" t="s">
        <v>352</v>
      </c>
      <c r="L193" s="7" t="s">
        <v>532</v>
      </c>
      <c r="M193" s="7" t="s">
        <v>598</v>
      </c>
      <c r="N193" s="34">
        <v>24</v>
      </c>
      <c r="O193">
        <v>0.2</v>
      </c>
      <c r="P193">
        <v>360</v>
      </c>
      <c r="Q193" s="9">
        <v>720</v>
      </c>
    </row>
    <row r="194" spans="11:17" hidden="1">
      <c r="K194" s="7" t="s">
        <v>353</v>
      </c>
      <c r="L194" s="7" t="s">
        <v>533</v>
      </c>
      <c r="M194" s="7" t="s">
        <v>598</v>
      </c>
      <c r="N194" s="34">
        <v>24</v>
      </c>
      <c r="O194">
        <v>0.2</v>
      </c>
      <c r="P194">
        <v>360</v>
      </c>
      <c r="Q194" s="9">
        <v>720</v>
      </c>
    </row>
    <row r="195" spans="11:17" hidden="1">
      <c r="K195" s="7" t="s">
        <v>354</v>
      </c>
      <c r="L195" s="7" t="s">
        <v>533</v>
      </c>
      <c r="M195" s="7" t="s">
        <v>699</v>
      </c>
      <c r="N195" s="34">
        <v>24</v>
      </c>
      <c r="O195">
        <v>0.2</v>
      </c>
      <c r="P195">
        <v>360</v>
      </c>
      <c r="Q195" s="9">
        <v>720</v>
      </c>
    </row>
    <row r="196" spans="11:17" hidden="1">
      <c r="K196" s="7" t="s">
        <v>355</v>
      </c>
      <c r="L196" s="7" t="s">
        <v>533</v>
      </c>
      <c r="M196" s="7" t="s">
        <v>700</v>
      </c>
      <c r="N196" s="34">
        <v>24</v>
      </c>
      <c r="O196">
        <v>0.2</v>
      </c>
      <c r="P196">
        <v>360</v>
      </c>
      <c r="Q196" s="9">
        <v>720</v>
      </c>
    </row>
    <row r="197" spans="11:17" hidden="1">
      <c r="K197" s="7" t="s">
        <v>356</v>
      </c>
      <c r="L197" s="7" t="s">
        <v>533</v>
      </c>
      <c r="M197" s="7" t="s">
        <v>701</v>
      </c>
      <c r="N197" s="34">
        <v>24</v>
      </c>
      <c r="O197">
        <v>0.2</v>
      </c>
      <c r="P197">
        <v>360</v>
      </c>
      <c r="Q197" s="9">
        <v>720</v>
      </c>
    </row>
    <row r="198" spans="11:17" hidden="1">
      <c r="K198" s="7" t="s">
        <v>357</v>
      </c>
      <c r="L198" s="7" t="s">
        <v>533</v>
      </c>
      <c r="M198" s="7" t="s">
        <v>702</v>
      </c>
      <c r="N198" s="34">
        <v>24</v>
      </c>
      <c r="O198">
        <v>0.2</v>
      </c>
      <c r="P198">
        <v>360</v>
      </c>
      <c r="Q198" s="9">
        <v>720</v>
      </c>
    </row>
    <row r="199" spans="11:17" ht="37.5" hidden="1" customHeight="1">
      <c r="K199" s="7" t="s">
        <v>358</v>
      </c>
      <c r="L199" s="7" t="s">
        <v>534</v>
      </c>
      <c r="M199" s="7" t="s">
        <v>703</v>
      </c>
      <c r="N199" s="34">
        <v>24</v>
      </c>
      <c r="O199">
        <v>0.2</v>
      </c>
      <c r="P199">
        <v>360</v>
      </c>
      <c r="Q199" s="9">
        <v>720</v>
      </c>
    </row>
    <row r="200" spans="11:17" ht="18.75" hidden="1" customHeight="1">
      <c r="K200" s="7" t="s">
        <v>359</v>
      </c>
      <c r="L200" s="7" t="s">
        <v>534</v>
      </c>
      <c r="M200" s="7" t="s">
        <v>704</v>
      </c>
      <c r="N200" s="34">
        <v>24</v>
      </c>
      <c r="O200">
        <v>0.2</v>
      </c>
      <c r="P200">
        <v>360</v>
      </c>
      <c r="Q200" s="9">
        <v>720</v>
      </c>
    </row>
    <row r="201" spans="11:17" ht="18.75" hidden="1" customHeight="1">
      <c r="K201" s="7" t="s">
        <v>360</v>
      </c>
      <c r="L201" s="7" t="s">
        <v>534</v>
      </c>
      <c r="M201" s="7" t="s">
        <v>705</v>
      </c>
      <c r="N201" s="34">
        <v>24</v>
      </c>
      <c r="O201">
        <v>0.2</v>
      </c>
      <c r="P201">
        <v>360</v>
      </c>
      <c r="Q201" s="9">
        <v>720</v>
      </c>
    </row>
    <row r="202" spans="11:17" ht="18.75" hidden="1" customHeight="1">
      <c r="K202" s="7" t="s">
        <v>361</v>
      </c>
      <c r="L202" s="7" t="s">
        <v>534</v>
      </c>
      <c r="M202" s="7" t="s">
        <v>706</v>
      </c>
      <c r="N202" s="34">
        <v>24</v>
      </c>
      <c r="O202">
        <v>0.2</v>
      </c>
      <c r="P202">
        <v>360</v>
      </c>
      <c r="Q202" s="9">
        <v>720</v>
      </c>
    </row>
    <row r="203" spans="11:17" ht="18.75" hidden="1" customHeight="1">
      <c r="K203" s="7" t="s">
        <v>362</v>
      </c>
      <c r="L203" s="7" t="s">
        <v>535</v>
      </c>
      <c r="M203" s="7" t="s">
        <v>599</v>
      </c>
      <c r="N203" s="34">
        <v>24</v>
      </c>
      <c r="O203">
        <v>0.2</v>
      </c>
      <c r="P203">
        <v>360</v>
      </c>
      <c r="Q203" s="9">
        <v>720</v>
      </c>
    </row>
    <row r="204" spans="11:17" ht="18.75" hidden="1" customHeight="1">
      <c r="K204" s="7" t="s">
        <v>363</v>
      </c>
      <c r="L204" s="7" t="s">
        <v>535</v>
      </c>
      <c r="M204" s="7" t="s">
        <v>707</v>
      </c>
      <c r="N204" s="34">
        <v>24</v>
      </c>
      <c r="O204">
        <v>0.2</v>
      </c>
      <c r="P204">
        <v>360</v>
      </c>
      <c r="Q204" s="9">
        <v>720</v>
      </c>
    </row>
    <row r="205" spans="11:17" hidden="1">
      <c r="K205" s="7" t="s">
        <v>364</v>
      </c>
      <c r="L205" s="7" t="s">
        <v>535</v>
      </c>
      <c r="M205" s="7" t="s">
        <v>708</v>
      </c>
      <c r="N205" s="34">
        <v>24</v>
      </c>
      <c r="O205">
        <v>0.2</v>
      </c>
      <c r="P205">
        <v>360</v>
      </c>
      <c r="Q205" s="9">
        <v>720</v>
      </c>
    </row>
    <row r="206" spans="11:17" ht="18.75" hidden="1" customHeight="1">
      <c r="K206" s="7" t="s">
        <v>365</v>
      </c>
      <c r="L206" s="7" t="s">
        <v>535</v>
      </c>
      <c r="M206" s="7" t="s">
        <v>709</v>
      </c>
      <c r="N206" s="34">
        <v>24</v>
      </c>
      <c r="O206">
        <v>0.2</v>
      </c>
      <c r="P206">
        <v>360</v>
      </c>
      <c r="Q206" s="9">
        <v>720</v>
      </c>
    </row>
    <row r="207" spans="11:17" hidden="1">
      <c r="K207" s="7" t="s">
        <v>366</v>
      </c>
      <c r="L207" s="7" t="s">
        <v>535</v>
      </c>
      <c r="M207" s="7" t="s">
        <v>710</v>
      </c>
      <c r="N207" s="34">
        <v>24</v>
      </c>
      <c r="O207">
        <v>0.2</v>
      </c>
      <c r="P207">
        <v>360</v>
      </c>
      <c r="Q207" s="9">
        <v>720</v>
      </c>
    </row>
    <row r="208" spans="11:17" hidden="1">
      <c r="K208" s="7" t="s">
        <v>367</v>
      </c>
      <c r="L208" s="7" t="s">
        <v>535</v>
      </c>
      <c r="M208" s="7" t="s">
        <v>711</v>
      </c>
      <c r="N208" s="34">
        <v>24</v>
      </c>
      <c r="O208">
        <v>0.2</v>
      </c>
      <c r="P208">
        <v>360</v>
      </c>
      <c r="Q208" s="9">
        <v>720</v>
      </c>
    </row>
    <row r="209" spans="11:17" hidden="1">
      <c r="K209" s="7" t="s">
        <v>368</v>
      </c>
      <c r="L209" s="7" t="s">
        <v>535</v>
      </c>
      <c r="M209" s="7" t="s">
        <v>712</v>
      </c>
      <c r="N209" s="34">
        <v>24</v>
      </c>
      <c r="O209">
        <v>0.2</v>
      </c>
      <c r="P209">
        <v>360</v>
      </c>
      <c r="Q209" s="9">
        <v>720</v>
      </c>
    </row>
    <row r="210" spans="11:17" hidden="1">
      <c r="K210" s="7" t="s">
        <v>369</v>
      </c>
      <c r="L210" s="7" t="s">
        <v>535</v>
      </c>
      <c r="M210" s="7" t="s">
        <v>713</v>
      </c>
      <c r="N210" s="34">
        <v>24</v>
      </c>
      <c r="O210">
        <v>0.2</v>
      </c>
      <c r="P210">
        <v>360</v>
      </c>
      <c r="Q210" s="9">
        <v>720</v>
      </c>
    </row>
    <row r="211" spans="11:17" hidden="1">
      <c r="K211" s="7" t="s">
        <v>370</v>
      </c>
      <c r="L211" s="7" t="s">
        <v>535</v>
      </c>
      <c r="M211" s="7" t="s">
        <v>714</v>
      </c>
      <c r="N211" s="34">
        <v>24</v>
      </c>
      <c r="O211">
        <v>0.2</v>
      </c>
      <c r="P211">
        <v>360</v>
      </c>
      <c r="Q211" s="9">
        <v>720</v>
      </c>
    </row>
    <row r="212" spans="11:17" hidden="1">
      <c r="K212" s="7" t="s">
        <v>371</v>
      </c>
      <c r="L212" s="7" t="s">
        <v>535</v>
      </c>
      <c r="M212" s="7" t="s">
        <v>715</v>
      </c>
      <c r="N212" s="34">
        <v>24</v>
      </c>
      <c r="O212">
        <v>0.2</v>
      </c>
      <c r="P212">
        <v>360</v>
      </c>
      <c r="Q212" s="9">
        <v>720</v>
      </c>
    </row>
    <row r="213" spans="11:17" hidden="1">
      <c r="K213" s="7" t="s">
        <v>372</v>
      </c>
      <c r="L213" s="7" t="s">
        <v>535</v>
      </c>
      <c r="M213" s="7" t="s">
        <v>716</v>
      </c>
      <c r="N213" s="34">
        <v>24</v>
      </c>
      <c r="O213">
        <v>0.2</v>
      </c>
      <c r="P213">
        <v>360</v>
      </c>
      <c r="Q213" s="9">
        <v>720</v>
      </c>
    </row>
    <row r="214" spans="11:17" hidden="1">
      <c r="K214" s="7" t="s">
        <v>373</v>
      </c>
      <c r="L214" s="7" t="s">
        <v>535</v>
      </c>
      <c r="M214" s="7" t="s">
        <v>717</v>
      </c>
      <c r="N214" s="34">
        <v>24</v>
      </c>
      <c r="O214">
        <v>0.2</v>
      </c>
      <c r="P214">
        <v>360</v>
      </c>
      <c r="Q214" s="9">
        <v>720</v>
      </c>
    </row>
    <row r="215" spans="11:17" hidden="1">
      <c r="K215" s="7" t="s">
        <v>171</v>
      </c>
      <c r="L215" s="7" t="s">
        <v>535</v>
      </c>
      <c r="M215" s="7" t="s">
        <v>718</v>
      </c>
      <c r="N215" s="34">
        <v>24</v>
      </c>
      <c r="O215">
        <v>0.2</v>
      </c>
      <c r="P215">
        <v>360</v>
      </c>
      <c r="Q215" s="9">
        <v>720</v>
      </c>
    </row>
    <row r="216" spans="11:17" hidden="1">
      <c r="K216" s="7" t="s">
        <v>374</v>
      </c>
      <c r="L216" s="7" t="s">
        <v>535</v>
      </c>
      <c r="M216" s="7" t="s">
        <v>719</v>
      </c>
      <c r="N216" s="34">
        <v>24</v>
      </c>
      <c r="O216">
        <v>0.2</v>
      </c>
      <c r="P216">
        <v>360</v>
      </c>
      <c r="Q216" s="9">
        <v>720</v>
      </c>
    </row>
    <row r="217" spans="11:17" hidden="1">
      <c r="K217" s="7" t="s">
        <v>375</v>
      </c>
      <c r="L217" s="7" t="s">
        <v>535</v>
      </c>
      <c r="M217" s="7" t="s">
        <v>720</v>
      </c>
      <c r="N217" s="34">
        <v>24</v>
      </c>
      <c r="O217">
        <v>0.2</v>
      </c>
      <c r="P217">
        <v>360</v>
      </c>
      <c r="Q217" s="9">
        <v>720</v>
      </c>
    </row>
    <row r="218" spans="11:17" hidden="1">
      <c r="K218" s="7" t="s">
        <v>376</v>
      </c>
      <c r="L218" s="7" t="s">
        <v>535</v>
      </c>
      <c r="M218" s="7" t="s">
        <v>721</v>
      </c>
      <c r="N218" s="34">
        <v>24</v>
      </c>
      <c r="O218">
        <v>0.2</v>
      </c>
      <c r="P218">
        <v>360</v>
      </c>
      <c r="Q218" s="9">
        <v>720</v>
      </c>
    </row>
    <row r="219" spans="11:17" hidden="1">
      <c r="K219" s="7" t="s">
        <v>377</v>
      </c>
      <c r="L219" s="7" t="s">
        <v>535</v>
      </c>
      <c r="M219" s="7" t="s">
        <v>722</v>
      </c>
      <c r="N219" s="34">
        <v>24</v>
      </c>
      <c r="O219">
        <v>0.2</v>
      </c>
      <c r="P219">
        <v>360</v>
      </c>
      <c r="Q219" s="9">
        <v>720</v>
      </c>
    </row>
    <row r="220" spans="11:17" hidden="1">
      <c r="K220" s="7" t="s">
        <v>378</v>
      </c>
      <c r="L220" s="7" t="s">
        <v>535</v>
      </c>
      <c r="M220" s="7" t="s">
        <v>723</v>
      </c>
      <c r="N220" s="34">
        <v>24</v>
      </c>
      <c r="O220">
        <v>0.2</v>
      </c>
      <c r="P220">
        <v>360</v>
      </c>
      <c r="Q220" s="9">
        <v>720</v>
      </c>
    </row>
    <row r="221" spans="11:17" hidden="1">
      <c r="K221" s="7" t="s">
        <v>379</v>
      </c>
      <c r="L221" s="7" t="s">
        <v>535</v>
      </c>
      <c r="M221" s="7" t="s">
        <v>724</v>
      </c>
      <c r="N221" s="34">
        <v>24</v>
      </c>
      <c r="O221">
        <v>0.2</v>
      </c>
      <c r="P221">
        <v>360</v>
      </c>
      <c r="Q221" s="9">
        <v>720</v>
      </c>
    </row>
    <row r="222" spans="11:17" hidden="1">
      <c r="K222" s="7" t="s">
        <v>380</v>
      </c>
      <c r="L222" s="7" t="s">
        <v>535</v>
      </c>
      <c r="M222" s="7" t="s">
        <v>725</v>
      </c>
      <c r="N222" s="34">
        <v>24</v>
      </c>
      <c r="O222">
        <v>0.2</v>
      </c>
      <c r="P222">
        <v>360</v>
      </c>
      <c r="Q222" s="9">
        <v>720</v>
      </c>
    </row>
    <row r="223" spans="11:17" hidden="1">
      <c r="K223" s="7" t="s">
        <v>381</v>
      </c>
      <c r="L223" s="7" t="s">
        <v>535</v>
      </c>
      <c r="M223" s="7" t="s">
        <v>726</v>
      </c>
      <c r="N223" s="34">
        <v>24</v>
      </c>
      <c r="O223">
        <v>0.2</v>
      </c>
      <c r="P223">
        <v>360</v>
      </c>
      <c r="Q223" s="9">
        <v>720</v>
      </c>
    </row>
    <row r="224" spans="11:17" hidden="1">
      <c r="K224" s="7" t="s">
        <v>382</v>
      </c>
      <c r="L224" s="7" t="s">
        <v>535</v>
      </c>
      <c r="M224" s="7" t="s">
        <v>727</v>
      </c>
      <c r="N224" s="34">
        <v>24</v>
      </c>
      <c r="O224">
        <v>0.2</v>
      </c>
      <c r="P224">
        <v>360</v>
      </c>
      <c r="Q224" s="9">
        <v>720</v>
      </c>
    </row>
    <row r="225" spans="11:17" hidden="1">
      <c r="K225" s="7" t="s">
        <v>383</v>
      </c>
      <c r="L225" s="7" t="s">
        <v>535</v>
      </c>
      <c r="M225" s="7" t="s">
        <v>728</v>
      </c>
      <c r="N225" s="34">
        <v>24</v>
      </c>
      <c r="O225">
        <v>0.2</v>
      </c>
      <c r="P225">
        <v>360</v>
      </c>
      <c r="Q225" s="9">
        <v>720</v>
      </c>
    </row>
    <row r="226" spans="11:17" hidden="1">
      <c r="K226" s="7" t="s">
        <v>384</v>
      </c>
      <c r="L226" s="7" t="s">
        <v>535</v>
      </c>
      <c r="M226" s="7" t="s">
        <v>729</v>
      </c>
      <c r="N226" s="34">
        <v>24</v>
      </c>
      <c r="O226">
        <v>0.2</v>
      </c>
      <c r="P226">
        <v>360</v>
      </c>
      <c r="Q226" s="9">
        <v>720</v>
      </c>
    </row>
    <row r="227" spans="11:17" hidden="1">
      <c r="K227" s="7" t="s">
        <v>385</v>
      </c>
      <c r="L227" s="7" t="s">
        <v>535</v>
      </c>
      <c r="M227" s="7" t="s">
        <v>730</v>
      </c>
      <c r="N227" s="34">
        <v>24</v>
      </c>
      <c r="O227">
        <v>0.2</v>
      </c>
      <c r="P227">
        <v>360</v>
      </c>
      <c r="Q227" s="9">
        <v>720</v>
      </c>
    </row>
    <row r="228" spans="11:17" hidden="1">
      <c r="K228" s="7" t="s">
        <v>386</v>
      </c>
      <c r="L228" s="7" t="s">
        <v>535</v>
      </c>
      <c r="M228" s="7" t="s">
        <v>731</v>
      </c>
      <c r="N228" s="34">
        <v>24</v>
      </c>
      <c r="O228">
        <v>0.2</v>
      </c>
      <c r="P228">
        <v>360</v>
      </c>
      <c r="Q228" s="9">
        <v>720</v>
      </c>
    </row>
    <row r="229" spans="11:17" hidden="1">
      <c r="K229" s="7" t="s">
        <v>387</v>
      </c>
      <c r="L229" s="7" t="s">
        <v>535</v>
      </c>
      <c r="M229" s="7" t="s">
        <v>732</v>
      </c>
      <c r="N229" s="34">
        <v>24</v>
      </c>
      <c r="O229">
        <v>0.2</v>
      </c>
      <c r="P229">
        <v>360</v>
      </c>
      <c r="Q229" s="9">
        <v>720</v>
      </c>
    </row>
    <row r="230" spans="11:17" hidden="1">
      <c r="K230" s="7" t="s">
        <v>388</v>
      </c>
      <c r="L230" s="7" t="s">
        <v>535</v>
      </c>
      <c r="M230" s="7" t="s">
        <v>733</v>
      </c>
      <c r="N230" s="34">
        <v>24</v>
      </c>
      <c r="O230">
        <v>0.2</v>
      </c>
      <c r="P230">
        <v>360</v>
      </c>
      <c r="Q230" s="9">
        <v>720</v>
      </c>
    </row>
    <row r="231" spans="11:17" hidden="1">
      <c r="K231" s="7" t="s">
        <v>389</v>
      </c>
      <c r="L231" s="7" t="s">
        <v>535</v>
      </c>
      <c r="M231" s="7" t="s">
        <v>734</v>
      </c>
      <c r="N231" s="34">
        <v>24</v>
      </c>
      <c r="O231">
        <v>0.2</v>
      </c>
      <c r="P231">
        <v>360</v>
      </c>
      <c r="Q231" s="9">
        <v>720</v>
      </c>
    </row>
    <row r="232" spans="11:17" hidden="1">
      <c r="K232" s="7" t="s">
        <v>390</v>
      </c>
      <c r="L232" s="7" t="s">
        <v>535</v>
      </c>
      <c r="M232" s="7" t="s">
        <v>735</v>
      </c>
      <c r="N232" s="34">
        <v>24</v>
      </c>
      <c r="O232">
        <v>0.2</v>
      </c>
      <c r="P232">
        <v>360</v>
      </c>
      <c r="Q232" s="9">
        <v>720</v>
      </c>
    </row>
    <row r="233" spans="11:17" hidden="1">
      <c r="K233" s="7" t="s">
        <v>391</v>
      </c>
      <c r="L233" s="7" t="s">
        <v>535</v>
      </c>
      <c r="M233" s="7" t="s">
        <v>736</v>
      </c>
      <c r="N233" s="34">
        <v>24</v>
      </c>
      <c r="O233">
        <v>0.2</v>
      </c>
      <c r="P233">
        <v>360</v>
      </c>
      <c r="Q233" s="9">
        <v>720</v>
      </c>
    </row>
    <row r="234" spans="11:17" hidden="1">
      <c r="K234" s="7" t="s">
        <v>392</v>
      </c>
      <c r="L234" s="7" t="s">
        <v>535</v>
      </c>
      <c r="M234" s="7" t="s">
        <v>598</v>
      </c>
      <c r="N234" s="34">
        <v>24</v>
      </c>
      <c r="O234">
        <v>0.2</v>
      </c>
      <c r="P234">
        <v>360</v>
      </c>
      <c r="Q234" s="9">
        <v>720</v>
      </c>
    </row>
    <row r="235" spans="11:17" hidden="1">
      <c r="K235" s="7" t="s">
        <v>393</v>
      </c>
      <c r="L235" s="7" t="s">
        <v>535</v>
      </c>
      <c r="M235" s="7" t="s">
        <v>737</v>
      </c>
      <c r="N235" s="34">
        <v>24</v>
      </c>
      <c r="O235">
        <v>0.2</v>
      </c>
      <c r="P235">
        <v>360</v>
      </c>
      <c r="Q235" s="9">
        <v>720</v>
      </c>
    </row>
    <row r="236" spans="11:17" hidden="1">
      <c r="K236" s="7" t="s">
        <v>71</v>
      </c>
      <c r="L236" s="7" t="s">
        <v>535</v>
      </c>
      <c r="M236" s="7" t="s">
        <v>737</v>
      </c>
      <c r="N236" s="34">
        <v>24</v>
      </c>
      <c r="O236">
        <v>0.2</v>
      </c>
      <c r="P236">
        <v>360</v>
      </c>
      <c r="Q236" s="9">
        <v>720</v>
      </c>
    </row>
    <row r="237" spans="11:17" hidden="1">
      <c r="K237" s="7" t="s">
        <v>394</v>
      </c>
      <c r="L237" s="7" t="s">
        <v>535</v>
      </c>
      <c r="M237" s="7" t="s">
        <v>617</v>
      </c>
      <c r="N237" s="34">
        <v>24</v>
      </c>
      <c r="O237">
        <v>0.2</v>
      </c>
      <c r="P237">
        <v>360</v>
      </c>
      <c r="Q237" s="9">
        <v>720</v>
      </c>
    </row>
    <row r="238" spans="11:17" hidden="1">
      <c r="K238" s="7" t="s">
        <v>395</v>
      </c>
      <c r="L238" s="7" t="s">
        <v>535</v>
      </c>
      <c r="M238" s="7" t="s">
        <v>738</v>
      </c>
      <c r="N238" s="34">
        <v>24</v>
      </c>
      <c r="O238">
        <v>0.2</v>
      </c>
      <c r="P238">
        <v>360</v>
      </c>
      <c r="Q238" s="9">
        <v>720</v>
      </c>
    </row>
    <row r="239" spans="11:17" hidden="1">
      <c r="K239" s="7" t="s">
        <v>396</v>
      </c>
      <c r="L239" s="7" t="s">
        <v>535</v>
      </c>
      <c r="M239" s="7" t="s">
        <v>739</v>
      </c>
      <c r="N239" s="34">
        <v>24</v>
      </c>
      <c r="O239">
        <v>0.2</v>
      </c>
      <c r="P239">
        <v>360</v>
      </c>
      <c r="Q239" s="9">
        <v>720</v>
      </c>
    </row>
    <row r="240" spans="11:17" ht="18.75" hidden="1" customHeight="1">
      <c r="K240" s="7" t="s">
        <v>397</v>
      </c>
      <c r="L240" s="7" t="s">
        <v>536</v>
      </c>
      <c r="M240" s="7" t="s">
        <v>740</v>
      </c>
      <c r="N240" s="34">
        <v>24</v>
      </c>
      <c r="O240">
        <v>0.2</v>
      </c>
      <c r="P240">
        <v>360</v>
      </c>
      <c r="Q240" s="9">
        <v>720</v>
      </c>
    </row>
    <row r="241" spans="11:17" ht="18.75" hidden="1" customHeight="1">
      <c r="K241" s="7" t="s">
        <v>398</v>
      </c>
      <c r="L241" s="7" t="s">
        <v>536</v>
      </c>
      <c r="M241" s="7" t="s">
        <v>741</v>
      </c>
      <c r="N241" s="34">
        <v>24</v>
      </c>
      <c r="O241">
        <v>0.2</v>
      </c>
      <c r="P241">
        <v>360</v>
      </c>
      <c r="Q241" s="9">
        <v>720</v>
      </c>
    </row>
    <row r="242" spans="11:17" ht="18.75" hidden="1" customHeight="1">
      <c r="K242" s="7" t="s">
        <v>399</v>
      </c>
      <c r="L242" s="7" t="s">
        <v>536</v>
      </c>
      <c r="M242" s="7" t="s">
        <v>742</v>
      </c>
      <c r="N242" s="34">
        <v>24</v>
      </c>
      <c r="O242">
        <v>0.2</v>
      </c>
      <c r="P242">
        <v>360</v>
      </c>
      <c r="Q242" s="9">
        <v>720</v>
      </c>
    </row>
    <row r="243" spans="11:17" ht="18.75" hidden="1" customHeight="1">
      <c r="K243" s="7" t="s">
        <v>400</v>
      </c>
      <c r="L243" s="7" t="s">
        <v>536</v>
      </c>
      <c r="M243" s="7" t="s">
        <v>743</v>
      </c>
      <c r="N243" s="34">
        <v>24</v>
      </c>
      <c r="O243">
        <v>0.2</v>
      </c>
      <c r="P243">
        <v>360</v>
      </c>
      <c r="Q243" s="9">
        <v>720</v>
      </c>
    </row>
    <row r="244" spans="11:17" ht="18.75" hidden="1" customHeight="1">
      <c r="K244" s="7" t="s">
        <v>401</v>
      </c>
      <c r="L244" s="7" t="s">
        <v>536</v>
      </c>
      <c r="M244" s="7" t="s">
        <v>744</v>
      </c>
      <c r="N244" s="34">
        <v>24</v>
      </c>
      <c r="O244">
        <v>0.2</v>
      </c>
      <c r="P244">
        <v>360</v>
      </c>
      <c r="Q244" s="9">
        <v>720</v>
      </c>
    </row>
    <row r="245" spans="11:17" ht="18.75" hidden="1" customHeight="1">
      <c r="K245" s="7" t="s">
        <v>402</v>
      </c>
      <c r="L245" s="7" t="s">
        <v>536</v>
      </c>
      <c r="M245" s="7" t="s">
        <v>745</v>
      </c>
      <c r="N245" s="34">
        <v>24</v>
      </c>
      <c r="O245">
        <v>0.2</v>
      </c>
      <c r="P245">
        <v>360</v>
      </c>
      <c r="Q245" s="9">
        <v>720</v>
      </c>
    </row>
    <row r="246" spans="11:17" ht="18.75" hidden="1" customHeight="1">
      <c r="K246" s="7" t="s">
        <v>403</v>
      </c>
      <c r="L246" s="7" t="s">
        <v>536</v>
      </c>
      <c r="M246" s="7" t="s">
        <v>746</v>
      </c>
      <c r="N246" s="34">
        <v>24</v>
      </c>
      <c r="O246">
        <v>0.2</v>
      </c>
      <c r="P246">
        <v>360</v>
      </c>
      <c r="Q246" s="9">
        <v>720</v>
      </c>
    </row>
    <row r="247" spans="11:17" ht="18.75" hidden="1" customHeight="1">
      <c r="K247" s="7" t="s">
        <v>404</v>
      </c>
      <c r="L247" s="7" t="s">
        <v>536</v>
      </c>
      <c r="M247" s="7" t="s">
        <v>747</v>
      </c>
      <c r="N247" s="34">
        <v>24</v>
      </c>
      <c r="O247">
        <v>0.2</v>
      </c>
      <c r="P247">
        <v>360</v>
      </c>
      <c r="Q247" s="9">
        <v>720</v>
      </c>
    </row>
    <row r="248" spans="11:17" ht="18.75" hidden="1" customHeight="1">
      <c r="K248" s="7" t="s">
        <v>405</v>
      </c>
      <c r="L248" s="7" t="s">
        <v>536</v>
      </c>
      <c r="M248" s="7" t="s">
        <v>748</v>
      </c>
      <c r="N248" s="34">
        <v>24</v>
      </c>
      <c r="O248">
        <v>0.2</v>
      </c>
      <c r="P248">
        <v>360</v>
      </c>
      <c r="Q248" s="9">
        <v>720</v>
      </c>
    </row>
    <row r="249" spans="11:17" hidden="1">
      <c r="K249" s="7" t="s">
        <v>406</v>
      </c>
      <c r="L249" s="7" t="s">
        <v>536</v>
      </c>
      <c r="M249" s="7" t="s">
        <v>749</v>
      </c>
      <c r="N249" s="34">
        <v>24</v>
      </c>
      <c r="O249">
        <v>0.2</v>
      </c>
      <c r="P249">
        <v>360</v>
      </c>
      <c r="Q249" s="9">
        <v>720</v>
      </c>
    </row>
    <row r="250" spans="11:17" hidden="1">
      <c r="K250" s="7" t="s">
        <v>407</v>
      </c>
      <c r="L250" s="7" t="s">
        <v>536</v>
      </c>
      <c r="M250" s="7" t="s">
        <v>750</v>
      </c>
      <c r="N250" s="34">
        <v>24</v>
      </c>
      <c r="O250">
        <v>0.2</v>
      </c>
      <c r="P250">
        <v>360</v>
      </c>
      <c r="Q250" s="9">
        <v>720</v>
      </c>
    </row>
    <row r="251" spans="11:17" hidden="1">
      <c r="K251" s="7" t="s">
        <v>408</v>
      </c>
      <c r="L251" s="7" t="s">
        <v>536</v>
      </c>
      <c r="M251" s="7" t="s">
        <v>751</v>
      </c>
      <c r="N251" s="34">
        <v>24</v>
      </c>
      <c r="O251">
        <v>0.2</v>
      </c>
      <c r="P251">
        <v>360</v>
      </c>
      <c r="Q251" s="9">
        <v>720</v>
      </c>
    </row>
    <row r="252" spans="11:17" hidden="1">
      <c r="K252" s="7" t="s">
        <v>409</v>
      </c>
      <c r="L252" s="7" t="s">
        <v>536</v>
      </c>
      <c r="M252" s="7" t="s">
        <v>752</v>
      </c>
      <c r="N252" s="34">
        <v>24</v>
      </c>
      <c r="O252">
        <v>0.2</v>
      </c>
      <c r="P252">
        <v>360</v>
      </c>
      <c r="Q252" s="9">
        <v>720</v>
      </c>
    </row>
    <row r="253" spans="11:17" hidden="1">
      <c r="K253" s="7" t="s">
        <v>410</v>
      </c>
      <c r="L253" s="7" t="s">
        <v>536</v>
      </c>
      <c r="M253" s="7" t="s">
        <v>753</v>
      </c>
      <c r="N253" s="34">
        <v>24</v>
      </c>
      <c r="O253">
        <v>0.2</v>
      </c>
      <c r="P253">
        <v>360</v>
      </c>
      <c r="Q253" s="9">
        <v>720</v>
      </c>
    </row>
    <row r="254" spans="11:17" hidden="1">
      <c r="K254" s="7" t="s">
        <v>411</v>
      </c>
      <c r="L254" s="7" t="s">
        <v>536</v>
      </c>
      <c r="M254" s="7" t="s">
        <v>754</v>
      </c>
      <c r="N254" s="34">
        <v>24</v>
      </c>
      <c r="O254">
        <v>0.2</v>
      </c>
      <c r="P254">
        <v>360</v>
      </c>
      <c r="Q254" s="9">
        <v>720</v>
      </c>
    </row>
    <row r="255" spans="11:17" hidden="1">
      <c r="K255" s="7" t="s">
        <v>412</v>
      </c>
      <c r="L255" s="7" t="s">
        <v>536</v>
      </c>
      <c r="M255" s="7" t="s">
        <v>755</v>
      </c>
      <c r="N255" s="34">
        <v>24</v>
      </c>
      <c r="O255">
        <v>0.2</v>
      </c>
      <c r="P255">
        <v>360</v>
      </c>
      <c r="Q255" s="9">
        <v>720</v>
      </c>
    </row>
    <row r="256" spans="11:17" hidden="1">
      <c r="K256" s="7" t="s">
        <v>413</v>
      </c>
      <c r="L256" s="7" t="s">
        <v>536</v>
      </c>
      <c r="M256" s="7" t="s">
        <v>756</v>
      </c>
      <c r="N256" s="34">
        <v>24</v>
      </c>
      <c r="O256">
        <v>0.2</v>
      </c>
      <c r="P256">
        <v>360</v>
      </c>
      <c r="Q256" s="9">
        <v>720</v>
      </c>
    </row>
    <row r="257" spans="11:17" hidden="1">
      <c r="K257" s="7" t="s">
        <v>414</v>
      </c>
      <c r="L257" s="7" t="s">
        <v>536</v>
      </c>
      <c r="M257" s="7" t="s">
        <v>757</v>
      </c>
      <c r="N257" s="34">
        <v>24</v>
      </c>
      <c r="O257">
        <v>0.2</v>
      </c>
      <c r="P257">
        <v>360</v>
      </c>
      <c r="Q257" s="9">
        <v>720</v>
      </c>
    </row>
    <row r="258" spans="11:17" hidden="1">
      <c r="K258" s="7" t="s">
        <v>415</v>
      </c>
      <c r="L258" s="7" t="s">
        <v>536</v>
      </c>
      <c r="M258" s="7" t="s">
        <v>758</v>
      </c>
      <c r="N258" s="34">
        <v>24</v>
      </c>
      <c r="O258">
        <v>0.2</v>
      </c>
      <c r="P258">
        <v>360</v>
      </c>
      <c r="Q258" s="9">
        <v>720</v>
      </c>
    </row>
    <row r="259" spans="11:17" hidden="1">
      <c r="K259" s="7" t="s">
        <v>416</v>
      </c>
      <c r="L259" s="7" t="s">
        <v>536</v>
      </c>
      <c r="M259" s="7" t="s">
        <v>759</v>
      </c>
      <c r="N259" s="34">
        <v>24</v>
      </c>
      <c r="O259">
        <v>0.2</v>
      </c>
      <c r="P259">
        <v>360</v>
      </c>
      <c r="Q259" s="9">
        <v>720</v>
      </c>
    </row>
    <row r="260" spans="11:17" hidden="1">
      <c r="K260" s="7" t="s">
        <v>417</v>
      </c>
      <c r="L260" s="7" t="s">
        <v>536</v>
      </c>
      <c r="M260" s="7" t="s">
        <v>760</v>
      </c>
      <c r="N260" s="34">
        <v>24</v>
      </c>
      <c r="O260">
        <v>0.2</v>
      </c>
      <c r="P260">
        <v>360</v>
      </c>
      <c r="Q260" s="9">
        <v>720</v>
      </c>
    </row>
    <row r="261" spans="11:17" hidden="1">
      <c r="K261" s="7" t="s">
        <v>418</v>
      </c>
      <c r="L261" s="7" t="s">
        <v>536</v>
      </c>
      <c r="M261" s="7" t="s">
        <v>761</v>
      </c>
      <c r="N261" s="34">
        <v>24</v>
      </c>
      <c r="O261">
        <v>0.2</v>
      </c>
      <c r="P261">
        <v>360</v>
      </c>
      <c r="Q261" s="9">
        <v>720</v>
      </c>
    </row>
    <row r="262" spans="11:17" hidden="1">
      <c r="K262" s="7" t="s">
        <v>419</v>
      </c>
      <c r="L262" s="7" t="s">
        <v>536</v>
      </c>
      <c r="M262" s="7" t="s">
        <v>762</v>
      </c>
      <c r="N262" s="34">
        <v>24</v>
      </c>
      <c r="O262">
        <v>0.2</v>
      </c>
      <c r="P262">
        <v>360</v>
      </c>
      <c r="Q262" s="9">
        <v>720</v>
      </c>
    </row>
    <row r="263" spans="11:17" ht="18.75" hidden="1" customHeight="1">
      <c r="K263" s="7" t="s">
        <v>420</v>
      </c>
      <c r="L263" s="7" t="s">
        <v>537</v>
      </c>
      <c r="M263" s="7" t="s">
        <v>627</v>
      </c>
      <c r="N263" s="34">
        <v>24</v>
      </c>
      <c r="O263">
        <v>0.2</v>
      </c>
      <c r="P263">
        <v>360</v>
      </c>
      <c r="Q263" s="9">
        <v>720</v>
      </c>
    </row>
    <row r="264" spans="11:17" hidden="1">
      <c r="K264" s="7" t="s">
        <v>421</v>
      </c>
      <c r="L264" s="7" t="s">
        <v>537</v>
      </c>
      <c r="M264" s="7" t="s">
        <v>763</v>
      </c>
      <c r="N264" s="34">
        <v>24</v>
      </c>
      <c r="O264">
        <v>0.2</v>
      </c>
      <c r="P264">
        <v>360</v>
      </c>
      <c r="Q264" s="9">
        <v>720</v>
      </c>
    </row>
    <row r="265" spans="11:17" ht="18.75" hidden="1" customHeight="1">
      <c r="K265" s="7" t="s">
        <v>422</v>
      </c>
      <c r="L265" s="7" t="s">
        <v>537</v>
      </c>
      <c r="M265" s="7" t="s">
        <v>764</v>
      </c>
      <c r="N265" s="34">
        <v>24</v>
      </c>
      <c r="O265">
        <v>0.2</v>
      </c>
      <c r="P265">
        <v>360</v>
      </c>
      <c r="Q265" s="9">
        <v>720</v>
      </c>
    </row>
    <row r="266" spans="11:17" hidden="1">
      <c r="K266" s="7" t="s">
        <v>423</v>
      </c>
      <c r="L266" s="7" t="s">
        <v>537</v>
      </c>
      <c r="M266" s="7" t="s">
        <v>765</v>
      </c>
      <c r="N266" s="34">
        <v>24</v>
      </c>
      <c r="O266">
        <v>0.2</v>
      </c>
      <c r="P266">
        <v>360</v>
      </c>
      <c r="Q266" s="9">
        <v>720</v>
      </c>
    </row>
    <row r="267" spans="11:17" ht="18.75" hidden="1" customHeight="1">
      <c r="K267" s="7" t="s">
        <v>424</v>
      </c>
      <c r="L267" s="7" t="s">
        <v>537</v>
      </c>
      <c r="M267" s="7" t="s">
        <v>747</v>
      </c>
      <c r="N267" s="34">
        <v>24</v>
      </c>
      <c r="O267">
        <v>0.2</v>
      </c>
      <c r="P267">
        <v>360</v>
      </c>
      <c r="Q267" s="9">
        <v>720</v>
      </c>
    </row>
    <row r="268" spans="11:17" ht="18.75" hidden="1" customHeight="1">
      <c r="K268" s="7" t="s">
        <v>425</v>
      </c>
      <c r="L268" s="7" t="s">
        <v>537</v>
      </c>
      <c r="M268" s="7" t="s">
        <v>762</v>
      </c>
      <c r="N268" s="34">
        <v>24</v>
      </c>
      <c r="O268">
        <v>0.2</v>
      </c>
      <c r="P268">
        <v>360</v>
      </c>
      <c r="Q268" s="9">
        <v>720</v>
      </c>
    </row>
    <row r="269" spans="11:17" ht="18.75" hidden="1" customHeight="1">
      <c r="K269" s="7" t="s">
        <v>426</v>
      </c>
      <c r="L269" s="7" t="s">
        <v>538</v>
      </c>
      <c r="M269" s="7" t="s">
        <v>766</v>
      </c>
      <c r="N269" s="34">
        <v>24</v>
      </c>
      <c r="O269">
        <v>0.2</v>
      </c>
      <c r="P269">
        <v>360</v>
      </c>
      <c r="Q269" s="9">
        <v>720</v>
      </c>
    </row>
    <row r="270" spans="11:17" ht="18.75" hidden="1" customHeight="1">
      <c r="K270" s="7" t="s">
        <v>427</v>
      </c>
      <c r="L270" s="7" t="s">
        <v>538</v>
      </c>
      <c r="M270" s="7" t="s">
        <v>767</v>
      </c>
      <c r="N270" s="34">
        <v>24</v>
      </c>
      <c r="O270">
        <v>0.2</v>
      </c>
      <c r="P270">
        <v>360</v>
      </c>
      <c r="Q270" s="9">
        <v>720</v>
      </c>
    </row>
    <row r="271" spans="11:17" ht="18.75" hidden="1" customHeight="1">
      <c r="K271" s="7" t="s">
        <v>428</v>
      </c>
      <c r="L271" s="7" t="s">
        <v>538</v>
      </c>
      <c r="M271" s="7" t="s">
        <v>768</v>
      </c>
      <c r="N271" s="34">
        <v>24</v>
      </c>
      <c r="O271">
        <v>0.2</v>
      </c>
      <c r="P271">
        <v>360</v>
      </c>
      <c r="Q271" s="9">
        <v>720</v>
      </c>
    </row>
    <row r="272" spans="11:17" hidden="1">
      <c r="K272" s="7" t="s">
        <v>429</v>
      </c>
      <c r="L272" s="7" t="s">
        <v>538</v>
      </c>
      <c r="M272" s="7" t="s">
        <v>769</v>
      </c>
      <c r="N272" s="34">
        <v>24</v>
      </c>
      <c r="O272">
        <v>0.2</v>
      </c>
      <c r="P272">
        <v>360</v>
      </c>
      <c r="Q272" s="9">
        <v>720</v>
      </c>
    </row>
    <row r="273" spans="11:17" ht="18.75" hidden="1" customHeight="1">
      <c r="K273" s="7" t="s">
        <v>430</v>
      </c>
      <c r="L273" s="7" t="s">
        <v>538</v>
      </c>
      <c r="M273" s="7" t="s">
        <v>770</v>
      </c>
      <c r="N273" s="34">
        <v>24</v>
      </c>
      <c r="O273">
        <v>0.2</v>
      </c>
      <c r="P273">
        <v>360</v>
      </c>
      <c r="Q273" s="9">
        <v>720</v>
      </c>
    </row>
    <row r="274" spans="11:17" ht="18.75" hidden="1" customHeight="1">
      <c r="K274" s="7" t="s">
        <v>431</v>
      </c>
      <c r="L274" s="7" t="s">
        <v>539</v>
      </c>
      <c r="M274" s="7" t="s">
        <v>771</v>
      </c>
      <c r="N274" s="34">
        <v>24</v>
      </c>
      <c r="O274">
        <v>0.2</v>
      </c>
      <c r="P274">
        <v>360</v>
      </c>
      <c r="Q274" s="9">
        <v>720</v>
      </c>
    </row>
    <row r="275" spans="11:17" ht="18.75" hidden="1" customHeight="1">
      <c r="K275" s="7" t="s">
        <v>432</v>
      </c>
      <c r="L275" s="7" t="s">
        <v>539</v>
      </c>
      <c r="M275" s="7" t="s">
        <v>772</v>
      </c>
      <c r="N275" s="34">
        <v>24</v>
      </c>
      <c r="O275">
        <v>0.2</v>
      </c>
      <c r="P275">
        <v>360</v>
      </c>
      <c r="Q275" s="9">
        <v>720</v>
      </c>
    </row>
    <row r="276" spans="11:17" hidden="1">
      <c r="K276" s="7" t="s">
        <v>226</v>
      </c>
      <c r="L276" s="7" t="s">
        <v>539</v>
      </c>
      <c r="M276" s="7" t="s">
        <v>773</v>
      </c>
      <c r="N276" s="34">
        <v>24</v>
      </c>
      <c r="O276">
        <v>0.2</v>
      </c>
      <c r="P276">
        <v>360</v>
      </c>
      <c r="Q276" s="9">
        <v>720</v>
      </c>
    </row>
    <row r="277" spans="11:17" ht="18.75" hidden="1" customHeight="1">
      <c r="K277" s="7" t="s">
        <v>433</v>
      </c>
      <c r="L277" s="7" t="s">
        <v>539</v>
      </c>
      <c r="M277" s="7" t="s">
        <v>770</v>
      </c>
      <c r="N277" s="34">
        <v>24</v>
      </c>
      <c r="O277">
        <v>0.2</v>
      </c>
      <c r="P277">
        <v>360</v>
      </c>
      <c r="Q277" s="9">
        <v>720</v>
      </c>
    </row>
    <row r="278" spans="11:17" ht="18.75" hidden="1" customHeight="1">
      <c r="K278" s="7" t="s">
        <v>434</v>
      </c>
      <c r="L278" s="7" t="s">
        <v>540</v>
      </c>
      <c r="M278" s="7" t="s">
        <v>766</v>
      </c>
      <c r="N278" s="34">
        <v>24</v>
      </c>
      <c r="O278">
        <v>0.2</v>
      </c>
      <c r="P278">
        <v>360</v>
      </c>
      <c r="Q278" s="9">
        <v>720</v>
      </c>
    </row>
    <row r="279" spans="11:17" ht="18.75" hidden="1" customHeight="1">
      <c r="K279" s="7" t="s">
        <v>435</v>
      </c>
      <c r="L279" s="7" t="s">
        <v>540</v>
      </c>
      <c r="M279" s="7" t="s">
        <v>774</v>
      </c>
      <c r="N279" s="34">
        <v>24</v>
      </c>
      <c r="O279">
        <v>0.2</v>
      </c>
      <c r="P279">
        <v>360</v>
      </c>
      <c r="Q279" s="9">
        <v>720</v>
      </c>
    </row>
    <row r="280" spans="11:17" hidden="1">
      <c r="K280" s="7" t="s">
        <v>436</v>
      </c>
      <c r="L280" s="7" t="s">
        <v>540</v>
      </c>
      <c r="M280" s="7" t="s">
        <v>618</v>
      </c>
      <c r="N280" s="34">
        <v>24</v>
      </c>
      <c r="O280">
        <v>0.2</v>
      </c>
      <c r="P280">
        <v>360</v>
      </c>
      <c r="Q280" s="9">
        <v>720</v>
      </c>
    </row>
    <row r="281" spans="11:17" ht="18.75" hidden="1" customHeight="1">
      <c r="K281" s="7" t="s">
        <v>437</v>
      </c>
      <c r="L281" s="7" t="s">
        <v>540</v>
      </c>
      <c r="M281" s="7" t="s">
        <v>762</v>
      </c>
      <c r="N281" s="34">
        <v>24</v>
      </c>
      <c r="O281">
        <v>0.2</v>
      </c>
      <c r="P281">
        <v>360</v>
      </c>
      <c r="Q281" s="9">
        <v>720</v>
      </c>
    </row>
    <row r="282" spans="11:17" ht="18.75" hidden="1" customHeight="1">
      <c r="K282" s="7" t="s">
        <v>438</v>
      </c>
      <c r="L282" s="7" t="s">
        <v>541</v>
      </c>
      <c r="M282" s="7" t="s">
        <v>775</v>
      </c>
      <c r="N282" s="34">
        <v>24</v>
      </c>
      <c r="O282">
        <v>0.2</v>
      </c>
      <c r="P282">
        <v>360</v>
      </c>
      <c r="Q282" s="9">
        <v>720</v>
      </c>
    </row>
    <row r="283" spans="11:17" ht="18.75" hidden="1" customHeight="1">
      <c r="K283" s="7" t="s">
        <v>439</v>
      </c>
      <c r="L283" s="7" t="s">
        <v>541</v>
      </c>
      <c r="M283" s="7" t="s">
        <v>776</v>
      </c>
      <c r="N283" s="34">
        <v>24</v>
      </c>
      <c r="O283">
        <v>0.2</v>
      </c>
      <c r="P283">
        <v>360</v>
      </c>
      <c r="Q283" s="9">
        <v>720</v>
      </c>
    </row>
    <row r="284" spans="11:17" ht="18.75" hidden="1" customHeight="1">
      <c r="K284" s="7" t="s">
        <v>440</v>
      </c>
      <c r="L284" s="7" t="s">
        <v>541</v>
      </c>
      <c r="M284" s="7" t="s">
        <v>777</v>
      </c>
      <c r="N284" s="34">
        <v>24</v>
      </c>
      <c r="O284">
        <v>0.2</v>
      </c>
      <c r="P284">
        <v>360</v>
      </c>
      <c r="Q284" s="9">
        <v>720</v>
      </c>
    </row>
    <row r="285" spans="11:17" ht="18.75" hidden="1" customHeight="1">
      <c r="K285" s="7" t="s">
        <v>441</v>
      </c>
      <c r="L285" s="7" t="s">
        <v>541</v>
      </c>
      <c r="M285" s="7" t="s">
        <v>778</v>
      </c>
      <c r="N285" s="34">
        <v>24</v>
      </c>
      <c r="O285">
        <v>0.2</v>
      </c>
      <c r="P285">
        <v>360</v>
      </c>
      <c r="Q285" s="9">
        <v>720</v>
      </c>
    </row>
    <row r="286" spans="11:17" ht="18.75" hidden="1" customHeight="1">
      <c r="K286" s="7" t="s">
        <v>442</v>
      </c>
      <c r="L286" s="7" t="s">
        <v>541</v>
      </c>
      <c r="M286" s="7" t="s">
        <v>779</v>
      </c>
      <c r="N286" s="34">
        <v>24</v>
      </c>
      <c r="O286">
        <v>0.2</v>
      </c>
      <c r="P286">
        <v>360</v>
      </c>
      <c r="Q286" s="9">
        <v>720</v>
      </c>
    </row>
    <row r="287" spans="11:17" ht="18.75" hidden="1" customHeight="1">
      <c r="K287" s="7" t="s">
        <v>443</v>
      </c>
      <c r="L287" s="7" t="s">
        <v>541</v>
      </c>
      <c r="M287" s="7" t="s">
        <v>780</v>
      </c>
      <c r="N287" s="34">
        <v>24</v>
      </c>
      <c r="O287">
        <v>0.2</v>
      </c>
      <c r="P287">
        <v>360</v>
      </c>
      <c r="Q287" s="9">
        <v>720</v>
      </c>
    </row>
    <row r="288" spans="11:17" ht="18.75" hidden="1" customHeight="1">
      <c r="K288" s="7" t="s">
        <v>444</v>
      </c>
      <c r="L288" s="7" t="s">
        <v>541</v>
      </c>
      <c r="M288" s="7" t="s">
        <v>781</v>
      </c>
      <c r="N288" s="34">
        <v>24</v>
      </c>
      <c r="O288">
        <v>0.2</v>
      </c>
      <c r="P288">
        <v>360</v>
      </c>
      <c r="Q288" s="9">
        <v>720</v>
      </c>
    </row>
    <row r="289" spans="11:17" ht="18.75" hidden="1" customHeight="1">
      <c r="K289" s="7" t="s">
        <v>445</v>
      </c>
      <c r="L289" s="7" t="s">
        <v>541</v>
      </c>
      <c r="M289" s="7" t="s">
        <v>782</v>
      </c>
      <c r="N289" s="34">
        <v>24</v>
      </c>
      <c r="O289">
        <v>0.2</v>
      </c>
      <c r="P289">
        <v>360</v>
      </c>
      <c r="Q289" s="9">
        <v>720</v>
      </c>
    </row>
    <row r="290" spans="11:17" ht="18.75" hidden="1" customHeight="1">
      <c r="K290" s="7" t="s">
        <v>446</v>
      </c>
      <c r="L290" s="7" t="s">
        <v>541</v>
      </c>
      <c r="M290" s="7" t="s">
        <v>783</v>
      </c>
      <c r="N290" s="34">
        <v>24</v>
      </c>
      <c r="O290">
        <v>0.2</v>
      </c>
      <c r="P290">
        <v>360</v>
      </c>
      <c r="Q290" s="9">
        <v>720</v>
      </c>
    </row>
    <row r="291" spans="11:17" ht="18.75" hidden="1" customHeight="1">
      <c r="K291" s="7" t="s">
        <v>447</v>
      </c>
      <c r="L291" s="7" t="s">
        <v>541</v>
      </c>
      <c r="M291" s="7" t="s">
        <v>784</v>
      </c>
      <c r="N291" s="34">
        <v>24</v>
      </c>
      <c r="O291">
        <v>0.2</v>
      </c>
      <c r="P291">
        <v>360</v>
      </c>
      <c r="Q291" s="9">
        <v>720</v>
      </c>
    </row>
    <row r="292" spans="11:17" ht="18.75" hidden="1" customHeight="1">
      <c r="K292" s="7" t="s">
        <v>448</v>
      </c>
      <c r="L292" s="7" t="s">
        <v>541</v>
      </c>
      <c r="M292" s="7" t="s">
        <v>785</v>
      </c>
      <c r="N292" s="34">
        <v>24</v>
      </c>
      <c r="O292">
        <v>0.2</v>
      </c>
      <c r="P292">
        <v>360</v>
      </c>
      <c r="Q292" s="9">
        <v>720</v>
      </c>
    </row>
    <row r="293" spans="11:17" ht="18.75" hidden="1" customHeight="1">
      <c r="K293" s="7" t="s">
        <v>449</v>
      </c>
      <c r="L293" s="7" t="s">
        <v>541</v>
      </c>
      <c r="M293" s="7" t="s">
        <v>786</v>
      </c>
      <c r="N293" s="34">
        <v>24</v>
      </c>
      <c r="O293">
        <v>0.2</v>
      </c>
      <c r="P293">
        <v>360</v>
      </c>
      <c r="Q293" s="9">
        <v>720</v>
      </c>
    </row>
    <row r="294" spans="11:17" ht="18.75" hidden="1" customHeight="1">
      <c r="K294" s="7" t="s">
        <v>450</v>
      </c>
      <c r="L294" s="7" t="s">
        <v>541</v>
      </c>
      <c r="M294" s="7" t="s">
        <v>787</v>
      </c>
      <c r="N294" s="34">
        <v>24</v>
      </c>
      <c r="O294">
        <v>0.2</v>
      </c>
      <c r="P294">
        <v>360</v>
      </c>
      <c r="Q294" s="9">
        <v>720</v>
      </c>
    </row>
    <row r="295" spans="11:17" ht="18.75" hidden="1" customHeight="1">
      <c r="K295" s="7" t="s">
        <v>451</v>
      </c>
      <c r="L295" s="7" t="s">
        <v>541</v>
      </c>
      <c r="M295" s="7" t="s">
        <v>788</v>
      </c>
      <c r="N295" s="34">
        <v>24</v>
      </c>
      <c r="O295">
        <v>0.2</v>
      </c>
      <c r="P295">
        <v>360</v>
      </c>
      <c r="Q295" s="9">
        <v>720</v>
      </c>
    </row>
    <row r="296" spans="11:17" hidden="1">
      <c r="K296" s="7" t="s">
        <v>452</v>
      </c>
      <c r="L296" s="7" t="s">
        <v>541</v>
      </c>
      <c r="M296" s="7" t="s">
        <v>789</v>
      </c>
      <c r="N296" s="34">
        <v>24</v>
      </c>
      <c r="O296">
        <v>0.2</v>
      </c>
      <c r="P296">
        <v>360</v>
      </c>
      <c r="Q296" s="9">
        <v>720</v>
      </c>
    </row>
    <row r="297" spans="11:17" hidden="1">
      <c r="K297" s="7" t="s">
        <v>453</v>
      </c>
      <c r="L297" s="7" t="s">
        <v>541</v>
      </c>
      <c r="M297" s="7" t="s">
        <v>790</v>
      </c>
      <c r="N297" s="34">
        <v>24</v>
      </c>
      <c r="O297">
        <v>0.2</v>
      </c>
      <c r="P297">
        <v>360</v>
      </c>
      <c r="Q297" s="9">
        <v>720</v>
      </c>
    </row>
    <row r="298" spans="11:17" hidden="1">
      <c r="K298" s="7" t="s">
        <v>454</v>
      </c>
      <c r="L298" s="7" t="s">
        <v>541</v>
      </c>
      <c r="M298" s="7" t="s">
        <v>791</v>
      </c>
      <c r="N298" s="34">
        <v>24</v>
      </c>
      <c r="O298">
        <v>0.2</v>
      </c>
      <c r="P298">
        <v>360</v>
      </c>
      <c r="Q298" s="9">
        <v>720</v>
      </c>
    </row>
    <row r="299" spans="11:17" hidden="1">
      <c r="K299" s="7" t="s">
        <v>455</v>
      </c>
      <c r="L299" s="7" t="s">
        <v>541</v>
      </c>
      <c r="M299" s="7" t="s">
        <v>792</v>
      </c>
      <c r="N299" s="34">
        <v>24</v>
      </c>
      <c r="O299">
        <v>0.2</v>
      </c>
      <c r="P299">
        <v>360</v>
      </c>
      <c r="Q299" s="9">
        <v>720</v>
      </c>
    </row>
    <row r="300" spans="11:17" hidden="1">
      <c r="K300" s="7" t="s">
        <v>456</v>
      </c>
      <c r="L300" s="7" t="s">
        <v>541</v>
      </c>
      <c r="M300" s="7" t="s">
        <v>793</v>
      </c>
      <c r="N300" s="34">
        <v>24</v>
      </c>
      <c r="O300">
        <v>0.2</v>
      </c>
      <c r="P300">
        <v>360</v>
      </c>
      <c r="Q300" s="9">
        <v>720</v>
      </c>
    </row>
    <row r="301" spans="11:17" ht="18.75" hidden="1" customHeight="1">
      <c r="K301" s="7" t="s">
        <v>457</v>
      </c>
      <c r="L301" s="7" t="s">
        <v>541</v>
      </c>
      <c r="M301" s="7" t="s">
        <v>794</v>
      </c>
      <c r="N301" s="34">
        <v>24</v>
      </c>
      <c r="O301">
        <v>0.2</v>
      </c>
      <c r="P301">
        <v>360</v>
      </c>
      <c r="Q301" s="9">
        <v>720</v>
      </c>
    </row>
    <row r="302" spans="11:17" ht="18.75" hidden="1" customHeight="1">
      <c r="K302" s="7" t="s">
        <v>458</v>
      </c>
      <c r="L302" s="7" t="s">
        <v>541</v>
      </c>
      <c r="M302" s="7" t="s">
        <v>795</v>
      </c>
      <c r="N302" s="34">
        <v>24</v>
      </c>
      <c r="O302">
        <v>0.2</v>
      </c>
      <c r="P302">
        <v>360</v>
      </c>
      <c r="Q302" s="9">
        <v>720</v>
      </c>
    </row>
    <row r="303" spans="11:17" ht="18.75" hidden="1" customHeight="1">
      <c r="K303" s="7" t="s">
        <v>459</v>
      </c>
      <c r="L303" s="7" t="s">
        <v>541</v>
      </c>
      <c r="M303" s="7" t="s">
        <v>796</v>
      </c>
      <c r="N303" s="34">
        <v>24</v>
      </c>
      <c r="O303">
        <v>0.2</v>
      </c>
      <c r="P303">
        <v>360</v>
      </c>
      <c r="Q303" s="9">
        <v>720</v>
      </c>
    </row>
    <row r="304" spans="11:17" ht="18.75" hidden="1" customHeight="1">
      <c r="K304" s="7" t="s">
        <v>460</v>
      </c>
      <c r="L304" s="7" t="s">
        <v>541</v>
      </c>
      <c r="M304" s="7" t="s">
        <v>797</v>
      </c>
      <c r="N304" s="34">
        <v>24</v>
      </c>
      <c r="O304">
        <v>0.2</v>
      </c>
      <c r="P304">
        <v>360</v>
      </c>
      <c r="Q304" s="9">
        <v>720</v>
      </c>
    </row>
    <row r="305" spans="11:17" ht="18.75" hidden="1" customHeight="1">
      <c r="K305" s="7" t="s">
        <v>460</v>
      </c>
      <c r="L305" s="7" t="s">
        <v>541</v>
      </c>
      <c r="M305" s="7" t="s">
        <v>798</v>
      </c>
      <c r="N305" s="34">
        <v>24</v>
      </c>
      <c r="O305">
        <v>0.2</v>
      </c>
      <c r="P305">
        <v>360</v>
      </c>
      <c r="Q305" s="9">
        <v>720</v>
      </c>
    </row>
    <row r="306" spans="11:17" ht="18.75" hidden="1" customHeight="1">
      <c r="K306" s="7" t="s">
        <v>461</v>
      </c>
      <c r="L306" s="7" t="s">
        <v>541</v>
      </c>
      <c r="M306" s="7" t="s">
        <v>799</v>
      </c>
      <c r="N306" s="34">
        <v>24</v>
      </c>
      <c r="O306">
        <v>0.2</v>
      </c>
      <c r="P306">
        <v>360</v>
      </c>
      <c r="Q306" s="9">
        <v>720</v>
      </c>
    </row>
    <row r="307" spans="11:17" ht="18.75" hidden="1" customHeight="1">
      <c r="K307" s="7" t="s">
        <v>462</v>
      </c>
      <c r="L307" s="7" t="s">
        <v>541</v>
      </c>
      <c r="M307" s="7" t="s">
        <v>800</v>
      </c>
      <c r="N307" s="34">
        <v>24</v>
      </c>
      <c r="O307">
        <v>0.2</v>
      </c>
      <c r="P307">
        <v>360</v>
      </c>
      <c r="Q307" s="9">
        <v>720</v>
      </c>
    </row>
    <row r="308" spans="11:17" ht="18.75" hidden="1" customHeight="1">
      <c r="K308" s="7" t="s">
        <v>463</v>
      </c>
      <c r="L308" s="7" t="s">
        <v>541</v>
      </c>
      <c r="M308" s="7" t="s">
        <v>801</v>
      </c>
      <c r="N308" s="34">
        <v>24</v>
      </c>
      <c r="O308">
        <v>0.2</v>
      </c>
      <c r="P308">
        <v>360</v>
      </c>
      <c r="Q308" s="9">
        <v>720</v>
      </c>
    </row>
    <row r="309" spans="11:17" ht="18.75" hidden="1" customHeight="1">
      <c r="K309" s="7" t="s">
        <v>464</v>
      </c>
      <c r="L309" s="7" t="s">
        <v>542</v>
      </c>
      <c r="M309" s="7" t="s">
        <v>802</v>
      </c>
      <c r="N309" s="34">
        <v>24</v>
      </c>
      <c r="O309">
        <v>0.2</v>
      </c>
      <c r="P309">
        <v>360</v>
      </c>
      <c r="Q309" s="9">
        <v>720</v>
      </c>
    </row>
    <row r="310" spans="11:17" ht="18.75" hidden="1" customHeight="1">
      <c r="K310" s="7" t="s">
        <v>465</v>
      </c>
      <c r="L310" s="7" t="s">
        <v>542</v>
      </c>
      <c r="M310" s="7" t="s">
        <v>803</v>
      </c>
      <c r="N310" s="34">
        <v>24</v>
      </c>
      <c r="O310">
        <v>0.2</v>
      </c>
      <c r="P310">
        <v>360</v>
      </c>
      <c r="Q310" s="9">
        <v>720</v>
      </c>
    </row>
    <row r="311" spans="11:17" ht="18.75" hidden="1" customHeight="1">
      <c r="K311" s="7" t="s">
        <v>466</v>
      </c>
      <c r="L311" s="7" t="s">
        <v>542</v>
      </c>
      <c r="M311" s="7" t="s">
        <v>804</v>
      </c>
      <c r="N311" s="34">
        <v>24</v>
      </c>
      <c r="O311">
        <v>0.2</v>
      </c>
      <c r="P311">
        <v>360</v>
      </c>
      <c r="Q311" s="9">
        <v>720</v>
      </c>
    </row>
    <row r="312" spans="11:17" ht="18.75" hidden="1" customHeight="1">
      <c r="K312" s="7" t="s">
        <v>467</v>
      </c>
      <c r="L312" s="7" t="s">
        <v>542</v>
      </c>
      <c r="M312" s="7" t="s">
        <v>805</v>
      </c>
      <c r="N312" s="34">
        <v>24</v>
      </c>
      <c r="O312">
        <v>0.2</v>
      </c>
      <c r="P312">
        <v>360</v>
      </c>
      <c r="Q312" s="9">
        <v>720</v>
      </c>
    </row>
    <row r="313" spans="11:17" ht="18.75" hidden="1" customHeight="1">
      <c r="K313" s="7" t="s">
        <v>468</v>
      </c>
      <c r="L313" s="7" t="s">
        <v>543</v>
      </c>
      <c r="M313" s="7" t="s">
        <v>806</v>
      </c>
      <c r="N313" s="34">
        <v>24</v>
      </c>
      <c r="O313">
        <v>0.2</v>
      </c>
      <c r="P313">
        <v>360</v>
      </c>
      <c r="Q313" s="9">
        <v>720</v>
      </c>
    </row>
    <row r="314" spans="11:17" ht="18.75" hidden="1" customHeight="1">
      <c r="K314" s="7" t="s">
        <v>469</v>
      </c>
      <c r="L314" s="7" t="s">
        <v>543</v>
      </c>
      <c r="M314" s="7" t="s">
        <v>807</v>
      </c>
      <c r="N314" s="34">
        <v>24</v>
      </c>
      <c r="O314">
        <v>0.2</v>
      </c>
      <c r="P314">
        <v>360</v>
      </c>
      <c r="Q314" s="9">
        <v>720</v>
      </c>
    </row>
    <row r="315" spans="11:17" ht="18.75" hidden="1" customHeight="1">
      <c r="K315" s="7" t="s">
        <v>470</v>
      </c>
      <c r="L315" s="7" t="s">
        <v>543</v>
      </c>
      <c r="M315" s="7" t="s">
        <v>808</v>
      </c>
      <c r="N315" s="34">
        <v>24</v>
      </c>
      <c r="O315">
        <v>0.2</v>
      </c>
      <c r="P315">
        <v>360</v>
      </c>
      <c r="Q315" s="9">
        <v>720</v>
      </c>
    </row>
    <row r="316" spans="11:17" ht="37.5" hidden="1" customHeight="1">
      <c r="K316" s="7" t="s">
        <v>471</v>
      </c>
      <c r="L316" s="7" t="s">
        <v>544</v>
      </c>
      <c r="M316" s="7" t="s">
        <v>809</v>
      </c>
      <c r="N316" s="34">
        <v>24</v>
      </c>
      <c r="O316">
        <v>0.2</v>
      </c>
      <c r="P316">
        <v>360</v>
      </c>
      <c r="Q316" s="9">
        <v>720</v>
      </c>
    </row>
    <row r="317" spans="11:17" ht="37.5" hidden="1" customHeight="1">
      <c r="K317" s="7" t="s">
        <v>472</v>
      </c>
      <c r="L317" s="7" t="s">
        <v>544</v>
      </c>
      <c r="M317" s="7" t="s">
        <v>810</v>
      </c>
      <c r="N317" s="34">
        <v>24</v>
      </c>
      <c r="O317">
        <v>0.2</v>
      </c>
      <c r="P317">
        <v>360</v>
      </c>
      <c r="Q317" s="9">
        <v>720</v>
      </c>
    </row>
    <row r="318" spans="11:17" ht="18.75" hidden="1" customHeight="1">
      <c r="K318" s="7" t="s">
        <v>473</v>
      </c>
      <c r="L318" s="7" t="s">
        <v>544</v>
      </c>
      <c r="M318" s="7" t="s">
        <v>811</v>
      </c>
      <c r="N318" s="34">
        <v>24</v>
      </c>
      <c r="O318">
        <v>0.2</v>
      </c>
      <c r="P318">
        <v>360</v>
      </c>
      <c r="Q318" s="9">
        <v>720</v>
      </c>
    </row>
    <row r="319" spans="11:17" ht="18.75" hidden="1" customHeight="1">
      <c r="K319" s="7" t="s">
        <v>474</v>
      </c>
      <c r="L319" s="7" t="s">
        <v>545</v>
      </c>
      <c r="M319" s="7" t="s">
        <v>837</v>
      </c>
      <c r="N319" s="34">
        <v>24</v>
      </c>
      <c r="O319">
        <v>0.2</v>
      </c>
      <c r="P319">
        <v>360</v>
      </c>
      <c r="Q319" s="9">
        <v>720</v>
      </c>
    </row>
    <row r="320" spans="11:17" ht="18.75" hidden="1" customHeight="1">
      <c r="K320" s="7" t="s">
        <v>475</v>
      </c>
      <c r="L320" s="7" t="s">
        <v>545</v>
      </c>
      <c r="M320" s="7" t="s">
        <v>838</v>
      </c>
      <c r="N320" s="34">
        <v>24</v>
      </c>
      <c r="O320">
        <v>0.2</v>
      </c>
      <c r="P320">
        <v>360</v>
      </c>
      <c r="Q320" s="9">
        <v>720</v>
      </c>
    </row>
    <row r="321" spans="11:17" ht="18.75" hidden="1" customHeight="1">
      <c r="K321" s="7" t="s">
        <v>476</v>
      </c>
      <c r="L321" s="7" t="s">
        <v>545</v>
      </c>
      <c r="M321" s="7" t="s">
        <v>839</v>
      </c>
      <c r="N321" s="34">
        <v>24</v>
      </c>
      <c r="O321">
        <v>0.2</v>
      </c>
      <c r="P321">
        <v>360</v>
      </c>
      <c r="Q321" s="9">
        <v>720</v>
      </c>
    </row>
    <row r="322" spans="11:17" ht="18.75" hidden="1" customHeight="1">
      <c r="K322" s="7" t="s">
        <v>477</v>
      </c>
      <c r="L322" s="7" t="s">
        <v>545</v>
      </c>
      <c r="M322" s="7" t="s">
        <v>840</v>
      </c>
      <c r="N322" s="34">
        <v>24</v>
      </c>
      <c r="O322">
        <v>0.2</v>
      </c>
      <c r="P322">
        <v>360</v>
      </c>
      <c r="Q322" s="9">
        <v>720</v>
      </c>
    </row>
    <row r="323" spans="11:17" ht="18.75" hidden="1" customHeight="1">
      <c r="K323" s="7" t="s">
        <v>478</v>
      </c>
      <c r="L323" s="7" t="s">
        <v>545</v>
      </c>
      <c r="M323" s="7" t="s">
        <v>841</v>
      </c>
      <c r="N323" s="34">
        <v>24</v>
      </c>
      <c r="O323">
        <v>0.2</v>
      </c>
      <c r="P323">
        <v>360</v>
      </c>
      <c r="Q323" s="9">
        <v>720</v>
      </c>
    </row>
    <row r="324" spans="11:17" ht="18.75" hidden="1" customHeight="1">
      <c r="K324" s="7" t="s">
        <v>479</v>
      </c>
      <c r="L324" s="7" t="s">
        <v>545</v>
      </c>
      <c r="M324" s="7" t="s">
        <v>842</v>
      </c>
      <c r="N324" s="34">
        <v>24</v>
      </c>
      <c r="O324">
        <v>0.2</v>
      </c>
      <c r="P324">
        <v>360</v>
      </c>
      <c r="Q324" s="9">
        <v>720</v>
      </c>
    </row>
    <row r="325" spans="11:17" ht="18.75" hidden="1" customHeight="1">
      <c r="K325" s="7" t="s">
        <v>480</v>
      </c>
      <c r="L325" s="7" t="s">
        <v>545</v>
      </c>
      <c r="M325" s="7" t="s">
        <v>843</v>
      </c>
      <c r="N325" s="34">
        <v>24</v>
      </c>
      <c r="O325">
        <v>0.2</v>
      </c>
      <c r="P325">
        <v>360</v>
      </c>
      <c r="Q325" s="9">
        <v>720</v>
      </c>
    </row>
    <row r="326" spans="11:17" ht="18.75" hidden="1" customHeight="1">
      <c r="K326" s="7" t="s">
        <v>481</v>
      </c>
      <c r="L326" s="7" t="s">
        <v>545</v>
      </c>
      <c r="M326" s="7" t="s">
        <v>844</v>
      </c>
      <c r="N326" s="34">
        <v>24</v>
      </c>
      <c r="O326">
        <v>0.2</v>
      </c>
      <c r="P326">
        <v>360</v>
      </c>
      <c r="Q326" s="9">
        <v>720</v>
      </c>
    </row>
    <row r="327" spans="11:17" ht="18.75" hidden="1" customHeight="1">
      <c r="K327" s="7" t="s">
        <v>482</v>
      </c>
      <c r="L327" s="7" t="s">
        <v>545</v>
      </c>
      <c r="M327" s="7" t="s">
        <v>845</v>
      </c>
      <c r="N327" s="34">
        <v>24</v>
      </c>
      <c r="O327">
        <v>0.2</v>
      </c>
      <c r="P327">
        <v>360</v>
      </c>
      <c r="Q327" s="9">
        <v>720</v>
      </c>
    </row>
    <row r="328" spans="11:17" ht="18.75" hidden="1" customHeight="1">
      <c r="K328" s="7" t="s">
        <v>483</v>
      </c>
      <c r="L328" s="7" t="s">
        <v>545</v>
      </c>
      <c r="M328" s="7" t="s">
        <v>812</v>
      </c>
      <c r="N328" s="34">
        <v>24</v>
      </c>
      <c r="O328">
        <v>0.2</v>
      </c>
      <c r="P328">
        <v>360</v>
      </c>
      <c r="Q328" s="9">
        <v>720</v>
      </c>
    </row>
    <row r="329" spans="11:17" ht="37.5" hidden="1" customHeight="1">
      <c r="K329" s="7" t="s">
        <v>484</v>
      </c>
      <c r="L329" s="7" t="s">
        <v>545</v>
      </c>
      <c r="M329" s="7" t="s">
        <v>813</v>
      </c>
      <c r="N329" s="34">
        <v>24</v>
      </c>
      <c r="O329">
        <v>0.2</v>
      </c>
      <c r="P329">
        <v>360</v>
      </c>
      <c r="Q329" s="9">
        <v>720</v>
      </c>
    </row>
    <row r="330" spans="11:17" ht="18.75" hidden="1" customHeight="1">
      <c r="K330" s="7" t="s">
        <v>485</v>
      </c>
      <c r="L330" s="7" t="s">
        <v>545</v>
      </c>
      <c r="M330" s="7" t="s">
        <v>814</v>
      </c>
      <c r="N330" s="34">
        <v>24</v>
      </c>
      <c r="O330">
        <v>0.2</v>
      </c>
      <c r="P330">
        <v>360</v>
      </c>
      <c r="Q330" s="9">
        <v>720</v>
      </c>
    </row>
    <row r="331" spans="11:17" hidden="1">
      <c r="K331" s="7" t="s">
        <v>486</v>
      </c>
      <c r="L331" s="7" t="s">
        <v>545</v>
      </c>
      <c r="M331" s="7" t="s">
        <v>815</v>
      </c>
      <c r="N331" s="34">
        <v>24</v>
      </c>
      <c r="O331">
        <v>0.2</v>
      </c>
      <c r="P331">
        <v>360</v>
      </c>
      <c r="Q331" s="9">
        <v>720</v>
      </c>
    </row>
    <row r="332" spans="11:17" ht="37.5" hidden="1" customHeight="1">
      <c r="K332" s="7" t="s">
        <v>487</v>
      </c>
      <c r="L332" s="7" t="s">
        <v>545</v>
      </c>
      <c r="M332" s="7" t="s">
        <v>816</v>
      </c>
      <c r="N332" s="34">
        <v>24</v>
      </c>
      <c r="O332">
        <v>0.2</v>
      </c>
      <c r="P332">
        <v>360</v>
      </c>
      <c r="Q332" s="9">
        <v>720</v>
      </c>
    </row>
    <row r="333" spans="11:17" ht="18.75" hidden="1" customHeight="1">
      <c r="K333" s="7" t="s">
        <v>488</v>
      </c>
      <c r="L333" s="7" t="s">
        <v>545</v>
      </c>
      <c r="M333" s="7" t="s">
        <v>817</v>
      </c>
      <c r="N333" s="34">
        <v>24</v>
      </c>
      <c r="O333">
        <v>0.2</v>
      </c>
      <c r="P333">
        <v>360</v>
      </c>
      <c r="Q333" s="9">
        <v>720</v>
      </c>
    </row>
    <row r="334" spans="11:17" ht="18.75" hidden="1" customHeight="1">
      <c r="K334" s="7" t="s">
        <v>489</v>
      </c>
      <c r="L334" s="7" t="s">
        <v>545</v>
      </c>
      <c r="M334" s="7" t="s">
        <v>798</v>
      </c>
      <c r="N334" s="34">
        <v>24</v>
      </c>
      <c r="O334">
        <v>0.2</v>
      </c>
      <c r="P334">
        <v>360</v>
      </c>
      <c r="Q334" s="9">
        <v>720</v>
      </c>
    </row>
    <row r="335" spans="11:17" ht="18.75" hidden="1" customHeight="1">
      <c r="K335" s="7" t="s">
        <v>490</v>
      </c>
      <c r="L335" s="7" t="s">
        <v>545</v>
      </c>
      <c r="M335" s="7" t="s">
        <v>818</v>
      </c>
      <c r="N335" s="34">
        <v>24</v>
      </c>
      <c r="O335">
        <v>0.2</v>
      </c>
      <c r="P335">
        <v>360</v>
      </c>
      <c r="Q335" s="9">
        <v>720</v>
      </c>
    </row>
    <row r="336" spans="11:17" ht="18.75" hidden="1" customHeight="1">
      <c r="K336" s="7" t="s">
        <v>491</v>
      </c>
      <c r="L336" s="7" t="s">
        <v>545</v>
      </c>
      <c r="M336" s="7" t="s">
        <v>819</v>
      </c>
      <c r="N336" s="34">
        <v>24</v>
      </c>
      <c r="O336">
        <v>0.2</v>
      </c>
      <c r="P336">
        <v>360</v>
      </c>
      <c r="Q336" s="9">
        <v>720</v>
      </c>
    </row>
    <row r="337" spans="11:17" hidden="1">
      <c r="K337" s="7" t="s">
        <v>492</v>
      </c>
      <c r="L337" s="7" t="s">
        <v>545</v>
      </c>
      <c r="M337" s="7" t="s">
        <v>789</v>
      </c>
      <c r="N337" s="34">
        <v>24</v>
      </c>
      <c r="O337">
        <v>0.2</v>
      </c>
      <c r="P337">
        <v>360</v>
      </c>
      <c r="Q337" s="9">
        <v>720</v>
      </c>
    </row>
    <row r="338" spans="11:17" hidden="1">
      <c r="K338" s="7" t="s">
        <v>493</v>
      </c>
      <c r="L338" s="7" t="s">
        <v>545</v>
      </c>
      <c r="M338" s="7" t="s">
        <v>790</v>
      </c>
      <c r="N338" s="34">
        <v>24</v>
      </c>
      <c r="O338">
        <v>0.2</v>
      </c>
      <c r="P338">
        <v>360</v>
      </c>
      <c r="Q338" s="9">
        <v>720</v>
      </c>
    </row>
    <row r="339" spans="11:17" hidden="1">
      <c r="K339" s="7" t="s">
        <v>494</v>
      </c>
      <c r="L339" s="7" t="s">
        <v>545</v>
      </c>
      <c r="M339" s="7" t="s">
        <v>791</v>
      </c>
      <c r="N339" s="34">
        <v>24</v>
      </c>
      <c r="O339">
        <v>0.2</v>
      </c>
      <c r="P339">
        <v>360</v>
      </c>
      <c r="Q339" s="9">
        <v>720</v>
      </c>
    </row>
    <row r="340" spans="11:17" hidden="1">
      <c r="K340" s="7" t="s">
        <v>495</v>
      </c>
      <c r="L340" s="7" t="s">
        <v>545</v>
      </c>
      <c r="M340" s="7" t="s">
        <v>792</v>
      </c>
      <c r="N340" s="34">
        <v>24</v>
      </c>
      <c r="O340">
        <v>0.2</v>
      </c>
      <c r="P340">
        <v>360</v>
      </c>
      <c r="Q340" s="9">
        <v>720</v>
      </c>
    </row>
    <row r="341" spans="11:17" hidden="1">
      <c r="K341" s="7" t="s">
        <v>496</v>
      </c>
      <c r="L341" s="7" t="s">
        <v>545</v>
      </c>
      <c r="M341" s="7" t="s">
        <v>793</v>
      </c>
      <c r="N341" s="34">
        <v>24</v>
      </c>
      <c r="O341">
        <v>0.2</v>
      </c>
      <c r="P341">
        <v>360</v>
      </c>
      <c r="Q341" s="9">
        <v>720</v>
      </c>
    </row>
    <row r="342" spans="11:17" ht="18.75" hidden="1" customHeight="1">
      <c r="K342" s="7" t="s">
        <v>497</v>
      </c>
      <c r="L342" s="7" t="s">
        <v>546</v>
      </c>
      <c r="M342" s="7" t="s">
        <v>678</v>
      </c>
      <c r="N342" s="34">
        <v>24</v>
      </c>
      <c r="O342">
        <v>0.2</v>
      </c>
      <c r="P342">
        <v>360</v>
      </c>
      <c r="Q342" s="9">
        <v>720</v>
      </c>
    </row>
    <row r="343" spans="11:17" hidden="1">
      <c r="K343" s="7" t="s">
        <v>498</v>
      </c>
      <c r="L343" s="7" t="s">
        <v>546</v>
      </c>
      <c r="M343" s="7" t="s">
        <v>820</v>
      </c>
      <c r="N343" s="34">
        <v>24</v>
      </c>
      <c r="O343">
        <v>0.2</v>
      </c>
      <c r="P343">
        <v>360</v>
      </c>
      <c r="Q343" s="9">
        <v>720</v>
      </c>
    </row>
    <row r="344" spans="11:17" ht="37.5" hidden="1" customHeight="1">
      <c r="K344" s="7" t="s">
        <v>499</v>
      </c>
      <c r="L344" s="7" t="s">
        <v>547</v>
      </c>
      <c r="M344" s="7" t="s">
        <v>821</v>
      </c>
      <c r="N344" s="34">
        <v>24</v>
      </c>
      <c r="O344">
        <v>0.2</v>
      </c>
      <c r="P344">
        <v>360</v>
      </c>
      <c r="Q344" s="9">
        <v>720</v>
      </c>
    </row>
    <row r="345" spans="11:17" ht="37.5" hidden="1" customHeight="1">
      <c r="K345" s="7" t="s">
        <v>500</v>
      </c>
      <c r="L345" s="7" t="s">
        <v>547</v>
      </c>
      <c r="M345" s="7" t="s">
        <v>822</v>
      </c>
      <c r="N345" s="34">
        <v>24</v>
      </c>
      <c r="O345">
        <v>0.2</v>
      </c>
      <c r="P345">
        <v>360</v>
      </c>
      <c r="Q345" s="9">
        <v>720</v>
      </c>
    </row>
    <row r="346" spans="11:17" ht="37.5" hidden="1" customHeight="1">
      <c r="K346" s="7" t="s">
        <v>501</v>
      </c>
      <c r="L346" s="7" t="s">
        <v>547</v>
      </c>
      <c r="M346" s="7" t="s">
        <v>823</v>
      </c>
      <c r="N346" s="34">
        <v>24</v>
      </c>
      <c r="O346">
        <v>0.2</v>
      </c>
      <c r="P346">
        <v>360</v>
      </c>
      <c r="Q346" s="9">
        <v>720</v>
      </c>
    </row>
    <row r="347" spans="11:17" ht="37.5" hidden="1" customHeight="1">
      <c r="K347" s="7" t="s">
        <v>502</v>
      </c>
      <c r="L347" s="7" t="s">
        <v>547</v>
      </c>
      <c r="M347" s="7" t="s">
        <v>824</v>
      </c>
      <c r="N347" s="34">
        <v>24</v>
      </c>
      <c r="O347">
        <v>0.2</v>
      </c>
      <c r="P347">
        <v>360</v>
      </c>
      <c r="Q347" s="9">
        <v>720</v>
      </c>
    </row>
    <row r="348" spans="11:17" ht="18.75" hidden="1" customHeight="1">
      <c r="K348" s="7" t="s">
        <v>503</v>
      </c>
      <c r="L348" s="7" t="s">
        <v>547</v>
      </c>
      <c r="M348" s="7" t="s">
        <v>825</v>
      </c>
      <c r="N348" s="34">
        <v>24</v>
      </c>
      <c r="O348">
        <v>0.2</v>
      </c>
      <c r="P348">
        <v>360</v>
      </c>
      <c r="Q348" s="9">
        <v>720</v>
      </c>
    </row>
    <row r="349" spans="11:17" ht="18.75" hidden="1" customHeight="1">
      <c r="K349" s="7" t="s">
        <v>504</v>
      </c>
      <c r="L349" s="7" t="s">
        <v>547</v>
      </c>
      <c r="M349" s="7" t="s">
        <v>826</v>
      </c>
      <c r="N349" s="34">
        <v>24</v>
      </c>
      <c r="O349">
        <v>0.2</v>
      </c>
      <c r="P349">
        <v>360</v>
      </c>
      <c r="Q349" s="9">
        <v>720</v>
      </c>
    </row>
    <row r="350" spans="11:17" ht="37.5" hidden="1" customHeight="1">
      <c r="K350" s="7" t="s">
        <v>505</v>
      </c>
      <c r="L350" s="7" t="s">
        <v>547</v>
      </c>
      <c r="M350" s="7" t="s">
        <v>827</v>
      </c>
      <c r="N350" s="34">
        <v>24</v>
      </c>
      <c r="O350">
        <v>0.2</v>
      </c>
      <c r="P350">
        <v>360</v>
      </c>
      <c r="Q350" s="9">
        <v>720</v>
      </c>
    </row>
    <row r="351" spans="11:17" ht="18.75" hidden="1" customHeight="1">
      <c r="K351" s="7" t="s">
        <v>506</v>
      </c>
      <c r="L351" s="7" t="s">
        <v>547</v>
      </c>
      <c r="M351" s="7" t="s">
        <v>828</v>
      </c>
      <c r="N351" s="34">
        <v>24</v>
      </c>
      <c r="O351">
        <v>0.2</v>
      </c>
      <c r="P351">
        <v>360</v>
      </c>
      <c r="Q351" s="9">
        <v>720</v>
      </c>
    </row>
    <row r="352" spans="11:17" ht="18.75" hidden="1" customHeight="1">
      <c r="K352" s="7" t="s">
        <v>507</v>
      </c>
      <c r="L352" s="7" t="s">
        <v>547</v>
      </c>
      <c r="M352" s="7" t="s">
        <v>829</v>
      </c>
      <c r="N352" s="34">
        <v>24</v>
      </c>
      <c r="O352">
        <v>0.2</v>
      </c>
      <c r="P352">
        <v>360</v>
      </c>
      <c r="Q352" s="9">
        <v>720</v>
      </c>
    </row>
    <row r="353" spans="11:17" ht="18.75" hidden="1" customHeight="1">
      <c r="K353" s="7" t="s">
        <v>508</v>
      </c>
      <c r="L353" s="7" t="s">
        <v>547</v>
      </c>
      <c r="M353" s="7" t="s">
        <v>830</v>
      </c>
      <c r="N353" s="34">
        <v>24</v>
      </c>
      <c r="O353">
        <v>0.2</v>
      </c>
      <c r="P353">
        <v>360</v>
      </c>
      <c r="Q353" s="9">
        <v>720</v>
      </c>
    </row>
    <row r="354" spans="11:17" ht="19.5" hidden="1" customHeight="1">
      <c r="K354" s="7" t="s">
        <v>509</v>
      </c>
      <c r="L354" s="7" t="s">
        <v>547</v>
      </c>
      <c r="M354" s="7" t="s">
        <v>831</v>
      </c>
      <c r="N354" s="34">
        <v>24</v>
      </c>
      <c r="O354">
        <v>0.2</v>
      </c>
      <c r="P354">
        <v>360</v>
      </c>
      <c r="Q354" s="9">
        <v>720</v>
      </c>
    </row>
    <row r="355" spans="11:17" hidden="1">
      <c r="K355" s="26" t="s">
        <v>1016</v>
      </c>
      <c r="L355" s="26" t="s">
        <v>98</v>
      </c>
      <c r="M355" s="26" t="s">
        <v>573</v>
      </c>
      <c r="N355" s="34">
        <v>24</v>
      </c>
      <c r="O355">
        <v>0.2</v>
      </c>
      <c r="P355">
        <v>360</v>
      </c>
      <c r="Q355" s="9">
        <v>720</v>
      </c>
    </row>
    <row r="356" spans="11:17" hidden="1">
      <c r="K356" s="26" t="s">
        <v>1034</v>
      </c>
      <c r="L356" s="26" t="s">
        <v>99</v>
      </c>
      <c r="M356" s="26" t="s">
        <v>1033</v>
      </c>
      <c r="N356" s="34">
        <v>24</v>
      </c>
      <c r="O356">
        <v>0.2</v>
      </c>
      <c r="P356">
        <v>360</v>
      </c>
      <c r="Q356" s="9">
        <v>720</v>
      </c>
    </row>
    <row r="357" spans="11:17" hidden="1">
      <c r="K357" s="25" t="s">
        <v>1038</v>
      </c>
      <c r="L357" s="25" t="s">
        <v>97</v>
      </c>
      <c r="M357" s="25" t="s">
        <v>1036</v>
      </c>
      <c r="N357" s="34">
        <v>24</v>
      </c>
      <c r="O357">
        <v>0.2</v>
      </c>
      <c r="P357">
        <v>360</v>
      </c>
      <c r="Q357" s="9">
        <v>720</v>
      </c>
    </row>
    <row r="358" spans="11:17" hidden="1">
      <c r="K358" s="32" t="s">
        <v>1073</v>
      </c>
      <c r="L358" s="3" t="s">
        <v>98</v>
      </c>
      <c r="M358" s="3" t="s">
        <v>49</v>
      </c>
      <c r="N358" s="34">
        <v>24</v>
      </c>
      <c r="O358">
        <v>0.2</v>
      </c>
      <c r="P358">
        <v>360</v>
      </c>
      <c r="Q358" s="9">
        <v>720</v>
      </c>
    </row>
    <row r="359" spans="11:17" hidden="1">
      <c r="K359" s="32" t="s">
        <v>1079</v>
      </c>
      <c r="L359" s="3" t="s">
        <v>99</v>
      </c>
      <c r="M359" s="3" t="s">
        <v>1077</v>
      </c>
      <c r="N359" s="34">
        <v>24</v>
      </c>
      <c r="O359">
        <v>0.2</v>
      </c>
      <c r="P359">
        <v>360</v>
      </c>
      <c r="Q359" s="9">
        <v>720</v>
      </c>
    </row>
    <row r="360" spans="11:17" hidden="1">
      <c r="K360" s="32" t="s">
        <v>1089</v>
      </c>
      <c r="L360" s="3" t="s">
        <v>98</v>
      </c>
      <c r="M360" s="3" t="s">
        <v>1087</v>
      </c>
      <c r="N360" s="34">
        <v>24</v>
      </c>
      <c r="O360">
        <v>0.2</v>
      </c>
      <c r="P360">
        <v>360</v>
      </c>
      <c r="Q360" s="9">
        <v>720</v>
      </c>
    </row>
    <row r="361" spans="11:17" hidden="1">
      <c r="K361" s="32" t="s">
        <v>1079</v>
      </c>
      <c r="L361" s="3" t="s">
        <v>99</v>
      </c>
      <c r="M361" s="3" t="s">
        <v>1093</v>
      </c>
      <c r="N361" s="34">
        <v>24</v>
      </c>
      <c r="O361">
        <v>0.2</v>
      </c>
      <c r="P361">
        <v>360</v>
      </c>
      <c r="Q361" s="9">
        <v>720</v>
      </c>
    </row>
    <row r="362" spans="11:17" hidden="1">
      <c r="K362" s="33" t="s">
        <v>1133</v>
      </c>
      <c r="L362" s="33" t="s">
        <v>98</v>
      </c>
      <c r="M362" s="33" t="s">
        <v>1050</v>
      </c>
      <c r="N362" s="34">
        <v>24</v>
      </c>
      <c r="O362">
        <v>0.2</v>
      </c>
      <c r="P362">
        <v>360</v>
      </c>
      <c r="Q362" s="9">
        <v>720</v>
      </c>
    </row>
    <row r="363" spans="11:17" hidden="1">
      <c r="K363" s="26" t="s">
        <v>1134</v>
      </c>
      <c r="L363" s="33" t="s">
        <v>99</v>
      </c>
      <c r="M363" s="26" t="s">
        <v>1131</v>
      </c>
      <c r="N363" s="34">
        <v>24</v>
      </c>
      <c r="O363">
        <v>0.2</v>
      </c>
      <c r="P363">
        <v>360</v>
      </c>
      <c r="Q363" s="9">
        <v>720</v>
      </c>
    </row>
    <row r="364" spans="11:17" hidden="1">
      <c r="K364" s="26" t="s">
        <v>1285</v>
      </c>
      <c r="L364" s="26" t="s">
        <v>99</v>
      </c>
      <c r="M364" s="26" t="s">
        <v>1282</v>
      </c>
      <c r="N364" s="3">
        <v>24</v>
      </c>
      <c r="O364">
        <v>0.2</v>
      </c>
      <c r="P364">
        <v>360</v>
      </c>
      <c r="Q364" s="9">
        <v>720</v>
      </c>
    </row>
    <row r="365" spans="11:17" hidden="1">
      <c r="K365" s="26" t="s">
        <v>1286</v>
      </c>
      <c r="L365" s="26" t="s">
        <v>99</v>
      </c>
      <c r="M365" s="26" t="s">
        <v>1287</v>
      </c>
      <c r="N365" s="3">
        <v>24</v>
      </c>
      <c r="O365">
        <v>0.2</v>
      </c>
      <c r="P365">
        <v>360</v>
      </c>
      <c r="Q365" s="9">
        <v>720</v>
      </c>
    </row>
    <row r="366" spans="11:17" hidden="1">
      <c r="K366" s="26" t="s">
        <v>219</v>
      </c>
      <c r="L366" s="26" t="s">
        <v>99</v>
      </c>
      <c r="M366" s="26" t="s">
        <v>1288</v>
      </c>
      <c r="N366" s="3">
        <v>24</v>
      </c>
      <c r="O366">
        <v>0.2</v>
      </c>
      <c r="P366">
        <v>360</v>
      </c>
      <c r="Q366" s="9">
        <v>720</v>
      </c>
    </row>
    <row r="367" spans="11:17" hidden="1">
      <c r="K367" s="26" t="s">
        <v>1312</v>
      </c>
      <c r="L367" s="26" t="s">
        <v>99</v>
      </c>
      <c r="M367" s="26" t="s">
        <v>1313</v>
      </c>
      <c r="N367" s="3">
        <v>24</v>
      </c>
      <c r="O367">
        <v>0.2</v>
      </c>
      <c r="P367">
        <v>360</v>
      </c>
      <c r="Q367" s="26">
        <v>720</v>
      </c>
    </row>
    <row r="368" spans="11:17" hidden="1">
      <c r="K368" s="26" t="s">
        <v>1342</v>
      </c>
      <c r="L368" s="26" t="s">
        <v>99</v>
      </c>
      <c r="M368" s="25" t="s">
        <v>1341</v>
      </c>
      <c r="N368" s="3">
        <v>24</v>
      </c>
      <c r="O368">
        <v>0.2</v>
      </c>
      <c r="P368">
        <v>360</v>
      </c>
      <c r="Q368" s="26">
        <v>720</v>
      </c>
    </row>
  </sheetData>
  <phoneticPr fontId="1" type="noConversion"/>
  <conditionalFormatting sqref="K358">
    <cfRule type="expression" dxfId="149" priority="5">
      <formula>$Q358=""</formula>
    </cfRule>
  </conditionalFormatting>
  <conditionalFormatting sqref="K360">
    <cfRule type="expression" dxfId="148" priority="4">
      <formula>$Q360=""</formula>
    </cfRule>
  </conditionalFormatting>
  <conditionalFormatting sqref="M358">
    <cfRule type="expression" dxfId="147" priority="3">
      <formula>$R358=""</formula>
    </cfRule>
  </conditionalFormatting>
  <conditionalFormatting sqref="M360">
    <cfRule type="expression" dxfId="146" priority="2">
      <formula>$R360=""</formula>
    </cfRule>
  </conditionalFormatting>
  <dataValidations count="1">
    <dataValidation type="list" allowBlank="1" showInputMessage="1" showErrorMessage="1" sqref="L367:L368" xr:uid="{DDEF640C-E527-493B-8B88-35807B81B1F9}">
      <formula1>$H$2:$H$5</formula1>
    </dataValidation>
  </dataValidations>
  <pageMargins left="0.7" right="0.7" top="0.75" bottom="0.75" header="0.3" footer="0.3"/>
  <pageSetup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92"/>
  <sheetViews>
    <sheetView showGridLines="0" rightToLeft="1" topLeftCell="A280" zoomScale="85" zoomScaleNormal="85" workbookViewId="0">
      <selection activeCell="R305" sqref="R305"/>
    </sheetView>
  </sheetViews>
  <sheetFormatPr defaultRowHeight="15" outlineLevelCol="1"/>
  <cols>
    <col min="1" max="1" width="7.28515625" style="51" customWidth="1"/>
    <col min="2" max="2" width="24.42578125" style="51" bestFit="1" customWidth="1"/>
    <col min="3" max="3" width="31.7109375" style="51" bestFit="1" customWidth="1"/>
    <col min="4" max="4" width="35.5703125" style="51" bestFit="1" customWidth="1"/>
    <col min="5" max="5" width="16.7109375" style="85" customWidth="1"/>
    <col min="6" max="6" width="12.42578125" style="51" bestFit="1" customWidth="1"/>
    <col min="7" max="7" width="12.28515625" style="51" bestFit="1" customWidth="1"/>
    <col min="8" max="8" width="10.140625" style="51" customWidth="1"/>
    <col min="9" max="14" width="6.5703125" hidden="1" customWidth="1" outlineLevel="1"/>
    <col min="15" max="15" width="11.28515625" hidden="1" customWidth="1" outlineLevel="1"/>
    <col min="16" max="16" width="16.140625" style="51" bestFit="1" customWidth="1" collapsed="1"/>
    <col min="17" max="17" width="15" style="51" bestFit="1" customWidth="1"/>
    <col min="18" max="18" width="6.5703125" bestFit="1" customWidth="1" outlineLevel="1"/>
    <col min="19" max="19" width="10.42578125" bestFit="1" customWidth="1" outlineLevel="1"/>
    <col min="20" max="23" width="6.5703125" bestFit="1" customWidth="1" outlineLevel="1"/>
    <col min="24" max="24" width="14" bestFit="1" customWidth="1" outlineLevel="1"/>
    <col min="25" max="25" width="103.7109375" style="51" bestFit="1" customWidth="1"/>
    <col min="26" max="26" width="12.42578125" customWidth="1" outlineLevel="1"/>
    <col min="27" max="27" width="10" customWidth="1" outlineLevel="1"/>
    <col min="28" max="30" width="8.85546875" customWidth="1" outlineLevel="1"/>
    <col min="31" max="31" width="10" customWidth="1" outlineLevel="1"/>
    <col min="32" max="32" width="15.42578125" customWidth="1" outlineLevel="1"/>
    <col min="33" max="33" width="15.42578125" customWidth="1"/>
    <col min="34" max="34" width="11.140625" bestFit="1" customWidth="1"/>
    <col min="35" max="36" width="9" customWidth="1"/>
    <col min="37" max="37" width="11.28515625" customWidth="1"/>
    <col min="38" max="41" width="12.7109375" customWidth="1"/>
  </cols>
  <sheetData>
    <row r="1" spans="1:32">
      <c r="G1" s="51" t="s">
        <v>13</v>
      </c>
      <c r="N1" s="18"/>
      <c r="O1" s="3"/>
      <c r="P1" s="55" t="s">
        <v>14</v>
      </c>
      <c r="W1" s="18"/>
      <c r="X1" s="3"/>
      <c r="Y1" s="36"/>
    </row>
    <row r="2" spans="1:32" s="1" customFormat="1" ht="75.599999999999994" customHeight="1">
      <c r="A2" s="61" t="s">
        <v>0</v>
      </c>
      <c r="B2" s="61" t="s">
        <v>7</v>
      </c>
      <c r="C2" s="61" t="s">
        <v>4</v>
      </c>
      <c r="D2" s="61" t="s">
        <v>33</v>
      </c>
      <c r="E2" s="85" t="s">
        <v>5</v>
      </c>
      <c r="F2" s="61" t="s">
        <v>10</v>
      </c>
      <c r="G2" s="59" t="s">
        <v>26</v>
      </c>
      <c r="H2" s="59" t="s">
        <v>25</v>
      </c>
      <c r="I2" s="21" t="s">
        <v>15</v>
      </c>
      <c r="J2" s="21" t="s">
        <v>860</v>
      </c>
      <c r="K2" s="21" t="s">
        <v>21</v>
      </c>
      <c r="L2" s="21" t="s">
        <v>22</v>
      </c>
      <c r="M2" s="21" t="s">
        <v>24</v>
      </c>
      <c r="N2" s="21" t="s">
        <v>23</v>
      </c>
      <c r="O2" s="1" t="s">
        <v>858</v>
      </c>
      <c r="P2" s="52" t="s">
        <v>27</v>
      </c>
      <c r="Q2" s="52" t="s">
        <v>28</v>
      </c>
      <c r="R2" s="21" t="s">
        <v>20</v>
      </c>
      <c r="S2" s="21" t="s">
        <v>866</v>
      </c>
      <c r="T2" s="21" t="s">
        <v>16</v>
      </c>
      <c r="U2" s="21" t="s">
        <v>17</v>
      </c>
      <c r="V2" s="21" t="s">
        <v>18</v>
      </c>
      <c r="W2" s="21" t="s">
        <v>19</v>
      </c>
      <c r="X2" s="2" t="s">
        <v>859</v>
      </c>
      <c r="Y2" s="37" t="s">
        <v>76</v>
      </c>
      <c r="Z2" s="2" t="s">
        <v>1068</v>
      </c>
      <c r="AA2" s="2" t="s">
        <v>867</v>
      </c>
      <c r="AB2" s="2" t="s">
        <v>6</v>
      </c>
      <c r="AC2" s="2" t="s">
        <v>868</v>
      </c>
      <c r="AD2" s="4" t="s">
        <v>1</v>
      </c>
      <c r="AE2" s="4" t="s">
        <v>1066</v>
      </c>
      <c r="AF2" s="2" t="s">
        <v>856</v>
      </c>
    </row>
    <row r="3" spans="1:32">
      <c r="A3" s="36">
        <v>1</v>
      </c>
      <c r="B3" s="36" t="s">
        <v>98</v>
      </c>
      <c r="C3" s="36" t="s">
        <v>129</v>
      </c>
      <c r="D3" s="36" t="s">
        <v>128</v>
      </c>
      <c r="E3" s="85" t="s">
        <v>130</v>
      </c>
      <c r="F3" s="36" t="s">
        <v>12</v>
      </c>
      <c r="G3" s="56" t="s">
        <v>847</v>
      </c>
      <c r="H3" s="53">
        <v>0</v>
      </c>
      <c r="I3" s="6" t="str">
        <f>LEFT(Table1[[#This Row],[تاریخ توقف]],4)</f>
        <v>1403</v>
      </c>
      <c r="J3" s="6" t="str">
        <f>VLOOKUP(Table1[[#This Row],[ماه توقف]],Table2[],3,0)</f>
        <v>تابستان</v>
      </c>
      <c r="K3" s="3">
        <f>_xlfn.NUMBERVALUE(RIGHT(LEFT(Table1[[#This Row],[تاریخ توقف]],7),2))</f>
        <v>5</v>
      </c>
      <c r="L3" s="3" t="str">
        <f>RIGHT(LEFT(Table1[[#This Row],[تاریخ توقف]],10),2)</f>
        <v>01</v>
      </c>
      <c r="M3" s="3">
        <f>HOUR(Table1[[#This Row],[زمان شروع توقف]])</f>
        <v>0</v>
      </c>
      <c r="N3" s="3">
        <f>MINUTE(Table1[[#This Row],[زمان شروع توقف]])</f>
        <v>0</v>
      </c>
      <c r="O3" s="3">
        <f>((Table1[[#This Row],[سال توقف]]*365+IF(Table1[[#This Row],[ماه توقف]]&lt;7,(Table1[[#This Row],[ماه توقف]]-1)*31,6*31+(Table1[[#This Row],[ماه توقف]]-6-1)*30)+(Table1[[#This Row],[روز توقف]])-1)*24+Table1[[#This Row],[ساعت توقف2]])*60+Table1[[#This Row],[دقیقه توقف]]</f>
        <v>737595360</v>
      </c>
      <c r="P3" s="56" t="s">
        <v>125</v>
      </c>
      <c r="Q3" s="53">
        <v>0.79513888888888884</v>
      </c>
      <c r="R3" s="3" t="str">
        <f>LEFT(Table1[[#This Row],[تاریخ پایان توقف]],4)</f>
        <v>1403</v>
      </c>
      <c r="S3" s="3" t="str">
        <f>_xlfn.IFNA(VLOOKUP(Table1[[#This Row],[ماه رفع توقف]],Table2[],3,0),"در حال تعمیر")</f>
        <v>پاییز</v>
      </c>
      <c r="T3" s="3">
        <f>_xlfn.NUMBERVALUE(RIGHT(LEFT(Table1[[#This Row],[تاریخ پایان توقف]],7),2))</f>
        <v>9</v>
      </c>
      <c r="U3" s="3" t="str">
        <f>RIGHT(LEFT(Table1[[#This Row],[تاریخ پایان توقف]],10),2)</f>
        <v>19</v>
      </c>
      <c r="V3" s="3">
        <f>HOUR(Table1[[#This Row],[زمان پایان توقف]])</f>
        <v>19</v>
      </c>
      <c r="W3" s="3">
        <f>MINUTE(Table1[[#This Row],[زمان پایان توقف]])</f>
        <v>5</v>
      </c>
      <c r="X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737798105</v>
      </c>
      <c r="Y3" s="38"/>
      <c r="Z3" s="83">
        <f>IFERROR((IF(Table1[[#This Row],[تاریخ پایان توقف]]&lt;&gt;"",Table1[[#This Row],[زمان رفع توقف]]-Table1[[#This Row],[زمان توقف]],"")/60),"")</f>
        <v>3379.0833333333335</v>
      </c>
      <c r="AA3" s="3">
        <f>VLOOKUP(E3,Table4[],4,0)</f>
        <v>24</v>
      </c>
      <c r="AB3" s="3">
        <f>VLOOKUP(E3,Table4[],5,0)</f>
        <v>0.2</v>
      </c>
      <c r="AC3" s="3">
        <f>VLOOKUP(E3,Table4[],6,0)</f>
        <v>360</v>
      </c>
      <c r="AD3" s="3">
        <f>VLOOKUP(E3,Table4[],7,0)</f>
        <v>720</v>
      </c>
      <c r="AE3" s="83" t="str">
        <f>IF(Table1[[#This Row],[زمان آخرین رفع توقف قبل از توقف فعلی]]="","",(Table1[[#This Row],[زمان توقف]]-Table1[[#This Row],[زمان آخرین رفع توقف قبل از توقف فعلی]])/60)</f>
        <v/>
      </c>
      <c r="AF3"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4" spans="1:32">
      <c r="A4" s="36">
        <v>2</v>
      </c>
      <c r="B4" s="36" t="s">
        <v>75</v>
      </c>
      <c r="C4" s="36" t="s">
        <v>48</v>
      </c>
      <c r="D4" s="36" t="s">
        <v>43</v>
      </c>
      <c r="E4" s="85" t="s">
        <v>71</v>
      </c>
      <c r="F4" s="36" t="s">
        <v>12</v>
      </c>
      <c r="G4" s="56" t="s">
        <v>80</v>
      </c>
      <c r="H4" s="53">
        <v>0.42569444444444443</v>
      </c>
      <c r="I4" s="6" t="str">
        <f>LEFT(Table1[[#This Row],[تاریخ توقف]],4)</f>
        <v>1403</v>
      </c>
      <c r="J4" s="6" t="str">
        <f>VLOOKUP(Table1[[#This Row],[ماه توقف]],Table2[],3,0)</f>
        <v>پاییز</v>
      </c>
      <c r="K4" s="3">
        <f>_xlfn.NUMBERVALUE(RIGHT(LEFT(Table1[[#This Row],[تاریخ توقف]],7),2))</f>
        <v>7</v>
      </c>
      <c r="L4" s="3" t="str">
        <f>RIGHT(LEFT(Table1[[#This Row],[تاریخ توقف]],10),2)</f>
        <v>17</v>
      </c>
      <c r="M4" s="3">
        <f>HOUR(Table1[[#This Row],[زمان شروع توقف]])</f>
        <v>10</v>
      </c>
      <c r="N4" s="3">
        <f>MINUTE(Table1[[#This Row],[زمان شروع توقف]])</f>
        <v>13</v>
      </c>
      <c r="O4" s="3">
        <f>((Table1[[#This Row],[سال توقف]]*365+IF(Table1[[#This Row],[ماه توقف]]&lt;7,(Table1[[#This Row],[ماه توقف]]-1)*31,6*31+(Table1[[#This Row],[ماه توقف]]-6-1)*30)+(Table1[[#This Row],[روز توقف]])-1)*24+Table1[[#This Row],[ساعت توقف2]])*60+Table1[[#This Row],[دقیقه توقف]]</f>
        <v>737708293</v>
      </c>
      <c r="P4" s="56" t="s">
        <v>80</v>
      </c>
      <c r="Q4" s="53">
        <v>0.52777777777777779</v>
      </c>
      <c r="R4" s="3" t="str">
        <f>LEFT(Table1[[#This Row],[تاریخ پایان توقف]],4)</f>
        <v>1403</v>
      </c>
      <c r="S4" s="3" t="str">
        <f>_xlfn.IFNA(VLOOKUP(Table1[[#This Row],[ماه رفع توقف]],Table2[],3,0),"در حال تعمیر")</f>
        <v>پاییز</v>
      </c>
      <c r="T4" s="3">
        <f>_xlfn.NUMBERVALUE(RIGHT(LEFT(Table1[[#This Row],[تاریخ پایان توقف]],7),2))</f>
        <v>7</v>
      </c>
      <c r="U4" s="3" t="str">
        <f>RIGHT(LEFT(Table1[[#This Row],[تاریخ پایان توقف]],10),2)</f>
        <v>17</v>
      </c>
      <c r="V4" s="3">
        <f>HOUR(Table1[[#This Row],[زمان پایان توقف]])</f>
        <v>12</v>
      </c>
      <c r="W4" s="3">
        <f>MINUTE(Table1[[#This Row],[زمان پایان توقف]])</f>
        <v>40</v>
      </c>
      <c r="X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737708440</v>
      </c>
      <c r="Y4" s="38" t="s">
        <v>77</v>
      </c>
      <c r="Z4" s="83">
        <f>IFERROR((IF(Table1[[#This Row],[تاریخ پایان توقف]]&lt;&gt;"",Table1[[#This Row],[زمان رفع توقف]]-Table1[[#This Row],[زمان توقف]],"")/60),"")</f>
        <v>2.4500000000000002</v>
      </c>
      <c r="AA4" s="3">
        <f>VLOOKUP(E4,Table4[],4,0)</f>
        <v>24</v>
      </c>
      <c r="AB4" s="3">
        <f>VLOOKUP(E4,Table4[],5,0)</f>
        <v>0.2</v>
      </c>
      <c r="AC4" s="3">
        <v>360</v>
      </c>
      <c r="AD4" s="3">
        <f>VLOOKUP(E4,Table4[],7,0)</f>
        <v>720</v>
      </c>
      <c r="AE4" s="83" t="str">
        <f>IF(Table1[[#This Row],[زمان آخرین رفع توقف قبل از توقف فعلی]]="","",(Table1[[#This Row],[زمان توقف]]-Table1[[#This Row],[زمان آخرین رفع توقف قبل از توقف فعلی]])/60)</f>
        <v/>
      </c>
      <c r="AF4"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5" spans="1:32">
      <c r="A5" s="36">
        <v>3</v>
      </c>
      <c r="B5" s="36" t="s">
        <v>1289</v>
      </c>
      <c r="C5" s="36" t="s">
        <v>814</v>
      </c>
      <c r="D5" s="36"/>
      <c r="E5" s="85" t="s">
        <v>485</v>
      </c>
      <c r="F5" s="36" t="s">
        <v>12</v>
      </c>
      <c r="G5" s="56" t="s">
        <v>81</v>
      </c>
      <c r="H5" s="53">
        <v>0.85416666666666663</v>
      </c>
      <c r="I5" s="6" t="str">
        <f>LEFT(Table1[[#This Row],[تاریخ توقف]],4)</f>
        <v>1403</v>
      </c>
      <c r="J5" s="6" t="str">
        <f>VLOOKUP(Table1[[#This Row],[ماه توقف]],Table2[],3,0)</f>
        <v>پاییز</v>
      </c>
      <c r="K5" s="3">
        <f>_xlfn.NUMBERVALUE(RIGHT(LEFT(Table1[[#This Row],[تاریخ توقف]],7),2))</f>
        <v>8</v>
      </c>
      <c r="L5" s="3" t="str">
        <f>RIGHT(LEFT(Table1[[#This Row],[تاریخ توقف]],10),2)</f>
        <v>08</v>
      </c>
      <c r="M5" s="3">
        <f>HOUR(Table1[[#This Row],[زمان شروع توقف]])</f>
        <v>20</v>
      </c>
      <c r="N5" s="3">
        <f>MINUTE(Table1[[#This Row],[زمان شروع توقف]])</f>
        <v>30</v>
      </c>
      <c r="O5" s="3">
        <f>((Table1[[#This Row],[سال توقف]]*365+IF(Table1[[#This Row],[ماه توقف]]&lt;7,(Table1[[#This Row],[ماه توقف]]-1)*31,6*31+(Table1[[#This Row],[ماه توقف]]-6-1)*30)+(Table1[[#This Row],[روز توقف]])-1)*24+Table1[[#This Row],[ساعت توقف2]])*60+Table1[[#This Row],[دقیقه توقف]]</f>
        <v>737739150</v>
      </c>
      <c r="P5" s="56" t="s">
        <v>81</v>
      </c>
      <c r="Q5" s="53">
        <v>0.87986111111111109</v>
      </c>
      <c r="R5" s="3" t="str">
        <f>LEFT(Table1[[#This Row],[تاریخ پایان توقف]],4)</f>
        <v>1403</v>
      </c>
      <c r="S5" s="3" t="str">
        <f>_xlfn.IFNA(VLOOKUP(Table1[[#This Row],[ماه رفع توقف]],Table2[],3,0),"در حال تعمیر")</f>
        <v>پاییز</v>
      </c>
      <c r="T5" s="3">
        <f>_xlfn.NUMBERVALUE(RIGHT(LEFT(Table1[[#This Row],[تاریخ پایان توقف]],7),2))</f>
        <v>8</v>
      </c>
      <c r="U5" s="3" t="str">
        <f>RIGHT(LEFT(Table1[[#This Row],[تاریخ پایان توقف]],10),2)</f>
        <v>08</v>
      </c>
      <c r="V5" s="3">
        <f>HOUR(Table1[[#This Row],[زمان پایان توقف]])</f>
        <v>21</v>
      </c>
      <c r="W5" s="3">
        <f>MINUTE(Table1[[#This Row],[زمان پایان توقف]])</f>
        <v>7</v>
      </c>
      <c r="X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737739187</v>
      </c>
      <c r="Y5" s="38" t="s">
        <v>78</v>
      </c>
      <c r="Z5" s="83">
        <f>IFERROR((IF(Table1[[#This Row],[تاریخ پایان توقف]]&lt;&gt;"",Table1[[#This Row],[زمان رفع توقف]]-Table1[[#This Row],[زمان توقف]],"")/60),"")</f>
        <v>0.6166666666666667</v>
      </c>
      <c r="AA5" s="3">
        <f>VLOOKUP(E5,Table4[],4,0)</f>
        <v>24</v>
      </c>
      <c r="AB5" s="3">
        <f>VLOOKUP(E5,Table4[],5,0)</f>
        <v>0.2</v>
      </c>
      <c r="AC5" s="3">
        <v>360</v>
      </c>
      <c r="AD5" s="3">
        <f>VLOOKUP(E5,Table4[],7,0)</f>
        <v>720</v>
      </c>
      <c r="AE5" s="83" t="str">
        <f>IF(Table1[[#This Row],[زمان آخرین رفع توقف قبل از توقف فعلی]]="","",(Table1[[#This Row],[زمان توقف]]-Table1[[#This Row],[زمان آخرین رفع توقف قبل از توقف فعلی]])/60)</f>
        <v/>
      </c>
      <c r="AF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6" spans="1:32">
      <c r="A6" s="36">
        <v>4</v>
      </c>
      <c r="B6" s="36" t="s">
        <v>98</v>
      </c>
      <c r="C6" s="36" t="s">
        <v>49</v>
      </c>
      <c r="D6" s="36" t="s">
        <v>44</v>
      </c>
      <c r="E6" s="85" t="s">
        <v>73</v>
      </c>
      <c r="F6" s="36" t="s">
        <v>12</v>
      </c>
      <c r="G6" s="56" t="s">
        <v>82</v>
      </c>
      <c r="H6" s="53">
        <v>0.52083333333333337</v>
      </c>
      <c r="I6" s="6" t="str">
        <f>LEFT(Table1[[#This Row],[تاریخ توقف]],4)</f>
        <v>1403</v>
      </c>
      <c r="J6" s="6" t="str">
        <f>VLOOKUP(Table1[[#This Row],[ماه توقف]],Table2[],3,0)</f>
        <v>پاییز</v>
      </c>
      <c r="K6" s="3">
        <f>_xlfn.NUMBERVALUE(RIGHT(LEFT(Table1[[#This Row],[تاریخ توقف]],7),2))</f>
        <v>8</v>
      </c>
      <c r="L6" s="3" t="str">
        <f>RIGHT(LEFT(Table1[[#This Row],[تاریخ توقف]],10),2)</f>
        <v>10</v>
      </c>
      <c r="M6" s="3">
        <f>HOUR(Table1[[#This Row],[زمان شروع توقف]])</f>
        <v>12</v>
      </c>
      <c r="N6" s="3">
        <f>MINUTE(Table1[[#This Row],[زمان شروع توقف]])</f>
        <v>30</v>
      </c>
      <c r="O6" s="3">
        <f>((Table1[[#This Row],[سال توقف]]*365+IF(Table1[[#This Row],[ماه توقف]]&lt;7,(Table1[[#This Row],[ماه توقف]]-1)*31,6*31+(Table1[[#This Row],[ماه توقف]]-6-1)*30)+(Table1[[#This Row],[روز توقف]])-1)*24+Table1[[#This Row],[ساعت توقف2]])*60+Table1[[#This Row],[دقیقه توقف]]</f>
        <v>737741550</v>
      </c>
      <c r="P6" s="56" t="s">
        <v>84</v>
      </c>
      <c r="Q6" s="53">
        <v>0.375</v>
      </c>
      <c r="R6" s="3" t="str">
        <f>LEFT(Table1[[#This Row],[تاریخ پایان توقف]],4)</f>
        <v>1403</v>
      </c>
      <c r="S6" s="3" t="str">
        <f>_xlfn.IFNA(VLOOKUP(Table1[[#This Row],[ماه رفع توقف]],Table2[],3,0),"در حال تعمیر")</f>
        <v>پاییز</v>
      </c>
      <c r="T6" s="3">
        <f>_xlfn.NUMBERVALUE(RIGHT(LEFT(Table1[[#This Row],[تاریخ پایان توقف]],7),2))</f>
        <v>8</v>
      </c>
      <c r="U6" s="3" t="str">
        <f>RIGHT(LEFT(Table1[[#This Row],[تاریخ پایان توقف]],10),2)</f>
        <v>12</v>
      </c>
      <c r="V6" s="3">
        <f>HOUR(Table1[[#This Row],[زمان پایان توقف]])</f>
        <v>9</v>
      </c>
      <c r="W6" s="3">
        <f>MINUTE(Table1[[#This Row],[زمان پایان توقف]])</f>
        <v>0</v>
      </c>
      <c r="X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737744220</v>
      </c>
      <c r="Y6" s="38" t="s">
        <v>79</v>
      </c>
      <c r="Z6" s="83">
        <f>IFERROR((IF(Table1[[#This Row],[تاریخ پایان توقف]]&lt;&gt;"",Table1[[#This Row],[زمان رفع توقف]]-Table1[[#This Row],[زمان توقف]],"")/60),"")</f>
        <v>44.5</v>
      </c>
      <c r="AA6" s="3">
        <f>VLOOKUP(E6,Table4[],4,0)</f>
        <v>24</v>
      </c>
      <c r="AB6" s="3">
        <f>VLOOKUP(E6,Table4[],5,0)</f>
        <v>0.2</v>
      </c>
      <c r="AC6" s="3">
        <v>360</v>
      </c>
      <c r="AD6" s="3">
        <f>VLOOKUP(E6,Table4[],7,0)</f>
        <v>720</v>
      </c>
      <c r="AE6" s="83" t="str">
        <f>IF(Table1[[#This Row],[زمان آخرین رفع توقف قبل از توقف فعلی]]="","",(Table1[[#This Row],[زمان توقف]]-Table1[[#This Row],[زمان آخرین رفع توقف قبل از توقف فعلی]])/60)</f>
        <v/>
      </c>
      <c r="AF6"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7" spans="1:32">
      <c r="A7" s="36">
        <v>5</v>
      </c>
      <c r="B7" s="36" t="s">
        <v>98</v>
      </c>
      <c r="C7" s="36" t="s">
        <v>50</v>
      </c>
      <c r="D7" s="36" t="s">
        <v>45</v>
      </c>
      <c r="E7" s="85" t="s">
        <v>74</v>
      </c>
      <c r="F7" s="36" t="s">
        <v>12</v>
      </c>
      <c r="G7" s="56" t="s">
        <v>83</v>
      </c>
      <c r="H7" s="53">
        <v>0.73541666666666661</v>
      </c>
      <c r="I7" s="6" t="str">
        <f>LEFT(Table1[[#This Row],[تاریخ توقف]],4)</f>
        <v>1403</v>
      </c>
      <c r="J7" s="6" t="str">
        <f>VLOOKUP(Table1[[#This Row],[ماه توقف]],Table2[],3,0)</f>
        <v>پاییز</v>
      </c>
      <c r="K7" s="3">
        <f>_xlfn.NUMBERVALUE(RIGHT(LEFT(Table1[[#This Row],[تاریخ توقف]],7),2))</f>
        <v>8</v>
      </c>
      <c r="L7" s="3" t="str">
        <f>RIGHT(LEFT(Table1[[#This Row],[تاریخ توقف]],10),2)</f>
        <v>16</v>
      </c>
      <c r="M7" s="3">
        <f>HOUR(Table1[[#This Row],[زمان شروع توقف]])</f>
        <v>17</v>
      </c>
      <c r="N7" s="3">
        <f>MINUTE(Table1[[#This Row],[زمان شروع توقف]])</f>
        <v>39</v>
      </c>
      <c r="O7" s="3">
        <f>((Table1[[#This Row],[سال توقف]]*365+IF(Table1[[#This Row],[ماه توقف]]&lt;7,(Table1[[#This Row],[ماه توقف]]-1)*31,6*31+(Table1[[#This Row],[ماه توقف]]-6-1)*30)+(Table1[[#This Row],[روز توقف]])-1)*24+Table1[[#This Row],[ساعت توقف2]])*60+Table1[[#This Row],[دقیقه توقف]]</f>
        <v>737750499</v>
      </c>
      <c r="P7" s="56" t="s">
        <v>83</v>
      </c>
      <c r="Q7" s="53">
        <v>0.73611111111111116</v>
      </c>
      <c r="R7" s="3" t="str">
        <f>LEFT(Table1[[#This Row],[تاریخ پایان توقف]],4)</f>
        <v>1403</v>
      </c>
      <c r="S7" s="3" t="str">
        <f>_xlfn.IFNA(VLOOKUP(Table1[[#This Row],[ماه رفع توقف]],Table2[],3,0),"در حال تعمیر")</f>
        <v>پاییز</v>
      </c>
      <c r="T7" s="3">
        <f>_xlfn.NUMBERVALUE(RIGHT(LEFT(Table1[[#This Row],[تاریخ پایان توقف]],7),2))</f>
        <v>8</v>
      </c>
      <c r="U7" s="3" t="str">
        <f>RIGHT(LEFT(Table1[[#This Row],[تاریخ پایان توقف]],10),2)</f>
        <v>16</v>
      </c>
      <c r="V7" s="3">
        <f>HOUR(Table1[[#This Row],[زمان پایان توقف]])</f>
        <v>17</v>
      </c>
      <c r="W7" s="3">
        <f>MINUTE(Table1[[#This Row],[زمان پایان توقف]])</f>
        <v>40</v>
      </c>
      <c r="X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737750500</v>
      </c>
      <c r="Y7" s="38" t="s">
        <v>79</v>
      </c>
      <c r="Z7" s="83">
        <f>IFERROR((IF(Table1[[#This Row],[تاریخ پایان توقف]]&lt;&gt;"",Table1[[#This Row],[زمان رفع توقف]]-Table1[[#This Row],[زمان توقف]],"")/60),"")</f>
        <v>1.6666666666666666E-2</v>
      </c>
      <c r="AA7" s="3">
        <f>VLOOKUP(E7,Table4[],4,0)</f>
        <v>24</v>
      </c>
      <c r="AB7" s="3">
        <f>VLOOKUP(E7,Table4[],5,0)</f>
        <v>0.2</v>
      </c>
      <c r="AC7" s="3">
        <v>360</v>
      </c>
      <c r="AD7" s="3">
        <f>VLOOKUP(E7,Table4[],7,0)</f>
        <v>720</v>
      </c>
      <c r="AE7" s="83" t="str">
        <f>IF(Table1[[#This Row],[زمان آخرین رفع توقف قبل از توقف فعلی]]="","",(Table1[[#This Row],[زمان توقف]]-Table1[[#This Row],[زمان آخرین رفع توقف قبل از توقف فعلی]])/60)</f>
        <v/>
      </c>
      <c r="AF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8" spans="1:32">
      <c r="A8" s="36">
        <v>6</v>
      </c>
      <c r="B8" s="36" t="s">
        <v>98</v>
      </c>
      <c r="C8" s="36" t="s">
        <v>116</v>
      </c>
      <c r="D8" s="36" t="s">
        <v>115</v>
      </c>
      <c r="E8" s="85" t="s">
        <v>117</v>
      </c>
      <c r="F8" s="36" t="s">
        <v>11</v>
      </c>
      <c r="G8" s="56" t="s">
        <v>118</v>
      </c>
      <c r="H8" s="53">
        <v>0.375</v>
      </c>
      <c r="I8" s="6" t="str">
        <f>LEFT(Table1[[#This Row],[تاریخ توقف]],4)</f>
        <v>1403</v>
      </c>
      <c r="J8" s="6" t="str">
        <f>VLOOKUP(Table1[[#This Row],[ماه توقف]],Table2[],3,0)</f>
        <v>پاییز</v>
      </c>
      <c r="K8" s="3">
        <f>_xlfn.NUMBERVALUE(RIGHT(LEFT(Table1[[#This Row],[تاریخ توقف]],7),2))</f>
        <v>8</v>
      </c>
      <c r="L8" s="3" t="str">
        <f>RIGHT(LEFT(Table1[[#This Row],[تاریخ توقف]],10),2)</f>
        <v>18</v>
      </c>
      <c r="M8" s="3">
        <f>HOUR(Table1[[#This Row],[زمان شروع توقف]])</f>
        <v>9</v>
      </c>
      <c r="N8" s="3">
        <f>MINUTE(Table1[[#This Row],[زمان شروع توقف]])</f>
        <v>0</v>
      </c>
      <c r="O8" s="3">
        <f>((Table1[[#This Row],[سال توقف]]*365+IF(Table1[[#This Row],[ماه توقف]]&lt;7,(Table1[[#This Row],[ماه توقف]]-1)*31,6*31+(Table1[[#This Row],[ماه توقف]]-6-1)*30)+(Table1[[#This Row],[روز توقف]])-1)*24+Table1[[#This Row],[ساعت توقف2]])*60+Table1[[#This Row],[دقیقه توقف]]</f>
        <v>737752860</v>
      </c>
      <c r="P8" s="56" t="s">
        <v>109</v>
      </c>
      <c r="Q8" s="53">
        <v>0.74513888888888891</v>
      </c>
      <c r="R8" s="3" t="str">
        <f>LEFT(Table1[[#This Row],[تاریخ پایان توقف]],4)</f>
        <v>1403</v>
      </c>
      <c r="S8" s="3" t="str">
        <f>_xlfn.IFNA(VLOOKUP(Table1[[#This Row],[ماه رفع توقف]],Table2[],3,0),"در حال تعمیر")</f>
        <v>پاییز</v>
      </c>
      <c r="T8" s="3">
        <f>_xlfn.NUMBERVALUE(RIGHT(LEFT(Table1[[#This Row],[تاریخ پایان توقف]],7),2))</f>
        <v>9</v>
      </c>
      <c r="U8" s="3" t="str">
        <f>RIGHT(LEFT(Table1[[#This Row],[تاریخ پایان توقف]],10),2)</f>
        <v>17</v>
      </c>
      <c r="V8" s="3">
        <f>HOUR(Table1[[#This Row],[زمان پایان توقف]])</f>
        <v>17</v>
      </c>
      <c r="W8" s="3">
        <f>MINUTE(Table1[[#This Row],[زمان پایان توقف]])</f>
        <v>53</v>
      </c>
      <c r="X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737795153</v>
      </c>
      <c r="Y8" s="38" t="s">
        <v>119</v>
      </c>
      <c r="Z8" s="83">
        <f>IFERROR((IF(Table1[[#This Row],[تاریخ پایان توقف]]&lt;&gt;"",Table1[[#This Row],[زمان رفع توقف]]-Table1[[#This Row],[زمان توقف]],"")/60),"")</f>
        <v>704.88333333333333</v>
      </c>
      <c r="AA8" s="3">
        <f>VLOOKUP(E8,Table4[],4,0)</f>
        <v>24</v>
      </c>
      <c r="AB8" s="3">
        <f>VLOOKUP(E8,Table4[],5,0)</f>
        <v>0.2</v>
      </c>
      <c r="AC8" s="3">
        <v>360</v>
      </c>
      <c r="AD8" s="3">
        <f>VLOOKUP(E8,Table4[],7,0)</f>
        <v>720</v>
      </c>
      <c r="AE8" s="83" t="str">
        <f>IF(Table1[[#This Row],[زمان آخرین رفع توقف قبل از توقف فعلی]]="","",(Table1[[#This Row],[زمان توقف]]-Table1[[#This Row],[زمان آخرین رفع توقف قبل از توقف فعلی]])/60)</f>
        <v/>
      </c>
      <c r="AF8"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9" spans="1:32">
      <c r="A9" s="36">
        <v>7</v>
      </c>
      <c r="B9" s="36" t="s">
        <v>98</v>
      </c>
      <c r="C9" s="36" t="s">
        <v>89</v>
      </c>
      <c r="D9" s="36" t="s">
        <v>88</v>
      </c>
      <c r="E9" s="85" t="s">
        <v>91</v>
      </c>
      <c r="F9" s="36" t="s">
        <v>12</v>
      </c>
      <c r="G9" s="56" t="s">
        <v>85</v>
      </c>
      <c r="H9" s="53">
        <v>0.57291666666666663</v>
      </c>
      <c r="I9" s="6" t="str">
        <f>LEFT(Table1[[#This Row],[تاریخ توقف]],4)</f>
        <v>1403</v>
      </c>
      <c r="J9" s="6" t="str">
        <f>VLOOKUP(Table1[[#This Row],[ماه توقف]],Table2[],3,0)</f>
        <v>پاییز</v>
      </c>
      <c r="K9" s="3">
        <f>_xlfn.NUMBERVALUE(RIGHT(LEFT(Table1[[#This Row],[تاریخ توقف]],7),2))</f>
        <v>9</v>
      </c>
      <c r="L9" s="3" t="str">
        <f>RIGHT(LEFT(Table1[[#This Row],[تاریخ توقف]],10),2)</f>
        <v>04</v>
      </c>
      <c r="M9" s="3">
        <f>HOUR(Table1[[#This Row],[زمان شروع توقف]])</f>
        <v>13</v>
      </c>
      <c r="N9" s="3">
        <f>MINUTE(Table1[[#This Row],[زمان شروع توقف]])</f>
        <v>45</v>
      </c>
      <c r="O9" s="3">
        <f>((Table1[[#This Row],[سال توقف]]*365+IF(Table1[[#This Row],[ماه توقف]]&lt;7,(Table1[[#This Row],[ماه توقف]]-1)*31,6*31+(Table1[[#This Row],[ماه توقف]]-6-1)*30)+(Table1[[#This Row],[روز توقف]])-1)*24+Table1[[#This Row],[ساعت توقف2]])*60+Table1[[#This Row],[دقیقه توقف]]</f>
        <v>737776185</v>
      </c>
      <c r="P9" s="56" t="s">
        <v>104</v>
      </c>
      <c r="Q9" s="53">
        <v>0.625</v>
      </c>
      <c r="R9" s="3" t="str">
        <f>LEFT(Table1[[#This Row],[تاریخ پایان توقف]],4)</f>
        <v>1403</v>
      </c>
      <c r="S9" s="3" t="str">
        <f>_xlfn.IFNA(VLOOKUP(Table1[[#This Row],[ماه رفع توقف]],Table2[],3,0),"در حال تعمیر")</f>
        <v>پاییز</v>
      </c>
      <c r="T9" s="3">
        <f>_xlfn.NUMBERVALUE(RIGHT(LEFT(Table1[[#This Row],[تاریخ پایان توقف]],7),2))</f>
        <v>9</v>
      </c>
      <c r="U9" s="3" t="str">
        <f>RIGHT(LEFT(Table1[[#This Row],[تاریخ پایان توقف]],10),2)</f>
        <v>09</v>
      </c>
      <c r="V9" s="3">
        <f>HOUR(Table1[[#This Row],[زمان پایان توقف]])</f>
        <v>15</v>
      </c>
      <c r="W9" s="3">
        <f>MINUTE(Table1[[#This Row],[زمان پایان توقف]])</f>
        <v>0</v>
      </c>
      <c r="X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737783460</v>
      </c>
      <c r="Y9" s="38" t="s">
        <v>105</v>
      </c>
      <c r="Z9" s="83">
        <f>IFERROR((IF(Table1[[#This Row],[تاریخ پایان توقف]]&lt;&gt;"",Table1[[#This Row],[زمان رفع توقف]]-Table1[[#This Row],[زمان توقف]],"")/60),"")</f>
        <v>121.25</v>
      </c>
      <c r="AA9" s="3">
        <f>VLOOKUP(E9,Table4[],4,0)</f>
        <v>24</v>
      </c>
      <c r="AB9" s="3">
        <f>VLOOKUP(E9,Table4[],5,0)</f>
        <v>0.2</v>
      </c>
      <c r="AC9" s="3">
        <v>360</v>
      </c>
      <c r="AD9" s="3">
        <f>VLOOKUP(E9,Table4[],7,0)</f>
        <v>720</v>
      </c>
      <c r="AE9" s="83" t="str">
        <f>IF(Table1[[#This Row],[زمان آخرین رفع توقف قبل از توقف فعلی]]="","",(Table1[[#This Row],[زمان توقف]]-Table1[[#This Row],[زمان آخرین رفع توقف قبل از توقف فعلی]])/60)</f>
        <v/>
      </c>
      <c r="AF9"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0" spans="1:32">
      <c r="A10" s="36">
        <v>8</v>
      </c>
      <c r="B10" s="36" t="s">
        <v>98</v>
      </c>
      <c r="C10" s="36" t="s">
        <v>121</v>
      </c>
      <c r="D10" s="36" t="s">
        <v>120</v>
      </c>
      <c r="E10" s="85" t="s">
        <v>122</v>
      </c>
      <c r="F10" s="36" t="s">
        <v>12</v>
      </c>
      <c r="G10" s="56" t="s">
        <v>123</v>
      </c>
      <c r="H10" s="53">
        <v>0.33333333333333331</v>
      </c>
      <c r="I10" s="6" t="str">
        <f>LEFT(Table1[[#This Row],[تاریخ توقف]],4)</f>
        <v>1403</v>
      </c>
      <c r="J10" s="6" t="str">
        <f>VLOOKUP(Table1[[#This Row],[ماه توقف]],Table2[],3,0)</f>
        <v>پاییز</v>
      </c>
      <c r="K10" s="3">
        <f>_xlfn.NUMBERVALUE(RIGHT(LEFT(Table1[[#This Row],[تاریخ توقف]],7),2))</f>
        <v>9</v>
      </c>
      <c r="L10" s="3" t="str">
        <f>RIGHT(LEFT(Table1[[#This Row],[تاریخ توقف]],10),2)</f>
        <v>05</v>
      </c>
      <c r="M10" s="3">
        <f>HOUR(Table1[[#This Row],[زمان شروع توقف]])</f>
        <v>8</v>
      </c>
      <c r="N10" s="3">
        <f>MINUTE(Table1[[#This Row],[زمان شروع توقف]])</f>
        <v>0</v>
      </c>
      <c r="O10" s="3">
        <f>((Table1[[#This Row],[سال توقف]]*365+IF(Table1[[#This Row],[ماه توقف]]&lt;7,(Table1[[#This Row],[ماه توقف]]-1)*31,6*31+(Table1[[#This Row],[ماه توقف]]-6-1)*30)+(Table1[[#This Row],[روز توقف]])-1)*24+Table1[[#This Row],[ساعت توقف2]])*60+Table1[[#This Row],[دقیقه توقف]]</f>
        <v>737777280</v>
      </c>
      <c r="P10" s="56" t="s">
        <v>124</v>
      </c>
      <c r="Q10" s="53">
        <v>0.57500000000000007</v>
      </c>
      <c r="R10" s="3" t="str">
        <f>LEFT(Table1[[#This Row],[تاریخ پایان توقف]],4)</f>
        <v>1403</v>
      </c>
      <c r="S10" s="3" t="str">
        <f>_xlfn.IFNA(VLOOKUP(Table1[[#This Row],[ماه رفع توقف]],Table2[],3,0),"در حال تعمیر")</f>
        <v>پاییز</v>
      </c>
      <c r="T10" s="3">
        <f>_xlfn.NUMBERVALUE(RIGHT(LEFT(Table1[[#This Row],[تاریخ پایان توقف]],7),2))</f>
        <v>9</v>
      </c>
      <c r="U10" s="3" t="str">
        <f>RIGHT(LEFT(Table1[[#This Row],[تاریخ پایان توقف]],10),2)</f>
        <v>18</v>
      </c>
      <c r="V10" s="3">
        <f>HOUR(Table1[[#This Row],[زمان پایان توقف]])</f>
        <v>13</v>
      </c>
      <c r="W10" s="3">
        <f>MINUTE(Table1[[#This Row],[زمان پایان توقف]])</f>
        <v>48</v>
      </c>
      <c r="X1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737796348</v>
      </c>
      <c r="Y10" s="38"/>
      <c r="Z10" s="83">
        <f>IFERROR((IF(Table1[[#This Row],[تاریخ پایان توقف]]&lt;&gt;"",Table1[[#This Row],[زمان رفع توقف]]-Table1[[#This Row],[زمان توقف]],"")/60),"")</f>
        <v>317.8</v>
      </c>
      <c r="AA10" s="3">
        <f>VLOOKUP(E10,Table4[],4,0)</f>
        <v>24</v>
      </c>
      <c r="AB10" s="3">
        <f>VLOOKUP(E10,Table4[],5,0)</f>
        <v>0.2</v>
      </c>
      <c r="AC10" s="3">
        <v>360</v>
      </c>
      <c r="AD10" s="3">
        <f>VLOOKUP(E10,Table4[],7,0)</f>
        <v>720</v>
      </c>
      <c r="AE10" s="83" t="str">
        <f>IF(Table1[[#This Row],[زمان آخرین رفع توقف قبل از توقف فعلی]]="","",(Table1[[#This Row],[زمان توقف]]-Table1[[#This Row],[زمان آخرین رفع توقف قبل از توقف فعلی]])/60)</f>
        <v/>
      </c>
      <c r="AF10"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1" spans="1:32">
      <c r="A11" s="36">
        <v>12</v>
      </c>
      <c r="B11" s="36" t="s">
        <v>98</v>
      </c>
      <c r="C11" s="36" t="s">
        <v>185</v>
      </c>
      <c r="D11" s="36" t="s">
        <v>106</v>
      </c>
      <c r="E11" s="85" t="s">
        <v>107</v>
      </c>
      <c r="F11" s="36" t="s">
        <v>12</v>
      </c>
      <c r="G11" s="57" t="s">
        <v>108</v>
      </c>
      <c r="H11" s="53">
        <v>0.39861111111111108</v>
      </c>
      <c r="I11" s="6" t="str">
        <f>LEFT(Table1[[#This Row],[تاریخ توقف]],4)</f>
        <v>1403</v>
      </c>
      <c r="J11" s="6" t="str">
        <f>VLOOKUP(Table1[[#This Row],[ماه توقف]],Table2[],3,0)</f>
        <v>پاییز</v>
      </c>
      <c r="K11" s="3">
        <f>_xlfn.NUMBERVALUE(RIGHT(LEFT(Table1[[#This Row],[تاریخ توقف]],7),2))</f>
        <v>9</v>
      </c>
      <c r="L11" s="3" t="str">
        <f>RIGHT(LEFT(Table1[[#This Row],[تاریخ توقف]],10),2)</f>
        <v>14</v>
      </c>
      <c r="M11" s="3">
        <f>HOUR(Table1[[#This Row],[زمان شروع توقف]])</f>
        <v>9</v>
      </c>
      <c r="N11" s="3">
        <f>MINUTE(Table1[[#This Row],[زمان شروع توقف]])</f>
        <v>34</v>
      </c>
      <c r="O11" s="3">
        <f>((Table1[[#This Row],[سال توقف]]*365+IF(Table1[[#This Row],[ماه توقف]]&lt;7,(Table1[[#This Row],[ماه توقف]]-1)*31,6*31+(Table1[[#This Row],[ماه توقف]]-6-1)*30)+(Table1[[#This Row],[روز توقف]])-1)*24+Table1[[#This Row],[ساعت توقف2]])*60+Table1[[#This Row],[دقیقه توقف]]</f>
        <v>737790334</v>
      </c>
      <c r="P11" s="57" t="s">
        <v>109</v>
      </c>
      <c r="Q11" s="53">
        <v>0.50138888888888888</v>
      </c>
      <c r="R11" s="3" t="str">
        <f>LEFT(Table1[[#This Row],[تاریخ پایان توقف]],4)</f>
        <v>1403</v>
      </c>
      <c r="S11" s="3" t="str">
        <f>_xlfn.IFNA(VLOOKUP(Table1[[#This Row],[ماه رفع توقف]],Table2[],3,0),"در حال تعمیر")</f>
        <v>پاییز</v>
      </c>
      <c r="T11" s="3">
        <f>_xlfn.NUMBERVALUE(RIGHT(LEFT(Table1[[#This Row],[تاریخ پایان توقف]],7),2))</f>
        <v>9</v>
      </c>
      <c r="U11" s="3" t="str">
        <f>RIGHT(LEFT(Table1[[#This Row],[تاریخ پایان توقف]],10),2)</f>
        <v>17</v>
      </c>
      <c r="V11" s="3">
        <f>HOUR(Table1[[#This Row],[زمان پایان توقف]])</f>
        <v>12</v>
      </c>
      <c r="W11" s="3">
        <f>MINUTE(Table1[[#This Row],[زمان پایان توقف]])</f>
        <v>2</v>
      </c>
      <c r="X1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737794802</v>
      </c>
      <c r="Y11" s="38" t="s">
        <v>110</v>
      </c>
      <c r="Z11" s="83">
        <f>IFERROR((IF(Table1[[#This Row],[تاریخ پایان توقف]]&lt;&gt;"",Table1[[#This Row],[زمان رفع توقف]]-Table1[[#This Row],[زمان توقف]],"")/60),"")</f>
        <v>74.466666666666669</v>
      </c>
      <c r="AA11" s="3">
        <f>VLOOKUP(E11,Table4[],4,0)</f>
        <v>24</v>
      </c>
      <c r="AB11" s="3">
        <f>VLOOKUP(E11,Table4[],5,0)</f>
        <v>0.2</v>
      </c>
      <c r="AC11" s="3">
        <v>360</v>
      </c>
      <c r="AD11" s="3">
        <f>VLOOKUP(E11,Table4[],7,0)</f>
        <v>720</v>
      </c>
      <c r="AE11" s="83" t="str">
        <f>IF(Table1[[#This Row],[زمان آخرین رفع توقف قبل از توقف فعلی]]="","",(Table1[[#This Row],[زمان توقف]]-Table1[[#This Row],[زمان آخرین رفع توقف قبل از توقف فعلی]])/60)</f>
        <v/>
      </c>
      <c r="AF11"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2" spans="1:32">
      <c r="A12" s="36">
        <v>13</v>
      </c>
      <c r="B12" s="36" t="s">
        <v>97</v>
      </c>
      <c r="C12" s="36" t="s">
        <v>111</v>
      </c>
      <c r="D12" s="36" t="s">
        <v>42</v>
      </c>
      <c r="E12" s="85" t="s">
        <v>65</v>
      </c>
      <c r="F12" s="36" t="s">
        <v>12</v>
      </c>
      <c r="G12" s="57" t="s">
        <v>108</v>
      </c>
      <c r="H12" s="53">
        <v>0.4368055555555555</v>
      </c>
      <c r="I12" s="6" t="str">
        <f>LEFT(Table1[[#This Row],[تاریخ توقف]],4)</f>
        <v>1403</v>
      </c>
      <c r="J12" s="6" t="str">
        <f>VLOOKUP(Table1[[#This Row],[ماه توقف]],Table2[],3,0)</f>
        <v>پاییز</v>
      </c>
      <c r="K12" s="3">
        <f>_xlfn.NUMBERVALUE(RIGHT(LEFT(Table1[[#This Row],[تاریخ توقف]],7),2))</f>
        <v>9</v>
      </c>
      <c r="L12" s="3" t="str">
        <f>RIGHT(LEFT(Table1[[#This Row],[تاریخ توقف]],10),2)</f>
        <v>14</v>
      </c>
      <c r="M12" s="3">
        <f>HOUR(Table1[[#This Row],[زمان شروع توقف]])</f>
        <v>10</v>
      </c>
      <c r="N12" s="3">
        <f>MINUTE(Table1[[#This Row],[زمان شروع توقف]])</f>
        <v>29</v>
      </c>
      <c r="O12" s="3">
        <f>((Table1[[#This Row],[سال توقف]]*365+IF(Table1[[#This Row],[ماه توقف]]&lt;7,(Table1[[#This Row],[ماه توقف]]-1)*31,6*31+(Table1[[#This Row],[ماه توقف]]-6-1)*30)+(Table1[[#This Row],[روز توقف]])-1)*24+Table1[[#This Row],[ساعت توقف2]])*60+Table1[[#This Row],[دقیقه توقف]]</f>
        <v>737790389</v>
      </c>
      <c r="P12" s="57" t="s">
        <v>108</v>
      </c>
      <c r="Q12" s="53">
        <v>0.45833333333333331</v>
      </c>
      <c r="R12" s="3" t="str">
        <f>LEFT(Table1[[#This Row],[تاریخ پایان توقف]],4)</f>
        <v>1403</v>
      </c>
      <c r="S12" s="3" t="str">
        <f>_xlfn.IFNA(VLOOKUP(Table1[[#This Row],[ماه رفع توقف]],Table2[],3,0),"در حال تعمیر")</f>
        <v>پاییز</v>
      </c>
      <c r="T12" s="3">
        <f>_xlfn.NUMBERVALUE(RIGHT(LEFT(Table1[[#This Row],[تاریخ پایان توقف]],7),2))</f>
        <v>9</v>
      </c>
      <c r="U12" s="3" t="str">
        <f>RIGHT(LEFT(Table1[[#This Row],[تاریخ پایان توقف]],10),2)</f>
        <v>14</v>
      </c>
      <c r="V12" s="3">
        <f>HOUR(Table1[[#This Row],[زمان پایان توقف]])</f>
        <v>11</v>
      </c>
      <c r="W12" s="3">
        <f>MINUTE(Table1[[#This Row],[زمان پایان توقف]])</f>
        <v>0</v>
      </c>
      <c r="X1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737790420</v>
      </c>
      <c r="Y12" s="38" t="s">
        <v>112</v>
      </c>
      <c r="Z12" s="83">
        <f>IFERROR((IF(Table1[[#This Row],[تاریخ پایان توقف]]&lt;&gt;"",Table1[[#This Row],[زمان رفع توقف]]-Table1[[#This Row],[زمان توقف]],"")/60),"")</f>
        <v>0.51666666666666672</v>
      </c>
      <c r="AA12" s="3">
        <f>VLOOKUP(E12,Table4[],4,0)</f>
        <v>24</v>
      </c>
      <c r="AB12" s="3">
        <f>VLOOKUP(E12,Table4[],5,0)</f>
        <v>0.2</v>
      </c>
      <c r="AC12" s="3">
        <v>360</v>
      </c>
      <c r="AD12" s="3">
        <f>VLOOKUP(E12,Table4[],7,0)</f>
        <v>720</v>
      </c>
      <c r="AE12" s="83" t="str">
        <f>IF(Table1[[#This Row],[زمان آخرین رفع توقف قبل از توقف فعلی]]="","",(Table1[[#This Row],[زمان توقف]]-Table1[[#This Row],[زمان آخرین رفع توقف قبل از توقف فعلی]])/60)</f>
        <v/>
      </c>
      <c r="AF12"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3" spans="1:32">
      <c r="A13" s="36">
        <v>14</v>
      </c>
      <c r="B13" s="36" t="s">
        <v>97</v>
      </c>
      <c r="C13" s="36" t="s">
        <v>113</v>
      </c>
      <c r="D13" s="36" t="s">
        <v>41</v>
      </c>
      <c r="E13" s="85" t="s">
        <v>64</v>
      </c>
      <c r="F13" s="36" t="s">
        <v>12</v>
      </c>
      <c r="G13" s="57" t="s">
        <v>109</v>
      </c>
      <c r="H13" s="53">
        <v>0.46111111111111108</v>
      </c>
      <c r="I13" s="6" t="str">
        <f>LEFT(Table1[[#This Row],[تاریخ توقف]],4)</f>
        <v>1403</v>
      </c>
      <c r="J13" s="6" t="str">
        <f>VLOOKUP(Table1[[#This Row],[ماه توقف]],Table2[],3,0)</f>
        <v>پاییز</v>
      </c>
      <c r="K13" s="3">
        <f>_xlfn.NUMBERVALUE(RIGHT(LEFT(Table1[[#This Row],[تاریخ توقف]],7),2))</f>
        <v>9</v>
      </c>
      <c r="L13" s="3" t="str">
        <f>RIGHT(LEFT(Table1[[#This Row],[تاریخ توقف]],10),2)</f>
        <v>17</v>
      </c>
      <c r="M13" s="3">
        <f>HOUR(Table1[[#This Row],[زمان شروع توقف]])</f>
        <v>11</v>
      </c>
      <c r="N13" s="3">
        <f>MINUTE(Table1[[#This Row],[زمان شروع توقف]])</f>
        <v>4</v>
      </c>
      <c r="O13" s="3">
        <f>((Table1[[#This Row],[سال توقف]]*365+IF(Table1[[#This Row],[ماه توقف]]&lt;7,(Table1[[#This Row],[ماه توقف]]-1)*31,6*31+(Table1[[#This Row],[ماه توقف]]-6-1)*30)+(Table1[[#This Row],[روز توقف]])-1)*24+Table1[[#This Row],[ساعت توقف2]])*60+Table1[[#This Row],[دقیقه توقف]]</f>
        <v>737794744</v>
      </c>
      <c r="P13" s="57" t="s">
        <v>109</v>
      </c>
      <c r="Q13" s="53">
        <v>0.46180555555555558</v>
      </c>
      <c r="R13" s="3" t="str">
        <f>LEFT(Table1[[#This Row],[تاریخ پایان توقف]],4)</f>
        <v>1403</v>
      </c>
      <c r="S13" s="3" t="str">
        <f>_xlfn.IFNA(VLOOKUP(Table1[[#This Row],[ماه رفع توقف]],Table2[],3,0),"در حال تعمیر")</f>
        <v>پاییز</v>
      </c>
      <c r="T13" s="3">
        <f>_xlfn.NUMBERVALUE(RIGHT(LEFT(Table1[[#This Row],[تاریخ پایان توقف]],7),2))</f>
        <v>9</v>
      </c>
      <c r="U13" s="3" t="str">
        <f>RIGHT(LEFT(Table1[[#This Row],[تاریخ پایان توقف]],10),2)</f>
        <v>17</v>
      </c>
      <c r="V13" s="3">
        <f>HOUR(Table1[[#This Row],[زمان پایان توقف]])</f>
        <v>11</v>
      </c>
      <c r="W13" s="3">
        <f>MINUTE(Table1[[#This Row],[زمان پایان توقف]])</f>
        <v>5</v>
      </c>
      <c r="X1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737794745</v>
      </c>
      <c r="Y13" s="38" t="s">
        <v>114</v>
      </c>
      <c r="Z13" s="83">
        <f>IFERROR((IF(Table1[[#This Row],[تاریخ پایان توقف]]&lt;&gt;"",Table1[[#This Row],[زمان رفع توقف]]-Table1[[#This Row],[زمان توقف]],"")/60),"")</f>
        <v>1.6666666666666666E-2</v>
      </c>
      <c r="AA13" s="3">
        <f>VLOOKUP(E13,Table4[],4,0)</f>
        <v>24</v>
      </c>
      <c r="AB13" s="3">
        <f>VLOOKUP(E13,Table4[],5,0)</f>
        <v>0.2</v>
      </c>
      <c r="AC13" s="3">
        <v>360</v>
      </c>
      <c r="AD13" s="3">
        <f>VLOOKUP(E13,Table4[],7,0)</f>
        <v>720</v>
      </c>
      <c r="AE13" s="83" t="str">
        <f>IF(Table1[[#This Row],[زمان آخرین رفع توقف قبل از توقف فعلی]]="","",(Table1[[#This Row],[زمان توقف]]-Table1[[#This Row],[زمان آخرین رفع توقف قبل از توقف فعلی]])/60)</f>
        <v/>
      </c>
      <c r="AF13"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4" spans="1:32">
      <c r="A14" s="36">
        <v>15</v>
      </c>
      <c r="B14" s="36" t="s">
        <v>97</v>
      </c>
      <c r="C14" s="36" t="s">
        <v>47</v>
      </c>
      <c r="D14" s="36" t="s">
        <v>40</v>
      </c>
      <c r="E14" s="85" t="s">
        <v>62</v>
      </c>
      <c r="F14" s="36" t="s">
        <v>12</v>
      </c>
      <c r="G14" s="57" t="s">
        <v>125</v>
      </c>
      <c r="H14" s="53">
        <v>2.5694444444444447E-2</v>
      </c>
      <c r="I14" s="6" t="str">
        <f>LEFT(Table1[[#This Row],[تاریخ توقف]],4)</f>
        <v>1403</v>
      </c>
      <c r="J14" s="6" t="str">
        <f>VLOOKUP(Table1[[#This Row],[ماه توقف]],Table2[],3,0)</f>
        <v>پاییز</v>
      </c>
      <c r="K14" s="3">
        <f>_xlfn.NUMBERVALUE(RIGHT(LEFT(Table1[[#This Row],[تاریخ توقف]],7),2))</f>
        <v>9</v>
      </c>
      <c r="L14" s="3" t="str">
        <f>RIGHT(LEFT(Table1[[#This Row],[تاریخ توقف]],10),2)</f>
        <v>19</v>
      </c>
      <c r="M14" s="3">
        <f>HOUR(Table1[[#This Row],[زمان شروع توقف]])</f>
        <v>0</v>
      </c>
      <c r="N14" s="3">
        <f>MINUTE(Table1[[#This Row],[زمان شروع توقف]])</f>
        <v>37</v>
      </c>
      <c r="O14" s="3">
        <f>((Table1[[#This Row],[سال توقف]]*365+IF(Table1[[#This Row],[ماه توقف]]&lt;7,(Table1[[#This Row],[ماه توقف]]-1)*31,6*31+(Table1[[#This Row],[ماه توقف]]-6-1)*30)+(Table1[[#This Row],[روز توقف]])-1)*24+Table1[[#This Row],[ساعت توقف2]])*60+Table1[[#This Row],[دقیقه توقف]]</f>
        <v>737796997</v>
      </c>
      <c r="P14" s="57" t="s">
        <v>125</v>
      </c>
      <c r="Q14" s="53">
        <v>9.0277777777777776E-2</v>
      </c>
      <c r="R14" s="3" t="str">
        <f>LEFT(Table1[[#This Row],[تاریخ پایان توقف]],4)</f>
        <v>1403</v>
      </c>
      <c r="S14" s="3" t="str">
        <f>_xlfn.IFNA(VLOOKUP(Table1[[#This Row],[ماه رفع توقف]],Table2[],3,0),"در حال تعمیر")</f>
        <v>پاییز</v>
      </c>
      <c r="T14" s="3">
        <f>_xlfn.NUMBERVALUE(RIGHT(LEFT(Table1[[#This Row],[تاریخ پایان توقف]],7),2))</f>
        <v>9</v>
      </c>
      <c r="U14" s="3" t="str">
        <f>RIGHT(LEFT(Table1[[#This Row],[تاریخ پایان توقف]],10),2)</f>
        <v>19</v>
      </c>
      <c r="V14" s="3">
        <f>HOUR(Table1[[#This Row],[زمان پایان توقف]])</f>
        <v>2</v>
      </c>
      <c r="W14" s="3">
        <f>MINUTE(Table1[[#This Row],[زمان پایان توقف]])</f>
        <v>10</v>
      </c>
      <c r="X1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737797090</v>
      </c>
      <c r="Y14" s="38" t="s">
        <v>126</v>
      </c>
      <c r="Z14" s="83">
        <f>IFERROR((IF(Table1[[#This Row],[تاریخ پایان توقف]]&lt;&gt;"",Table1[[#This Row],[زمان رفع توقف]]-Table1[[#This Row],[زمان توقف]],"")/60),"")</f>
        <v>1.55</v>
      </c>
      <c r="AA14" s="3">
        <f>VLOOKUP(E14,Table4[],4,0)</f>
        <v>24</v>
      </c>
      <c r="AB14" s="3">
        <f>VLOOKUP(E14,Table4[],5,0)</f>
        <v>0.2</v>
      </c>
      <c r="AC14" s="3">
        <v>360</v>
      </c>
      <c r="AD14" s="3">
        <f>VLOOKUP(E14,Table4[],7,0)</f>
        <v>720</v>
      </c>
      <c r="AE14" s="83" t="str">
        <f>IF(Table1[[#This Row],[زمان آخرین رفع توقف قبل از توقف فعلی]]="","",(Table1[[#This Row],[زمان توقف]]-Table1[[#This Row],[زمان آخرین رفع توقف قبل از توقف فعلی]])/60)</f>
        <v/>
      </c>
      <c r="AF14"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5" spans="1:32">
      <c r="A15" s="36">
        <v>16</v>
      </c>
      <c r="B15" s="36" t="s">
        <v>97</v>
      </c>
      <c r="C15" s="36" t="s">
        <v>47</v>
      </c>
      <c r="D15" s="36" t="s">
        <v>40</v>
      </c>
      <c r="E15" s="85" t="s">
        <v>127</v>
      </c>
      <c r="F15" s="36" t="s">
        <v>12</v>
      </c>
      <c r="G15" s="57" t="s">
        <v>125</v>
      </c>
      <c r="H15" s="53">
        <v>0.31527777777777777</v>
      </c>
      <c r="I15" s="6" t="str">
        <f>LEFT(Table1[[#This Row],[تاریخ توقف]],4)</f>
        <v>1403</v>
      </c>
      <c r="J15" s="6" t="str">
        <f>VLOOKUP(Table1[[#This Row],[ماه توقف]],Table2[],3,0)</f>
        <v>پاییز</v>
      </c>
      <c r="K15" s="3">
        <f>_xlfn.NUMBERVALUE(RIGHT(LEFT(Table1[[#This Row],[تاریخ توقف]],7),2))</f>
        <v>9</v>
      </c>
      <c r="L15" s="3" t="str">
        <f>RIGHT(LEFT(Table1[[#This Row],[تاریخ توقف]],10),2)</f>
        <v>19</v>
      </c>
      <c r="M15" s="3">
        <f>HOUR(Table1[[#This Row],[زمان شروع توقف]])</f>
        <v>7</v>
      </c>
      <c r="N15" s="3">
        <f>MINUTE(Table1[[#This Row],[زمان شروع توقف]])</f>
        <v>34</v>
      </c>
      <c r="O15" s="3">
        <f>((Table1[[#This Row],[سال توقف]]*365+IF(Table1[[#This Row],[ماه توقف]]&lt;7,(Table1[[#This Row],[ماه توقف]]-1)*31,6*31+(Table1[[#This Row],[ماه توقف]]-6-1)*30)+(Table1[[#This Row],[روز توقف]])-1)*24+Table1[[#This Row],[ساعت توقف2]])*60+Table1[[#This Row],[دقیقه توقف]]</f>
        <v>737797414</v>
      </c>
      <c r="P15" s="57" t="s">
        <v>125</v>
      </c>
      <c r="Q15" s="53">
        <v>0.33333333333333331</v>
      </c>
      <c r="R15" s="3" t="str">
        <f>LEFT(Table1[[#This Row],[تاریخ پایان توقف]],4)</f>
        <v>1403</v>
      </c>
      <c r="S15" s="3" t="str">
        <f>_xlfn.IFNA(VLOOKUP(Table1[[#This Row],[ماه رفع توقف]],Table2[],3,0),"در حال تعمیر")</f>
        <v>پاییز</v>
      </c>
      <c r="T15" s="3">
        <f>_xlfn.NUMBERVALUE(RIGHT(LEFT(Table1[[#This Row],[تاریخ پایان توقف]],7),2))</f>
        <v>9</v>
      </c>
      <c r="U15" s="3" t="str">
        <f>RIGHT(LEFT(Table1[[#This Row],[تاریخ پایان توقف]],10),2)</f>
        <v>19</v>
      </c>
      <c r="V15" s="3">
        <f>HOUR(Table1[[#This Row],[زمان پایان توقف]])</f>
        <v>8</v>
      </c>
      <c r="W15" s="3">
        <f>MINUTE(Table1[[#This Row],[زمان پایان توقف]])</f>
        <v>0</v>
      </c>
      <c r="X1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737797440</v>
      </c>
      <c r="Y15" s="38"/>
      <c r="Z15" s="83">
        <f>IFERROR((IF(Table1[[#This Row],[تاریخ پایان توقف]]&lt;&gt;"",Table1[[#This Row],[زمان رفع توقف]]-Table1[[#This Row],[زمان توقف]],"")/60),"")</f>
        <v>0.43333333333333335</v>
      </c>
      <c r="AA15" s="3" t="e">
        <f>VLOOKUP(E15,Table4[],4,0)</f>
        <v>#N/A</v>
      </c>
      <c r="AB15" s="3" t="e">
        <f>VLOOKUP(E15,Table4[],5,0)</f>
        <v>#N/A</v>
      </c>
      <c r="AC15" s="3">
        <v>360</v>
      </c>
      <c r="AD15" s="3" t="e">
        <f>VLOOKUP(E15,Table4[],7,0)</f>
        <v>#N/A</v>
      </c>
      <c r="AE15" s="83" t="str">
        <f>IF(Table1[[#This Row],[زمان آخرین رفع توقف قبل از توقف فعلی]]="","",(Table1[[#This Row],[زمان توقف]]-Table1[[#This Row],[زمان آخرین رفع توقف قبل از توقف فعلی]])/60)</f>
        <v/>
      </c>
      <c r="AF1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6" spans="1:32">
      <c r="A16" s="36">
        <v>17</v>
      </c>
      <c r="B16" s="36" t="s">
        <v>75</v>
      </c>
      <c r="C16" s="36" t="s">
        <v>50</v>
      </c>
      <c r="D16" s="36" t="s">
        <v>45</v>
      </c>
      <c r="E16" s="85" t="s">
        <v>374</v>
      </c>
      <c r="F16" s="36" t="s">
        <v>12</v>
      </c>
      <c r="G16" s="57" t="s">
        <v>131</v>
      </c>
      <c r="H16" s="53">
        <v>0.65972222222222221</v>
      </c>
      <c r="I16" s="6" t="str">
        <f>LEFT(Table1[[#This Row],[تاریخ توقف]],4)</f>
        <v>1403</v>
      </c>
      <c r="J16" s="6" t="str">
        <f>VLOOKUP(Table1[[#This Row],[ماه توقف]],Table2[],3,0)</f>
        <v>پاییز</v>
      </c>
      <c r="K16" s="3">
        <f>_xlfn.NUMBERVALUE(RIGHT(LEFT(Table1[[#This Row],[تاریخ توقف]],7),2))</f>
        <v>9</v>
      </c>
      <c r="L16" s="3" t="str">
        <f>RIGHT(LEFT(Table1[[#This Row],[تاریخ توقف]],10),2)</f>
        <v>26</v>
      </c>
      <c r="M16" s="3">
        <f>HOUR(Table1[[#This Row],[زمان شروع توقف]])</f>
        <v>15</v>
      </c>
      <c r="N16" s="3">
        <f>MINUTE(Table1[[#This Row],[زمان شروع توقف]])</f>
        <v>50</v>
      </c>
      <c r="O16" s="3">
        <f>((Table1[[#This Row],[سال توقف]]*365+IF(Table1[[#This Row],[ماه توقف]]&lt;7,(Table1[[#This Row],[ماه توقف]]-1)*31,6*31+(Table1[[#This Row],[ماه توقف]]-6-1)*30)+(Table1[[#This Row],[روز توقف]])-1)*24+Table1[[#This Row],[ساعت توقف2]])*60+Table1[[#This Row],[دقیقه توقف]]</f>
        <v>737807990</v>
      </c>
      <c r="P16" s="57" t="s">
        <v>132</v>
      </c>
      <c r="Q16" s="53">
        <v>0.40625</v>
      </c>
      <c r="R16" s="3" t="str">
        <f>LEFT(Table1[[#This Row],[تاریخ پایان توقف]],4)</f>
        <v>1403</v>
      </c>
      <c r="S16" s="3" t="str">
        <f>_xlfn.IFNA(VLOOKUP(Table1[[#This Row],[ماه رفع توقف]],Table2[],3,0),"در حال تعمیر")</f>
        <v>پاییز</v>
      </c>
      <c r="T16" s="3">
        <f>_xlfn.NUMBERVALUE(RIGHT(LEFT(Table1[[#This Row],[تاریخ پایان توقف]],7),2))</f>
        <v>9</v>
      </c>
      <c r="U16" s="3" t="str">
        <f>RIGHT(LEFT(Table1[[#This Row],[تاریخ پایان توقف]],10),2)</f>
        <v>27</v>
      </c>
      <c r="V16" s="3">
        <f>HOUR(Table1[[#This Row],[زمان پایان توقف]])</f>
        <v>9</v>
      </c>
      <c r="W16" s="3">
        <f>MINUTE(Table1[[#This Row],[زمان پایان توقف]])</f>
        <v>45</v>
      </c>
      <c r="X1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737809065</v>
      </c>
      <c r="Y16" s="38" t="s">
        <v>133</v>
      </c>
      <c r="Z16" s="83">
        <f>IFERROR((IF(Table1[[#This Row],[تاریخ پایان توقف]]&lt;&gt;"",Table1[[#This Row],[زمان رفع توقف]]-Table1[[#This Row],[زمان توقف]],"")/60),"")</f>
        <v>17.916666666666668</v>
      </c>
      <c r="AA16" s="3">
        <f>VLOOKUP(E16,Table4[],4,0)</f>
        <v>24</v>
      </c>
      <c r="AB16" s="3">
        <f>VLOOKUP(E16,Table4[],5,0)</f>
        <v>0.2</v>
      </c>
      <c r="AC16" s="3">
        <v>360</v>
      </c>
      <c r="AD16" s="3">
        <f>VLOOKUP(E16,Table4[],7,0)</f>
        <v>720</v>
      </c>
      <c r="AE16" s="83" t="str">
        <f>IF(Table1[[#This Row],[زمان آخرین رفع توقف قبل از توقف فعلی]]="","",(Table1[[#This Row],[زمان توقف]]-Table1[[#This Row],[زمان آخرین رفع توقف قبل از توقف فعلی]])/60)</f>
        <v/>
      </c>
      <c r="AF16"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7" spans="1:32">
      <c r="A17" s="36">
        <v>18</v>
      </c>
      <c r="B17" s="36" t="s">
        <v>97</v>
      </c>
      <c r="C17" s="36" t="s">
        <v>46</v>
      </c>
      <c r="D17" s="36" t="s">
        <v>34</v>
      </c>
      <c r="E17" s="85" t="s">
        <v>53</v>
      </c>
      <c r="F17" s="36" t="s">
        <v>12</v>
      </c>
      <c r="G17" s="57" t="s">
        <v>87</v>
      </c>
      <c r="H17" s="53">
        <v>0.3444444444444445</v>
      </c>
      <c r="I17" s="6" t="str">
        <f>LEFT(Table1[[#This Row],[تاریخ توقف]],4)</f>
        <v>1403</v>
      </c>
      <c r="J17" s="6" t="str">
        <f>VLOOKUP(Table1[[#This Row],[ماه توقف]],Table2[],3,0)</f>
        <v>پاییز</v>
      </c>
      <c r="K17" s="3">
        <f>_xlfn.NUMBERVALUE(RIGHT(LEFT(Table1[[#This Row],[تاریخ توقف]],7),2))</f>
        <v>9</v>
      </c>
      <c r="L17" s="3" t="str">
        <f>RIGHT(LEFT(Table1[[#This Row],[تاریخ توقف]],10),2)</f>
        <v>29</v>
      </c>
      <c r="M17" s="3">
        <f>HOUR(Table1[[#This Row],[زمان شروع توقف]])</f>
        <v>8</v>
      </c>
      <c r="N17" s="3">
        <f>MINUTE(Table1[[#This Row],[زمان شروع توقف]])</f>
        <v>16</v>
      </c>
      <c r="O17" s="3">
        <f>((Table1[[#This Row],[سال توقف]]*365+IF(Table1[[#This Row],[ماه توقف]]&lt;7,(Table1[[#This Row],[ماه توقف]]-1)*31,6*31+(Table1[[#This Row],[ماه توقف]]-6-1)*30)+(Table1[[#This Row],[روز توقف]])-1)*24+Table1[[#This Row],[ساعت توقف2]])*60+Table1[[#This Row],[دقیقه توقف]]</f>
        <v>737811856</v>
      </c>
      <c r="P17" s="57" t="s">
        <v>86</v>
      </c>
      <c r="Q17" s="53">
        <v>6.25E-2</v>
      </c>
      <c r="R17" s="3" t="str">
        <f>LEFT(Table1[[#This Row],[تاریخ پایان توقف]],4)</f>
        <v>1403</v>
      </c>
      <c r="S17" s="3" t="str">
        <f>_xlfn.IFNA(VLOOKUP(Table1[[#This Row],[ماه رفع توقف]],Table2[],3,0),"در حال تعمیر")</f>
        <v>پاییز</v>
      </c>
      <c r="T17" s="3">
        <f>_xlfn.NUMBERVALUE(RIGHT(LEFT(Table1[[#This Row],[تاریخ پایان توقف]],7),2))</f>
        <v>9</v>
      </c>
      <c r="U17" s="3" t="str">
        <f>RIGHT(LEFT(Table1[[#This Row],[تاریخ پایان توقف]],10),2)</f>
        <v>30</v>
      </c>
      <c r="V17" s="3">
        <f>HOUR(Table1[[#This Row],[زمان پایان توقف]])</f>
        <v>1</v>
      </c>
      <c r="W17" s="3">
        <f>MINUTE(Table1[[#This Row],[زمان پایان توقف]])</f>
        <v>30</v>
      </c>
      <c r="X1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737812890</v>
      </c>
      <c r="Y17" s="38" t="s">
        <v>94</v>
      </c>
      <c r="Z17" s="83">
        <f>IFERROR((IF(Table1[[#This Row],[تاریخ پایان توقف]]&lt;&gt;"",Table1[[#This Row],[زمان رفع توقف]]-Table1[[#This Row],[زمان توقف]],"")/60),"")</f>
        <v>17.233333333333334</v>
      </c>
      <c r="AA17" s="3">
        <f>VLOOKUP(E17,Table4[],4,0)</f>
        <v>24</v>
      </c>
      <c r="AB17" s="3">
        <f>VLOOKUP(E17,Table4[],5,0)</f>
        <v>0.2</v>
      </c>
      <c r="AC17" s="3">
        <v>360</v>
      </c>
      <c r="AD17" s="3">
        <f>VLOOKUP(E17,Table4[],7,0)</f>
        <v>720</v>
      </c>
      <c r="AE17" s="83" t="str">
        <f>IF(Table1[[#This Row],[زمان آخرین رفع توقف قبل از توقف فعلی]]="","",(Table1[[#This Row],[زمان توقف]]-Table1[[#This Row],[زمان آخرین رفع توقف قبل از توقف فعلی]])/60)</f>
        <v/>
      </c>
      <c r="AF1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8" spans="1:32">
      <c r="A18" s="36">
        <v>19</v>
      </c>
      <c r="B18" s="36" t="s">
        <v>97</v>
      </c>
      <c r="C18" s="36" t="s">
        <v>47</v>
      </c>
      <c r="D18" s="36" t="s">
        <v>40</v>
      </c>
      <c r="E18" s="85" t="s">
        <v>62</v>
      </c>
      <c r="F18" s="36" t="s">
        <v>12</v>
      </c>
      <c r="G18" s="57" t="s">
        <v>86</v>
      </c>
      <c r="H18" s="53">
        <v>0.5541666666666667</v>
      </c>
      <c r="I18" s="6" t="str">
        <f>LEFT(Table1[[#This Row],[تاریخ توقف]],4)</f>
        <v>1403</v>
      </c>
      <c r="J18" s="6" t="str">
        <f>VLOOKUP(Table1[[#This Row],[ماه توقف]],Table2[],3,0)</f>
        <v>پاییز</v>
      </c>
      <c r="K18" s="3">
        <f>_xlfn.NUMBERVALUE(RIGHT(LEFT(Table1[[#This Row],[تاریخ توقف]],7),2))</f>
        <v>9</v>
      </c>
      <c r="L18" s="3" t="str">
        <f>RIGHT(LEFT(Table1[[#This Row],[تاریخ توقف]],10),2)</f>
        <v>30</v>
      </c>
      <c r="M18" s="3">
        <f>HOUR(Table1[[#This Row],[زمان شروع توقف]])</f>
        <v>13</v>
      </c>
      <c r="N18" s="3">
        <f>MINUTE(Table1[[#This Row],[زمان شروع توقف]])</f>
        <v>18</v>
      </c>
      <c r="O18" s="3">
        <f>((Table1[[#This Row],[سال توقف]]*365+IF(Table1[[#This Row],[ماه توقف]]&lt;7,(Table1[[#This Row],[ماه توقف]]-1)*31,6*31+(Table1[[#This Row],[ماه توقف]]-6-1)*30)+(Table1[[#This Row],[روز توقف]])-1)*24+Table1[[#This Row],[ساعت توقف2]])*60+Table1[[#This Row],[دقیقه توقف]]</f>
        <v>737813598</v>
      </c>
      <c r="P18" s="57" t="s">
        <v>86</v>
      </c>
      <c r="Q18" s="53">
        <v>0.88888888888888884</v>
      </c>
      <c r="R18" s="3" t="str">
        <f>LEFT(Table1[[#This Row],[تاریخ پایان توقف]],4)</f>
        <v>1403</v>
      </c>
      <c r="S18" s="3" t="str">
        <f>_xlfn.IFNA(VLOOKUP(Table1[[#This Row],[ماه رفع توقف]],Table2[],3,0),"در حال تعمیر")</f>
        <v>پاییز</v>
      </c>
      <c r="T18" s="3">
        <f>_xlfn.NUMBERVALUE(RIGHT(LEFT(Table1[[#This Row],[تاریخ پایان توقف]],7),2))</f>
        <v>9</v>
      </c>
      <c r="U18" s="3" t="str">
        <f>RIGHT(LEFT(Table1[[#This Row],[تاریخ پایان توقف]],10),2)</f>
        <v>30</v>
      </c>
      <c r="V18" s="3">
        <f>HOUR(Table1[[#This Row],[زمان پایان توقف]])</f>
        <v>21</v>
      </c>
      <c r="W18" s="3">
        <f>MINUTE(Table1[[#This Row],[زمان پایان توقف]])</f>
        <v>20</v>
      </c>
      <c r="X1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737814080</v>
      </c>
      <c r="Y18" s="38" t="s">
        <v>95</v>
      </c>
      <c r="Z18" s="83">
        <f>IFERROR((IF(Table1[[#This Row],[تاریخ پایان توقف]]&lt;&gt;"",Table1[[#This Row],[زمان رفع توقف]]-Table1[[#This Row],[زمان توقف]],"")/60),"")</f>
        <v>8.0333333333333332</v>
      </c>
      <c r="AA18" s="3">
        <f>VLOOKUP(E18,Table4[],4,0)</f>
        <v>24</v>
      </c>
      <c r="AB18" s="3">
        <f>VLOOKUP(E18,Table4[],5,0)</f>
        <v>0.2</v>
      </c>
      <c r="AC18" s="3">
        <v>360</v>
      </c>
      <c r="AD18" s="3">
        <f>VLOOKUP(E18,Table4[],7,0)</f>
        <v>720</v>
      </c>
      <c r="AE18" s="83">
        <f>IF(Table1[[#This Row],[زمان آخرین رفع توقف قبل از توقف فعلی]]="","",(Table1[[#This Row],[زمان توقف]]-Table1[[#This Row],[زمان آخرین رفع توقف قبل از توقف فعلی]])/60)</f>
        <v>275.13333333333333</v>
      </c>
      <c r="AF1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737797090</v>
      </c>
    </row>
    <row r="19" spans="1:32">
      <c r="A19" s="36">
        <v>20</v>
      </c>
      <c r="B19" s="36" t="s">
        <v>97</v>
      </c>
      <c r="C19" s="36" t="s">
        <v>134</v>
      </c>
      <c r="D19" s="36" t="s">
        <v>36</v>
      </c>
      <c r="E19" s="85" t="s">
        <v>56</v>
      </c>
      <c r="F19" s="36" t="s">
        <v>12</v>
      </c>
      <c r="G19" s="57" t="s">
        <v>135</v>
      </c>
      <c r="H19" s="53">
        <v>0.4770833333333333</v>
      </c>
      <c r="I19" s="6" t="str">
        <f>LEFT(Table1[[#This Row],[تاریخ توقف]],4)</f>
        <v>1403</v>
      </c>
      <c r="J19" s="6" t="str">
        <f>VLOOKUP(Table1[[#This Row],[ماه توقف]],Table2[],3,0)</f>
        <v>زمستان</v>
      </c>
      <c r="K19" s="3">
        <f>_xlfn.NUMBERVALUE(RIGHT(LEFT(Table1[[#This Row],[تاریخ توقف]],7),2))</f>
        <v>10</v>
      </c>
      <c r="L19" s="3" t="str">
        <f>RIGHT(LEFT(Table1[[#This Row],[تاریخ توقف]],10),2)</f>
        <v>03</v>
      </c>
      <c r="M19" s="3">
        <f>HOUR(Table1[[#This Row],[زمان شروع توقف]])</f>
        <v>11</v>
      </c>
      <c r="N19" s="3">
        <f>MINUTE(Table1[[#This Row],[زمان شروع توقف]])</f>
        <v>27</v>
      </c>
      <c r="O19" s="3">
        <f>((Table1[[#This Row],[سال توقف]]*365+IF(Table1[[#This Row],[ماه توقف]]&lt;7,(Table1[[#This Row],[ماه توقف]]-1)*31,6*31+(Table1[[#This Row],[ماه توقف]]-6-1)*30)+(Table1[[#This Row],[روز توقف]])-1)*24+Table1[[#This Row],[ساعت توقف2]])*60+Table1[[#This Row],[دقیقه توقف]]</f>
        <v>737817807</v>
      </c>
      <c r="P19" s="57" t="s">
        <v>135</v>
      </c>
      <c r="Q19" s="53">
        <v>0.53611111111111109</v>
      </c>
      <c r="R19" s="3" t="str">
        <f>LEFT(Table1[[#This Row],[تاریخ پایان توقف]],4)</f>
        <v>1403</v>
      </c>
      <c r="S19" s="3" t="str">
        <f>_xlfn.IFNA(VLOOKUP(Table1[[#This Row],[ماه رفع توقف]],Table2[],3,0),"در حال تعمیر")</f>
        <v>زمستان</v>
      </c>
      <c r="T19" s="3">
        <f>_xlfn.NUMBERVALUE(RIGHT(LEFT(Table1[[#This Row],[تاریخ پایان توقف]],7),2))</f>
        <v>10</v>
      </c>
      <c r="U19" s="3" t="str">
        <f>RIGHT(LEFT(Table1[[#This Row],[تاریخ پایان توقف]],10),2)</f>
        <v>03</v>
      </c>
      <c r="V19" s="3">
        <f>HOUR(Table1[[#This Row],[زمان پایان توقف]])</f>
        <v>12</v>
      </c>
      <c r="W19" s="3">
        <f>MINUTE(Table1[[#This Row],[زمان پایان توقف]])</f>
        <v>52</v>
      </c>
      <c r="X1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737817892</v>
      </c>
      <c r="Y19" s="38" t="s">
        <v>136</v>
      </c>
      <c r="Z19" s="83">
        <f>IFERROR((IF(Table1[[#This Row],[تاریخ پایان توقف]]&lt;&gt;"",Table1[[#This Row],[زمان رفع توقف]]-Table1[[#This Row],[زمان توقف]],"")/60),"")</f>
        <v>1.4166666666666667</v>
      </c>
      <c r="AA19" s="3">
        <f>VLOOKUP(E19,Table4[],4,0)</f>
        <v>24</v>
      </c>
      <c r="AB19" s="3">
        <f>VLOOKUP(E19,Table4[],5,0)</f>
        <v>0.2</v>
      </c>
      <c r="AC19" s="3">
        <v>360</v>
      </c>
      <c r="AD19" s="3">
        <f>VLOOKUP(E19,Table4[],7,0)</f>
        <v>720</v>
      </c>
      <c r="AE19" s="83" t="str">
        <f>IF(Table1[[#This Row],[زمان آخرین رفع توقف قبل از توقف فعلی]]="","",(Table1[[#This Row],[زمان توقف]]-Table1[[#This Row],[زمان آخرین رفع توقف قبل از توقف فعلی]])/60)</f>
        <v/>
      </c>
      <c r="AF19"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0" spans="1:32">
      <c r="A20" s="36">
        <v>21</v>
      </c>
      <c r="B20" s="36" t="s">
        <v>97</v>
      </c>
      <c r="C20" s="36" t="s">
        <v>137</v>
      </c>
      <c r="D20" s="36" t="s">
        <v>35</v>
      </c>
      <c r="E20" s="85" t="s">
        <v>57</v>
      </c>
      <c r="F20" s="36" t="s">
        <v>12</v>
      </c>
      <c r="G20" s="57" t="s">
        <v>138</v>
      </c>
      <c r="H20" s="53">
        <v>0.49861111111111112</v>
      </c>
      <c r="I20" s="6" t="str">
        <f>LEFT(Table1[[#This Row],[تاریخ توقف]],4)</f>
        <v>1403</v>
      </c>
      <c r="J20" s="6" t="str">
        <f>VLOOKUP(Table1[[#This Row],[ماه توقف]],Table2[],3,0)</f>
        <v>زمستان</v>
      </c>
      <c r="K20" s="3">
        <f>_xlfn.NUMBERVALUE(RIGHT(LEFT(Table1[[#This Row],[تاریخ توقف]],7),2))</f>
        <v>10</v>
      </c>
      <c r="L20" s="3" t="str">
        <f>RIGHT(LEFT(Table1[[#This Row],[تاریخ توقف]],10),2)</f>
        <v>04</v>
      </c>
      <c r="M20" s="3">
        <f>HOUR(Table1[[#This Row],[زمان شروع توقف]])</f>
        <v>11</v>
      </c>
      <c r="N20" s="3">
        <f>MINUTE(Table1[[#This Row],[زمان شروع توقف]])</f>
        <v>58</v>
      </c>
      <c r="O20" s="3">
        <f>((Table1[[#This Row],[سال توقف]]*365+IF(Table1[[#This Row],[ماه توقف]]&lt;7,(Table1[[#This Row],[ماه توقف]]-1)*31,6*31+(Table1[[#This Row],[ماه توقف]]-6-1)*30)+(Table1[[#This Row],[روز توقف]])-1)*24+Table1[[#This Row],[ساعت توقف2]])*60+Table1[[#This Row],[دقیقه توقف]]</f>
        <v>737819278</v>
      </c>
      <c r="P20" s="57" t="s">
        <v>139</v>
      </c>
      <c r="Q20" s="53">
        <v>0.4770833333333333</v>
      </c>
      <c r="R20" s="3" t="str">
        <f>LEFT(Table1[[#This Row],[تاریخ پایان توقف]],4)</f>
        <v>1403</v>
      </c>
      <c r="S20" s="3" t="str">
        <f>_xlfn.IFNA(VLOOKUP(Table1[[#This Row],[ماه رفع توقف]],Table2[],3,0),"در حال تعمیر")</f>
        <v>زمستان</v>
      </c>
      <c r="T20" s="3">
        <f>_xlfn.NUMBERVALUE(RIGHT(LEFT(Table1[[#This Row],[تاریخ پایان توقف]],7),2))</f>
        <v>10</v>
      </c>
      <c r="U20" s="3" t="str">
        <f>RIGHT(LEFT(Table1[[#This Row],[تاریخ پایان توقف]],10),2)</f>
        <v>05</v>
      </c>
      <c r="V20" s="3">
        <f>HOUR(Table1[[#This Row],[زمان پایان توقف]])</f>
        <v>11</v>
      </c>
      <c r="W20" s="3">
        <f>MINUTE(Table1[[#This Row],[زمان پایان توقف]])</f>
        <v>27</v>
      </c>
      <c r="X2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737820687</v>
      </c>
      <c r="Y20" s="38" t="s">
        <v>140</v>
      </c>
      <c r="Z20" s="83">
        <f>IFERROR((IF(Table1[[#This Row],[تاریخ پایان توقف]]&lt;&gt;"",Table1[[#This Row],[زمان رفع توقف]]-Table1[[#This Row],[زمان توقف]],"")/60),"")</f>
        <v>23.483333333333334</v>
      </c>
      <c r="AA20" s="3">
        <f>VLOOKUP(E20,Table4[],4,0)</f>
        <v>24</v>
      </c>
      <c r="AB20" s="3">
        <f>VLOOKUP(E20,Table4[],5,0)</f>
        <v>0.2</v>
      </c>
      <c r="AC20" s="3">
        <v>360</v>
      </c>
      <c r="AD20" s="3">
        <f>VLOOKUP(E20,Table4[],7,0)</f>
        <v>720</v>
      </c>
      <c r="AE20" s="83" t="str">
        <f>IF(Table1[[#This Row],[زمان آخرین رفع توقف قبل از توقف فعلی]]="","",(Table1[[#This Row],[زمان توقف]]-Table1[[#This Row],[زمان آخرین رفع توقف قبل از توقف فعلی]])/60)</f>
        <v/>
      </c>
      <c r="AF20"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1" spans="1:32">
      <c r="A21" s="36">
        <v>22</v>
      </c>
      <c r="B21" s="36" t="s">
        <v>97</v>
      </c>
      <c r="C21" s="36" t="s">
        <v>137</v>
      </c>
      <c r="D21" s="36" t="s">
        <v>35</v>
      </c>
      <c r="E21" s="85" t="s">
        <v>57</v>
      </c>
      <c r="F21" s="36" t="s">
        <v>12</v>
      </c>
      <c r="G21" s="57" t="s">
        <v>141</v>
      </c>
      <c r="H21" s="53">
        <v>0.98611111111111116</v>
      </c>
      <c r="I21" s="6" t="str">
        <f>LEFT(Table1[[#This Row],[تاریخ توقف]],4)</f>
        <v>1403</v>
      </c>
      <c r="J21" s="6" t="str">
        <f>VLOOKUP(Table1[[#This Row],[ماه توقف]],Table2[],3,0)</f>
        <v>زمستان</v>
      </c>
      <c r="K21" s="3">
        <f>_xlfn.NUMBERVALUE(RIGHT(LEFT(Table1[[#This Row],[تاریخ توقف]],7),2))</f>
        <v>10</v>
      </c>
      <c r="L21" s="3" t="str">
        <f>RIGHT(LEFT(Table1[[#This Row],[تاریخ توقف]],10),2)</f>
        <v>09</v>
      </c>
      <c r="M21" s="3">
        <f>HOUR(Table1[[#This Row],[زمان شروع توقف]])</f>
        <v>23</v>
      </c>
      <c r="N21" s="3">
        <f>MINUTE(Table1[[#This Row],[زمان شروع توقف]])</f>
        <v>40</v>
      </c>
      <c r="O21" s="3">
        <f>((Table1[[#This Row],[سال توقف]]*365+IF(Table1[[#This Row],[ماه توقف]]&lt;7,(Table1[[#This Row],[ماه توقف]]-1)*31,6*31+(Table1[[#This Row],[ماه توقف]]-6-1)*30)+(Table1[[#This Row],[روز توقف]])-1)*24+Table1[[#This Row],[ساعت توقف2]])*60+Table1[[#This Row],[دقیقه توقف]]</f>
        <v>737827180</v>
      </c>
      <c r="P21" s="57" t="s">
        <v>142</v>
      </c>
      <c r="Q21" s="53">
        <v>1.3888888888888888E-2</v>
      </c>
      <c r="R21" s="3" t="str">
        <f>LEFT(Table1[[#This Row],[تاریخ پایان توقف]],4)</f>
        <v>1403</v>
      </c>
      <c r="S21" s="3" t="str">
        <f>_xlfn.IFNA(VLOOKUP(Table1[[#This Row],[ماه رفع توقف]],Table2[],3,0),"در حال تعمیر")</f>
        <v>زمستان</v>
      </c>
      <c r="T21" s="3">
        <f>_xlfn.NUMBERVALUE(RIGHT(LEFT(Table1[[#This Row],[تاریخ پایان توقف]],7),2))</f>
        <v>10</v>
      </c>
      <c r="U21" s="3" t="str">
        <f>RIGHT(LEFT(Table1[[#This Row],[تاریخ پایان توقف]],10),2)</f>
        <v>10</v>
      </c>
      <c r="V21" s="3">
        <f>HOUR(Table1[[#This Row],[زمان پایان توقف]])</f>
        <v>0</v>
      </c>
      <c r="W21" s="3">
        <f>MINUTE(Table1[[#This Row],[زمان پایان توقف]])</f>
        <v>20</v>
      </c>
      <c r="X2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737827220</v>
      </c>
      <c r="Y21" s="38" t="s">
        <v>143</v>
      </c>
      <c r="Z21" s="83">
        <f>IFERROR((IF(Table1[[#This Row],[تاریخ پایان توقف]]&lt;&gt;"",Table1[[#This Row],[زمان رفع توقف]]-Table1[[#This Row],[زمان توقف]],"")/60),"")</f>
        <v>0.66666666666666663</v>
      </c>
      <c r="AA21" s="3">
        <f>VLOOKUP(E21,Table4[],4,0)</f>
        <v>24</v>
      </c>
      <c r="AB21" s="3">
        <f>VLOOKUP(E21,Table4[],5,0)</f>
        <v>0.2</v>
      </c>
      <c r="AC21" s="3">
        <v>360</v>
      </c>
      <c r="AD21" s="3">
        <f>VLOOKUP(E21,Table4[],7,0)</f>
        <v>720</v>
      </c>
      <c r="AE21" s="83">
        <f>IF(Table1[[#This Row],[زمان آخرین رفع توقف قبل از توقف فعلی]]="","",(Table1[[#This Row],[زمان توقف]]-Table1[[#This Row],[زمان آخرین رفع توقف قبل از توقف فعلی]])/60)</f>
        <v>108.21666666666667</v>
      </c>
      <c r="AF2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737820687</v>
      </c>
    </row>
    <row r="22" spans="1:32">
      <c r="A22" s="36">
        <v>23</v>
      </c>
      <c r="B22" s="36" t="s">
        <v>97</v>
      </c>
      <c r="C22" s="36" t="s">
        <v>137</v>
      </c>
      <c r="D22" s="36" t="s">
        <v>144</v>
      </c>
      <c r="E22" s="85" t="s">
        <v>57</v>
      </c>
      <c r="F22" s="36" t="s">
        <v>12</v>
      </c>
      <c r="G22" s="57" t="s">
        <v>142</v>
      </c>
      <c r="H22" s="53">
        <v>7.6388888888888895E-2</v>
      </c>
      <c r="I22" s="6" t="str">
        <f>LEFT(Table1[[#This Row],[تاریخ توقف]],4)</f>
        <v>1403</v>
      </c>
      <c r="J22" s="6" t="str">
        <f>VLOOKUP(Table1[[#This Row],[ماه توقف]],Table2[],3,0)</f>
        <v>زمستان</v>
      </c>
      <c r="K22" s="3">
        <f>_xlfn.NUMBERVALUE(RIGHT(LEFT(Table1[[#This Row],[تاریخ توقف]],7),2))</f>
        <v>10</v>
      </c>
      <c r="L22" s="3" t="str">
        <f>RIGHT(LEFT(Table1[[#This Row],[تاریخ توقف]],10),2)</f>
        <v>10</v>
      </c>
      <c r="M22" s="3">
        <f>HOUR(Table1[[#This Row],[زمان شروع توقف]])</f>
        <v>1</v>
      </c>
      <c r="N22" s="3">
        <f>MINUTE(Table1[[#This Row],[زمان شروع توقف]])</f>
        <v>50</v>
      </c>
      <c r="O22" s="3">
        <f>((Table1[[#This Row],[سال توقف]]*365+IF(Table1[[#This Row],[ماه توقف]]&lt;7,(Table1[[#This Row],[ماه توقف]]-1)*31,6*31+(Table1[[#This Row],[ماه توقف]]-6-1)*30)+(Table1[[#This Row],[روز توقف]])-1)*24+Table1[[#This Row],[ساعت توقف2]])*60+Table1[[#This Row],[دقیقه توقف]]</f>
        <v>737827310</v>
      </c>
      <c r="P22" s="57" t="s">
        <v>142</v>
      </c>
      <c r="Q22" s="53">
        <v>9.7222222222222224E-2</v>
      </c>
      <c r="R22" s="3" t="str">
        <f>LEFT(Table1[[#This Row],[تاریخ پایان توقف]],4)</f>
        <v>1403</v>
      </c>
      <c r="S22" s="3" t="str">
        <f>_xlfn.IFNA(VLOOKUP(Table1[[#This Row],[ماه رفع توقف]],Table2[],3,0),"در حال تعمیر")</f>
        <v>زمستان</v>
      </c>
      <c r="T22" s="3">
        <f>_xlfn.NUMBERVALUE(RIGHT(LEFT(Table1[[#This Row],[تاریخ پایان توقف]],7),2))</f>
        <v>10</v>
      </c>
      <c r="U22" s="3" t="str">
        <f>RIGHT(LEFT(Table1[[#This Row],[تاریخ پایان توقف]],10),2)</f>
        <v>10</v>
      </c>
      <c r="V22" s="3">
        <f>HOUR(Table1[[#This Row],[زمان پایان توقف]])</f>
        <v>2</v>
      </c>
      <c r="W22" s="3">
        <f>MINUTE(Table1[[#This Row],[زمان پایان توقف]])</f>
        <v>20</v>
      </c>
      <c r="X2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737827340</v>
      </c>
      <c r="Y22" s="38" t="s">
        <v>145</v>
      </c>
      <c r="Z22" s="83">
        <f>IFERROR((IF(Table1[[#This Row],[تاریخ پایان توقف]]&lt;&gt;"",Table1[[#This Row],[زمان رفع توقف]]-Table1[[#This Row],[زمان توقف]],"")/60),"")</f>
        <v>0.5</v>
      </c>
      <c r="AA22" s="3">
        <f>VLOOKUP(E22,Table4[],4,0)</f>
        <v>24</v>
      </c>
      <c r="AB22" s="3">
        <f>VLOOKUP(E22,Table4[],5,0)</f>
        <v>0.2</v>
      </c>
      <c r="AC22" s="3">
        <v>360</v>
      </c>
      <c r="AD22" s="3">
        <f>VLOOKUP(E22,Table4[],7,0)</f>
        <v>720</v>
      </c>
      <c r="AE22" s="83">
        <f>IF(Table1[[#This Row],[زمان آخرین رفع توقف قبل از توقف فعلی]]="","",(Table1[[#This Row],[زمان توقف]]-Table1[[#This Row],[زمان آخرین رفع توقف قبل از توقف فعلی]])/60)</f>
        <v>1.5</v>
      </c>
      <c r="AF2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737827220</v>
      </c>
    </row>
    <row r="23" spans="1:32" ht="30">
      <c r="A23" s="36">
        <v>24</v>
      </c>
      <c r="B23" s="36" t="s">
        <v>97</v>
      </c>
      <c r="C23" s="36" t="s">
        <v>137</v>
      </c>
      <c r="D23" s="36" t="s">
        <v>144</v>
      </c>
      <c r="E23" s="85" t="s">
        <v>57</v>
      </c>
      <c r="F23" s="36" t="s">
        <v>12</v>
      </c>
      <c r="G23" s="57" t="s">
        <v>142</v>
      </c>
      <c r="H23" s="53">
        <v>0.3611111111111111</v>
      </c>
      <c r="I23" s="6" t="str">
        <f>LEFT(Table1[[#This Row],[تاریخ توقف]],4)</f>
        <v>1403</v>
      </c>
      <c r="J23" s="6" t="str">
        <f>VLOOKUP(Table1[[#This Row],[ماه توقف]],Table2[],3,0)</f>
        <v>زمستان</v>
      </c>
      <c r="K23" s="3">
        <f>_xlfn.NUMBERVALUE(RIGHT(LEFT(Table1[[#This Row],[تاریخ توقف]],7),2))</f>
        <v>10</v>
      </c>
      <c r="L23" s="3" t="str">
        <f>RIGHT(LEFT(Table1[[#This Row],[تاریخ توقف]],10),2)</f>
        <v>10</v>
      </c>
      <c r="M23" s="3">
        <f>HOUR(Table1[[#This Row],[زمان شروع توقف]])</f>
        <v>8</v>
      </c>
      <c r="N23" s="3">
        <f>MINUTE(Table1[[#This Row],[زمان شروع توقف]])</f>
        <v>40</v>
      </c>
      <c r="O23" s="3">
        <f>((Table1[[#This Row],[سال توقف]]*365+IF(Table1[[#This Row],[ماه توقف]]&lt;7,(Table1[[#This Row],[ماه توقف]]-1)*31,6*31+(Table1[[#This Row],[ماه توقف]]-6-1)*30)+(Table1[[#This Row],[روز توقف]])-1)*24+Table1[[#This Row],[ساعت توقف2]])*60+Table1[[#This Row],[دقیقه توقف]]</f>
        <v>737827720</v>
      </c>
      <c r="P23" s="57" t="s">
        <v>142</v>
      </c>
      <c r="Q23" s="53">
        <v>0.65763888888888888</v>
      </c>
      <c r="R23" s="3" t="str">
        <f>LEFT(Table1[[#This Row],[تاریخ پایان توقف]],4)</f>
        <v>1403</v>
      </c>
      <c r="S23" s="3" t="str">
        <f>_xlfn.IFNA(VLOOKUP(Table1[[#This Row],[ماه رفع توقف]],Table2[],3,0),"در حال تعمیر")</f>
        <v>زمستان</v>
      </c>
      <c r="T23" s="3">
        <f>_xlfn.NUMBERVALUE(RIGHT(LEFT(Table1[[#This Row],[تاریخ پایان توقف]],7),2))</f>
        <v>10</v>
      </c>
      <c r="U23" s="3" t="str">
        <f>RIGHT(LEFT(Table1[[#This Row],[تاریخ پایان توقف]],10),2)</f>
        <v>10</v>
      </c>
      <c r="V23" s="3">
        <f>HOUR(Table1[[#This Row],[زمان پایان توقف]])</f>
        <v>15</v>
      </c>
      <c r="W23" s="3">
        <f>MINUTE(Table1[[#This Row],[زمان پایان توقف]])</f>
        <v>47</v>
      </c>
      <c r="X2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737828147</v>
      </c>
      <c r="Y23" s="39" t="s">
        <v>146</v>
      </c>
      <c r="Z23" s="83">
        <f>IFERROR((IF(Table1[[#This Row],[تاریخ پایان توقف]]&lt;&gt;"",Table1[[#This Row],[زمان رفع توقف]]-Table1[[#This Row],[زمان توقف]],"")/60),"")</f>
        <v>7.1166666666666663</v>
      </c>
      <c r="AA23" s="3">
        <f>VLOOKUP(E23,Table4[],4,0)</f>
        <v>24</v>
      </c>
      <c r="AB23" s="3">
        <f>VLOOKUP(E23,Table4[],5,0)</f>
        <v>0.2</v>
      </c>
      <c r="AC23" s="3">
        <v>360</v>
      </c>
      <c r="AD23" s="3">
        <f>VLOOKUP(E23,Table4[],7,0)</f>
        <v>720</v>
      </c>
      <c r="AE23" s="83">
        <f>IF(Table1[[#This Row],[زمان آخرین رفع توقف قبل از توقف فعلی]]="","",(Table1[[#This Row],[زمان توقف]]-Table1[[#This Row],[زمان آخرین رفع توقف قبل از توقف فعلی]])/60)</f>
        <v>6.333333333333333</v>
      </c>
      <c r="AF2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737827340</v>
      </c>
    </row>
    <row r="24" spans="1:32">
      <c r="A24" s="36">
        <v>25</v>
      </c>
      <c r="B24" s="36" t="s">
        <v>97</v>
      </c>
      <c r="C24" s="36" t="s">
        <v>148</v>
      </c>
      <c r="D24" s="36" t="s">
        <v>147</v>
      </c>
      <c r="E24" s="85" t="s">
        <v>149</v>
      </c>
      <c r="F24" s="36" t="s">
        <v>12</v>
      </c>
      <c r="G24" s="57" t="s">
        <v>142</v>
      </c>
      <c r="H24" s="53">
        <v>0.51250000000000007</v>
      </c>
      <c r="I24" s="6" t="str">
        <f>LEFT(Table1[[#This Row],[تاریخ توقف]],4)</f>
        <v>1403</v>
      </c>
      <c r="J24" s="6" t="str">
        <f>VLOOKUP(Table1[[#This Row],[ماه توقف]],Table2[],3,0)</f>
        <v>زمستان</v>
      </c>
      <c r="K24" s="3">
        <f>_xlfn.NUMBERVALUE(RIGHT(LEFT(Table1[[#This Row],[تاریخ توقف]],7),2))</f>
        <v>10</v>
      </c>
      <c r="L24" s="3" t="str">
        <f>RIGHT(LEFT(Table1[[#This Row],[تاریخ توقف]],10),2)</f>
        <v>10</v>
      </c>
      <c r="M24" s="3">
        <f>HOUR(Table1[[#This Row],[زمان شروع توقف]])</f>
        <v>12</v>
      </c>
      <c r="N24" s="3">
        <f>MINUTE(Table1[[#This Row],[زمان شروع توقف]])</f>
        <v>18</v>
      </c>
      <c r="O24" s="3">
        <f>((Table1[[#This Row],[سال توقف]]*365+IF(Table1[[#This Row],[ماه توقف]]&lt;7,(Table1[[#This Row],[ماه توقف]]-1)*31,6*31+(Table1[[#This Row],[ماه توقف]]-6-1)*30)+(Table1[[#This Row],[روز توقف]])-1)*24+Table1[[#This Row],[ساعت توقف2]])*60+Table1[[#This Row],[دقیقه توقف]]</f>
        <v>737827938</v>
      </c>
      <c r="P24" s="57" t="s">
        <v>142</v>
      </c>
      <c r="Q24" s="53">
        <v>0.65833333333333333</v>
      </c>
      <c r="R24" s="3" t="str">
        <f>LEFT(Table1[[#This Row],[تاریخ پایان توقف]],4)</f>
        <v>1403</v>
      </c>
      <c r="S24" s="3" t="str">
        <f>_xlfn.IFNA(VLOOKUP(Table1[[#This Row],[ماه رفع توقف]],Table2[],3,0),"در حال تعمیر")</f>
        <v>زمستان</v>
      </c>
      <c r="T24" s="3">
        <f>_xlfn.NUMBERVALUE(RIGHT(LEFT(Table1[[#This Row],[تاریخ پایان توقف]],7),2))</f>
        <v>10</v>
      </c>
      <c r="U24" s="3" t="str">
        <f>RIGHT(LEFT(Table1[[#This Row],[تاریخ پایان توقف]],10),2)</f>
        <v>10</v>
      </c>
      <c r="V24" s="3">
        <f>HOUR(Table1[[#This Row],[زمان پایان توقف]])</f>
        <v>15</v>
      </c>
      <c r="W24" s="3">
        <f>MINUTE(Table1[[#This Row],[زمان پایان توقف]])</f>
        <v>48</v>
      </c>
      <c r="X2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737828148</v>
      </c>
      <c r="Y24" s="38" t="s">
        <v>150</v>
      </c>
      <c r="Z24" s="83">
        <f>IFERROR((IF(Table1[[#This Row],[تاریخ پایان توقف]]&lt;&gt;"",Table1[[#This Row],[زمان رفع توقف]]-Table1[[#This Row],[زمان توقف]],"")/60),"")</f>
        <v>3.5</v>
      </c>
      <c r="AA24" s="3">
        <f>VLOOKUP(E24,Table4[],4,0)</f>
        <v>24</v>
      </c>
      <c r="AB24" s="3">
        <f>VLOOKUP(E24,Table4[],5,0)</f>
        <v>0.2</v>
      </c>
      <c r="AC24" s="3">
        <v>360</v>
      </c>
      <c r="AD24" s="3">
        <f>VLOOKUP(E24,Table4[],7,0)</f>
        <v>720</v>
      </c>
      <c r="AE24" s="83" t="str">
        <f>IF(Table1[[#This Row],[زمان آخرین رفع توقف قبل از توقف فعلی]]="","",(Table1[[#This Row],[زمان توقف]]-Table1[[#This Row],[زمان آخرین رفع توقف قبل از توقف فعلی]])/60)</f>
        <v/>
      </c>
      <c r="AF24"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5" spans="1:32">
      <c r="A25" s="36">
        <v>26</v>
      </c>
      <c r="B25" s="36" t="s">
        <v>97</v>
      </c>
      <c r="C25" s="36" t="s">
        <v>137</v>
      </c>
      <c r="D25" s="36" t="s">
        <v>144</v>
      </c>
      <c r="E25" s="85" t="s">
        <v>57</v>
      </c>
      <c r="F25" s="36" t="s">
        <v>12</v>
      </c>
      <c r="G25" s="57" t="s">
        <v>142</v>
      </c>
      <c r="H25" s="53">
        <v>0.85902777777777783</v>
      </c>
      <c r="I25" s="6" t="str">
        <f>LEFT(Table1[[#This Row],[تاریخ توقف]],4)</f>
        <v>1403</v>
      </c>
      <c r="J25" s="6" t="str">
        <f>VLOOKUP(Table1[[#This Row],[ماه توقف]],Table2[],3,0)</f>
        <v>زمستان</v>
      </c>
      <c r="K25" s="3">
        <f>_xlfn.NUMBERVALUE(RIGHT(LEFT(Table1[[#This Row],[تاریخ توقف]],7),2))</f>
        <v>10</v>
      </c>
      <c r="L25" s="3" t="str">
        <f>RIGHT(LEFT(Table1[[#This Row],[تاریخ توقف]],10),2)</f>
        <v>10</v>
      </c>
      <c r="M25" s="3">
        <f>HOUR(Table1[[#This Row],[زمان شروع توقف]])</f>
        <v>20</v>
      </c>
      <c r="N25" s="3">
        <f>MINUTE(Table1[[#This Row],[زمان شروع توقف]])</f>
        <v>37</v>
      </c>
      <c r="O25" s="3">
        <f>((Table1[[#This Row],[سال توقف]]*365+IF(Table1[[#This Row],[ماه توقف]]&lt;7,(Table1[[#This Row],[ماه توقف]]-1)*31,6*31+(Table1[[#This Row],[ماه توقف]]-6-1)*30)+(Table1[[#This Row],[روز توقف]])-1)*24+Table1[[#This Row],[ساعت توقف2]])*60+Table1[[#This Row],[دقیقه توقف]]</f>
        <v>737828437</v>
      </c>
      <c r="P25" s="57" t="s">
        <v>151</v>
      </c>
      <c r="Q25" s="53">
        <v>0.58333333333333337</v>
      </c>
      <c r="R25" s="3" t="str">
        <f>LEFT(Table1[[#This Row],[تاریخ پایان توقف]],4)</f>
        <v>1403</v>
      </c>
      <c r="S25" s="3" t="str">
        <f>_xlfn.IFNA(VLOOKUP(Table1[[#This Row],[ماه رفع توقف]],Table2[],3,0),"در حال تعمیر")</f>
        <v>زمستان</v>
      </c>
      <c r="T25" s="3">
        <f>_xlfn.NUMBERVALUE(RIGHT(LEFT(Table1[[#This Row],[تاریخ پایان توقف]],7),2))</f>
        <v>10</v>
      </c>
      <c r="U25" s="3" t="str">
        <f>RIGHT(LEFT(Table1[[#This Row],[تاریخ پایان توقف]],10),2)</f>
        <v>12</v>
      </c>
      <c r="V25" s="3">
        <f>HOUR(Table1[[#This Row],[زمان پایان توقف]])</f>
        <v>14</v>
      </c>
      <c r="W25" s="3">
        <f>MINUTE(Table1[[#This Row],[زمان پایان توقف]])</f>
        <v>0</v>
      </c>
      <c r="X2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737830920</v>
      </c>
      <c r="Y25" s="38" t="s">
        <v>152</v>
      </c>
      <c r="Z25" s="83">
        <f>IFERROR((IF(Table1[[#This Row],[تاریخ پایان توقف]]&lt;&gt;"",Table1[[#This Row],[زمان رفع توقف]]-Table1[[#This Row],[زمان توقف]],"")/60),"")</f>
        <v>41.383333333333333</v>
      </c>
      <c r="AA25" s="3">
        <f>VLOOKUP(E25,Table4[],4,0)</f>
        <v>24</v>
      </c>
      <c r="AB25" s="3">
        <f>VLOOKUP(E25,Table4[],5,0)</f>
        <v>0.2</v>
      </c>
      <c r="AC25" s="3">
        <v>360</v>
      </c>
      <c r="AD25" s="3">
        <f>VLOOKUP(E25,Table4[],7,0)</f>
        <v>720</v>
      </c>
      <c r="AE25" s="83">
        <f>IF(Table1[[#This Row],[زمان آخرین رفع توقف قبل از توقف فعلی]]="","",(Table1[[#This Row],[زمان توقف]]-Table1[[#This Row],[زمان آخرین رفع توقف قبل از توقف فعلی]])/60)</f>
        <v>4.833333333333333</v>
      </c>
      <c r="AF2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737828147</v>
      </c>
    </row>
    <row r="26" spans="1:32">
      <c r="A26" s="36">
        <v>27</v>
      </c>
      <c r="B26" s="36" t="s">
        <v>97</v>
      </c>
      <c r="C26" s="36" t="s">
        <v>134</v>
      </c>
      <c r="D26" s="36" t="s">
        <v>153</v>
      </c>
      <c r="E26" s="85" t="s">
        <v>61</v>
      </c>
      <c r="F26" s="36" t="s">
        <v>12</v>
      </c>
      <c r="G26" s="57" t="s">
        <v>154</v>
      </c>
      <c r="H26" s="53">
        <v>0.36319444444444443</v>
      </c>
      <c r="I26" s="6" t="str">
        <f>LEFT(Table1[[#This Row],[تاریخ توقف]],4)</f>
        <v>1403</v>
      </c>
      <c r="J26" s="6" t="str">
        <f>VLOOKUP(Table1[[#This Row],[ماه توقف]],Table2[],3,0)</f>
        <v>زمستان</v>
      </c>
      <c r="K26" s="3">
        <f>_xlfn.NUMBERVALUE(RIGHT(LEFT(Table1[[#This Row],[تاریخ توقف]],7),2))</f>
        <v>10</v>
      </c>
      <c r="L26" s="3" t="str">
        <f>RIGHT(LEFT(Table1[[#This Row],[تاریخ توقف]],10),2)</f>
        <v>18</v>
      </c>
      <c r="M26" s="3">
        <f>HOUR(Table1[[#This Row],[زمان شروع توقف]])</f>
        <v>8</v>
      </c>
      <c r="N26" s="3">
        <f>MINUTE(Table1[[#This Row],[زمان شروع توقف]])</f>
        <v>43</v>
      </c>
      <c r="O26" s="3">
        <f>((Table1[[#This Row],[سال توقف]]*365+IF(Table1[[#This Row],[ماه توقف]]&lt;7,(Table1[[#This Row],[ماه توقف]]-1)*31,6*31+(Table1[[#This Row],[ماه توقف]]-6-1)*30)+(Table1[[#This Row],[روز توقف]])-1)*24+Table1[[#This Row],[ساعت توقف2]])*60+Table1[[#This Row],[دقیقه توقف]]</f>
        <v>737839243</v>
      </c>
      <c r="P26" s="57" t="s">
        <v>155</v>
      </c>
      <c r="Q26" s="53">
        <v>0.70833333333333337</v>
      </c>
      <c r="R26" s="3" t="str">
        <f>LEFT(Table1[[#This Row],[تاریخ پایان توقف]],4)</f>
        <v>1403</v>
      </c>
      <c r="S26" s="3" t="str">
        <f>_xlfn.IFNA(VLOOKUP(Table1[[#This Row],[ماه رفع توقف]],Table2[],3,0),"در حال تعمیر")</f>
        <v>زمستان</v>
      </c>
      <c r="T26" s="3">
        <f>_xlfn.NUMBERVALUE(RIGHT(LEFT(Table1[[#This Row],[تاریخ پایان توقف]],7),2))</f>
        <v>10</v>
      </c>
      <c r="U26" s="3" t="str">
        <f>RIGHT(LEFT(Table1[[#This Row],[تاریخ پایان توقف]],10),2)</f>
        <v>19</v>
      </c>
      <c r="V26" s="3">
        <f>HOUR(Table1[[#This Row],[زمان پایان توقف]])</f>
        <v>17</v>
      </c>
      <c r="W26" s="3">
        <f>MINUTE(Table1[[#This Row],[زمان پایان توقف]])</f>
        <v>0</v>
      </c>
      <c r="X2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737841180</v>
      </c>
      <c r="Y26" s="38" t="s">
        <v>156</v>
      </c>
      <c r="Z26" s="83">
        <f>IFERROR((IF(Table1[[#This Row],[تاریخ پایان توقف]]&lt;&gt;"",Table1[[#This Row],[زمان رفع توقف]]-Table1[[#This Row],[زمان توقف]],"")/60),"")</f>
        <v>32.283333333333331</v>
      </c>
      <c r="AA26" s="3">
        <f>VLOOKUP(E26,Table4[],4,0)</f>
        <v>24</v>
      </c>
      <c r="AB26" s="3">
        <f>VLOOKUP(E26,Table4[],5,0)</f>
        <v>0.2</v>
      </c>
      <c r="AC26" s="3">
        <v>360</v>
      </c>
      <c r="AD26" s="3">
        <f>VLOOKUP(E26,Table4[],7,0)</f>
        <v>720</v>
      </c>
      <c r="AE26" s="83" t="str">
        <f>IF(Table1[[#This Row],[زمان آخرین رفع توقف قبل از توقف فعلی]]="","",(Table1[[#This Row],[زمان توقف]]-Table1[[#This Row],[زمان آخرین رفع توقف قبل از توقف فعلی]])/60)</f>
        <v/>
      </c>
      <c r="AF26"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 spans="1:32">
      <c r="A27" s="36">
        <v>28</v>
      </c>
      <c r="B27" s="36" t="s">
        <v>99</v>
      </c>
      <c r="C27" s="36" t="s">
        <v>157</v>
      </c>
      <c r="D27" s="36" t="s">
        <v>157</v>
      </c>
      <c r="E27" s="85" t="s">
        <v>853</v>
      </c>
      <c r="F27" s="36" t="s">
        <v>12</v>
      </c>
      <c r="G27" s="57" t="s">
        <v>154</v>
      </c>
      <c r="H27" s="53">
        <v>0.625</v>
      </c>
      <c r="I27" s="6" t="str">
        <f>LEFT(Table1[[#This Row],[تاریخ توقف]],4)</f>
        <v>1403</v>
      </c>
      <c r="J27" s="6" t="str">
        <f>VLOOKUP(Table1[[#This Row],[ماه توقف]],Table2[],3,0)</f>
        <v>زمستان</v>
      </c>
      <c r="K27" s="3">
        <f>_xlfn.NUMBERVALUE(RIGHT(LEFT(Table1[[#This Row],[تاریخ توقف]],7),2))</f>
        <v>10</v>
      </c>
      <c r="L27" s="3" t="str">
        <f>RIGHT(LEFT(Table1[[#This Row],[تاریخ توقف]],10),2)</f>
        <v>18</v>
      </c>
      <c r="M27" s="3">
        <f>HOUR(Table1[[#This Row],[زمان شروع توقف]])</f>
        <v>15</v>
      </c>
      <c r="N27" s="3">
        <f>MINUTE(Table1[[#This Row],[زمان شروع توقف]])</f>
        <v>0</v>
      </c>
      <c r="O27" s="3">
        <f>((Table1[[#This Row],[سال توقف]]*365+IF(Table1[[#This Row],[ماه توقف]]&lt;7,(Table1[[#This Row],[ماه توقف]]-1)*31,6*31+(Table1[[#This Row],[ماه توقف]]-6-1)*30)+(Table1[[#This Row],[روز توقف]])-1)*24+Table1[[#This Row],[ساعت توقف2]])*60+Table1[[#This Row],[دقیقه توقف]]</f>
        <v>737839620</v>
      </c>
      <c r="P27" s="57" t="s">
        <v>155</v>
      </c>
      <c r="Q27" s="53">
        <v>0.66666666666666663</v>
      </c>
      <c r="R27" s="3" t="str">
        <f>LEFT(Table1[[#This Row],[تاریخ پایان توقف]],4)</f>
        <v>1403</v>
      </c>
      <c r="S27" s="3" t="str">
        <f>_xlfn.IFNA(VLOOKUP(Table1[[#This Row],[ماه رفع توقف]],Table2[],3,0),"در حال تعمیر")</f>
        <v>زمستان</v>
      </c>
      <c r="T27" s="3">
        <f>_xlfn.NUMBERVALUE(RIGHT(LEFT(Table1[[#This Row],[تاریخ پایان توقف]],7),2))</f>
        <v>10</v>
      </c>
      <c r="U27" s="3" t="str">
        <f>RIGHT(LEFT(Table1[[#This Row],[تاریخ پایان توقف]],10),2)</f>
        <v>19</v>
      </c>
      <c r="V27" s="3">
        <f>HOUR(Table1[[#This Row],[زمان پایان توقف]])</f>
        <v>16</v>
      </c>
      <c r="W27" s="3">
        <f>MINUTE(Table1[[#This Row],[زمان پایان توقف]])</f>
        <v>0</v>
      </c>
      <c r="X2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737841120</v>
      </c>
      <c r="Y27" s="40" t="s">
        <v>158</v>
      </c>
      <c r="Z27" s="83">
        <f>IFERROR((IF(Table1[[#This Row],[تاریخ پایان توقف]]&lt;&gt;"",Table1[[#This Row],[زمان رفع توقف]]-Table1[[#This Row],[زمان توقف]],"")/60),"")</f>
        <v>25</v>
      </c>
      <c r="AA27" s="3" t="e">
        <f>VLOOKUP(E27,Table4[],4,0)</f>
        <v>#N/A</v>
      </c>
      <c r="AB27" s="3" t="e">
        <f>VLOOKUP(E27,Table4[],5,0)</f>
        <v>#N/A</v>
      </c>
      <c r="AC27" s="3">
        <v>360</v>
      </c>
      <c r="AD27" s="3" t="e">
        <f>VLOOKUP(E27,Table4[],7,0)</f>
        <v>#N/A</v>
      </c>
      <c r="AE27" s="83" t="str">
        <f>IF(Table1[[#This Row],[زمان آخرین رفع توقف قبل از توقف فعلی]]="","",(Table1[[#This Row],[زمان توقف]]-Table1[[#This Row],[زمان آخرین رفع توقف قبل از توقف فعلی]])/60)</f>
        <v/>
      </c>
      <c r="AF2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8" spans="1:32">
      <c r="A28" s="36">
        <v>29</v>
      </c>
      <c r="B28" s="36" t="s">
        <v>98</v>
      </c>
      <c r="C28" s="36" t="s">
        <v>159</v>
      </c>
      <c r="D28" s="36"/>
      <c r="E28" s="85" t="s">
        <v>854</v>
      </c>
      <c r="F28" s="36" t="s">
        <v>12</v>
      </c>
      <c r="G28" s="57" t="s">
        <v>160</v>
      </c>
      <c r="H28" s="53">
        <v>0.33333333333333331</v>
      </c>
      <c r="I28" s="6" t="str">
        <f>LEFT(Table1[[#This Row],[تاریخ توقف]],4)</f>
        <v>1403</v>
      </c>
      <c r="J28" s="6" t="str">
        <f>VLOOKUP(Table1[[#This Row],[ماه توقف]],Table2[],3,0)</f>
        <v>زمستان</v>
      </c>
      <c r="K28" s="3">
        <f>_xlfn.NUMBERVALUE(RIGHT(LEFT(Table1[[#This Row],[تاریخ توقف]],7),2))</f>
        <v>11</v>
      </c>
      <c r="L28" s="3" t="str">
        <f>RIGHT(LEFT(Table1[[#This Row],[تاریخ توقف]],10),2)</f>
        <v>24</v>
      </c>
      <c r="M28" s="3">
        <f>HOUR(Table1[[#This Row],[زمان شروع توقف]])</f>
        <v>8</v>
      </c>
      <c r="N28" s="3">
        <f>MINUTE(Table1[[#This Row],[زمان شروع توقف]])</f>
        <v>0</v>
      </c>
      <c r="O28" s="3">
        <f>((Table1[[#This Row],[سال توقف]]*365+IF(Table1[[#This Row],[ماه توقف]]&lt;7,(Table1[[#This Row],[ماه توقف]]-1)*31,6*31+(Table1[[#This Row],[ماه توقف]]-6-1)*30)+(Table1[[#This Row],[روز توقف]])-1)*24+Table1[[#This Row],[ساعت توقف2]])*60+Table1[[#This Row],[دقیقه توقف]]</f>
        <v>737891040</v>
      </c>
      <c r="P28" s="57" t="s">
        <v>160</v>
      </c>
      <c r="Q28" s="53">
        <v>0.5</v>
      </c>
      <c r="R28" s="3" t="str">
        <f>LEFT(Table1[[#This Row],[تاریخ پایان توقف]],4)</f>
        <v>1403</v>
      </c>
      <c r="S28" s="3" t="str">
        <f>_xlfn.IFNA(VLOOKUP(Table1[[#This Row],[ماه رفع توقف]],Table2[],3,0),"در حال تعمیر")</f>
        <v>زمستان</v>
      </c>
      <c r="T28" s="3">
        <f>_xlfn.NUMBERVALUE(RIGHT(LEFT(Table1[[#This Row],[تاریخ پایان توقف]],7),2))</f>
        <v>11</v>
      </c>
      <c r="U28" s="3" t="str">
        <f>RIGHT(LEFT(Table1[[#This Row],[تاریخ پایان توقف]],10),2)</f>
        <v>24</v>
      </c>
      <c r="V28" s="3">
        <f>HOUR(Table1[[#This Row],[زمان پایان توقف]])</f>
        <v>12</v>
      </c>
      <c r="W28" s="3">
        <f>MINUTE(Table1[[#This Row],[زمان پایان توقف]])</f>
        <v>0</v>
      </c>
      <c r="X2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737891280</v>
      </c>
      <c r="Y28" s="41"/>
      <c r="Z28" s="83">
        <f>IFERROR((IF(Table1[[#This Row],[تاریخ پایان توقف]]&lt;&gt;"",Table1[[#This Row],[زمان رفع توقف]]-Table1[[#This Row],[زمان توقف]],"")/60),"")</f>
        <v>4</v>
      </c>
      <c r="AA28" s="3" t="e">
        <f>VLOOKUP(E28,Table4[],4,0)</f>
        <v>#N/A</v>
      </c>
      <c r="AB28" s="3" t="e">
        <f>VLOOKUP(E28,Table4[],5,0)</f>
        <v>#N/A</v>
      </c>
      <c r="AC28" s="3">
        <v>360</v>
      </c>
      <c r="AD28" s="3" t="e">
        <f>VLOOKUP(E28,Table4[],7,0)</f>
        <v>#N/A</v>
      </c>
      <c r="AE28" s="83" t="str">
        <f>IF(Table1[[#This Row],[زمان آخرین رفع توقف قبل از توقف فعلی]]="","",(Table1[[#This Row],[زمان توقف]]-Table1[[#This Row],[زمان آخرین رفع توقف قبل از توقف فعلی]])/60)</f>
        <v/>
      </c>
      <c r="AF28"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9" spans="1:32">
      <c r="A29" s="36">
        <v>30</v>
      </c>
      <c r="B29" s="36" t="s">
        <v>99</v>
      </c>
      <c r="C29" s="36" t="s">
        <v>1282</v>
      </c>
      <c r="D29" s="36" t="s">
        <v>1283</v>
      </c>
      <c r="F29" s="36" t="s">
        <v>12</v>
      </c>
      <c r="G29" s="57" t="s">
        <v>160</v>
      </c>
      <c r="H29" s="53">
        <v>0.94097222222222221</v>
      </c>
      <c r="I29" s="6" t="str">
        <f>LEFT(Table1[[#This Row],[تاریخ توقف]],4)</f>
        <v>1403</v>
      </c>
      <c r="J29" s="6" t="str">
        <f>VLOOKUP(Table1[[#This Row],[ماه توقف]],Table2[],3,0)</f>
        <v>زمستان</v>
      </c>
      <c r="K29" s="3">
        <f>_xlfn.NUMBERVALUE(RIGHT(LEFT(Table1[[#This Row],[تاریخ توقف]],7),2))</f>
        <v>11</v>
      </c>
      <c r="L29" s="3" t="str">
        <f>RIGHT(LEFT(Table1[[#This Row],[تاریخ توقف]],10),2)</f>
        <v>24</v>
      </c>
      <c r="M29" s="3">
        <f>HOUR(Table1[[#This Row],[زمان شروع توقف]])</f>
        <v>22</v>
      </c>
      <c r="N29" s="3">
        <f>MINUTE(Table1[[#This Row],[زمان شروع توقف]])</f>
        <v>35</v>
      </c>
      <c r="O29" s="3">
        <f>((Table1[[#This Row],[سال توقف]]*365+IF(Table1[[#This Row],[ماه توقف]]&lt;7,(Table1[[#This Row],[ماه توقف]]-1)*31,6*31+(Table1[[#This Row],[ماه توقف]]-6-1)*30)+(Table1[[#This Row],[روز توقف]])-1)*24+Table1[[#This Row],[ساعت توقف2]])*60+Table1[[#This Row],[دقیقه توقف]]</f>
        <v>737891915</v>
      </c>
      <c r="P29" s="57" t="s">
        <v>161</v>
      </c>
      <c r="Q29" s="53">
        <v>0.58333333333333337</v>
      </c>
      <c r="R29" s="3" t="str">
        <f>LEFT(Table1[[#This Row],[تاریخ پایان توقف]],4)</f>
        <v>1403</v>
      </c>
      <c r="S29" s="3" t="str">
        <f>_xlfn.IFNA(VLOOKUP(Table1[[#This Row],[ماه رفع توقف]],Table2[],3,0),"در حال تعمیر")</f>
        <v>زمستان</v>
      </c>
      <c r="T29" s="3">
        <f>_xlfn.NUMBERVALUE(RIGHT(LEFT(Table1[[#This Row],[تاریخ پایان توقف]],7),2))</f>
        <v>11</v>
      </c>
      <c r="U29" s="3" t="str">
        <f>RIGHT(LEFT(Table1[[#This Row],[تاریخ پایان توقف]],10),2)</f>
        <v>25</v>
      </c>
      <c r="V29" s="3">
        <f>HOUR(Table1[[#This Row],[زمان پایان توقف]])</f>
        <v>14</v>
      </c>
      <c r="W29" s="3">
        <f>MINUTE(Table1[[#This Row],[زمان پایان توقف]])</f>
        <v>0</v>
      </c>
      <c r="X2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737892840</v>
      </c>
      <c r="Y29" s="42" t="s">
        <v>1284</v>
      </c>
      <c r="Z29" s="83">
        <f>IFERROR((IF(Table1[[#This Row],[تاریخ پایان توقف]]&lt;&gt;"",Table1[[#This Row],[زمان رفع توقف]]-Table1[[#This Row],[زمان توقف]],"")/60),"")</f>
        <v>15.416666666666666</v>
      </c>
      <c r="AA29" s="3" t="e">
        <f>VLOOKUP(E29,Table4[],4,0)</f>
        <v>#N/A</v>
      </c>
      <c r="AB29" s="3" t="e">
        <f>VLOOKUP(E29,Table4[],5,0)</f>
        <v>#N/A</v>
      </c>
      <c r="AC29" s="3">
        <v>360</v>
      </c>
      <c r="AD29" s="3" t="e">
        <f>VLOOKUP(E29,Table4[],7,0)</f>
        <v>#N/A</v>
      </c>
      <c r="AE29" s="83" t="str">
        <f>IF(Table1[[#This Row],[زمان آخرین رفع توقف قبل از توقف فعلی]]="","",(Table1[[#This Row],[زمان توقف]]-Table1[[#This Row],[زمان آخرین رفع توقف قبل از توقف فعلی]])/60)</f>
        <v/>
      </c>
      <c r="AF29"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30" spans="1:32">
      <c r="A30" s="36">
        <v>31</v>
      </c>
      <c r="B30" s="36" t="s">
        <v>75</v>
      </c>
      <c r="C30" s="36" t="s">
        <v>163</v>
      </c>
      <c r="D30" s="36" t="s">
        <v>162</v>
      </c>
      <c r="E30" s="85" t="s">
        <v>855</v>
      </c>
      <c r="F30" s="36" t="s">
        <v>12</v>
      </c>
      <c r="G30" s="57" t="s">
        <v>164</v>
      </c>
      <c r="H30" s="53">
        <v>0.33333333333333331</v>
      </c>
      <c r="I30" s="6" t="str">
        <f>LEFT(Table1[[#This Row],[تاریخ توقف]],4)</f>
        <v>1403</v>
      </c>
      <c r="J30" s="6" t="str">
        <f>VLOOKUP(Table1[[#This Row],[ماه توقف]],Table2[],3,0)</f>
        <v>زمستان</v>
      </c>
      <c r="K30" s="3">
        <f>_xlfn.NUMBERVALUE(RIGHT(LEFT(Table1[[#This Row],[تاریخ توقف]],7),2))</f>
        <v>11</v>
      </c>
      <c r="L30" s="3" t="str">
        <f>RIGHT(LEFT(Table1[[#This Row],[تاریخ توقف]],10),2)</f>
        <v>27</v>
      </c>
      <c r="M30" s="3">
        <f>HOUR(Table1[[#This Row],[زمان شروع توقف]])</f>
        <v>8</v>
      </c>
      <c r="N30" s="3">
        <f>MINUTE(Table1[[#This Row],[زمان شروع توقف]])</f>
        <v>0</v>
      </c>
      <c r="O30" s="3">
        <f>((Table1[[#This Row],[سال توقف]]*365+IF(Table1[[#This Row],[ماه توقف]]&lt;7,(Table1[[#This Row],[ماه توقف]]-1)*31,6*31+(Table1[[#This Row],[ماه توقف]]-6-1)*30)+(Table1[[#This Row],[روز توقف]])-1)*24+Table1[[#This Row],[ساعت توقف2]])*60+Table1[[#This Row],[دقیقه توقف]]</f>
        <v>737895360</v>
      </c>
      <c r="P30" s="57" t="s">
        <v>164</v>
      </c>
      <c r="Q30" s="53">
        <v>0.34513888888888888</v>
      </c>
      <c r="R30" s="3" t="str">
        <f>LEFT(Table1[[#This Row],[تاریخ پایان توقف]],4)</f>
        <v>1403</v>
      </c>
      <c r="S30" s="3" t="str">
        <f>_xlfn.IFNA(VLOOKUP(Table1[[#This Row],[ماه رفع توقف]],Table2[],3,0),"در حال تعمیر")</f>
        <v>زمستان</v>
      </c>
      <c r="T30" s="3">
        <f>_xlfn.NUMBERVALUE(RIGHT(LEFT(Table1[[#This Row],[تاریخ پایان توقف]],7),2))</f>
        <v>11</v>
      </c>
      <c r="U30" s="3" t="str">
        <f>RIGHT(LEFT(Table1[[#This Row],[تاریخ پایان توقف]],10),2)</f>
        <v>27</v>
      </c>
      <c r="V30" s="3">
        <f>HOUR(Table1[[#This Row],[زمان پایان توقف]])</f>
        <v>8</v>
      </c>
      <c r="W30" s="3">
        <f>MINUTE(Table1[[#This Row],[زمان پایان توقف]])</f>
        <v>17</v>
      </c>
      <c r="X3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737895377</v>
      </c>
      <c r="Y30" s="38" t="s">
        <v>165</v>
      </c>
      <c r="Z30" s="83">
        <f>IFERROR((IF(Table1[[#This Row],[تاریخ پایان توقف]]&lt;&gt;"",Table1[[#This Row],[زمان رفع توقف]]-Table1[[#This Row],[زمان توقف]],"")/60),"")</f>
        <v>0.28333333333333333</v>
      </c>
      <c r="AA30" s="3" t="e">
        <f>VLOOKUP(E30,Table4[],4,0)</f>
        <v>#N/A</v>
      </c>
      <c r="AB30" s="3" t="e">
        <f>VLOOKUP(E30,Table4[],5,0)</f>
        <v>#N/A</v>
      </c>
      <c r="AC30" s="3">
        <v>360</v>
      </c>
      <c r="AD30" s="3" t="e">
        <f>VLOOKUP(E30,Table4[],7,0)</f>
        <v>#N/A</v>
      </c>
      <c r="AE30" s="83" t="str">
        <f>IF(Table1[[#This Row],[زمان آخرین رفع توقف قبل از توقف فعلی]]="","",(Table1[[#This Row],[زمان توقف]]-Table1[[#This Row],[زمان آخرین رفع توقف قبل از توقف فعلی]])/60)</f>
        <v/>
      </c>
      <c r="AF30"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31" spans="1:32">
      <c r="A31" s="36">
        <v>32</v>
      </c>
      <c r="B31" s="36" t="s">
        <v>98</v>
      </c>
      <c r="C31" s="36" t="s">
        <v>121</v>
      </c>
      <c r="D31" s="36" t="s">
        <v>120</v>
      </c>
      <c r="E31" s="85" t="s">
        <v>122</v>
      </c>
      <c r="F31" s="36" t="s">
        <v>12</v>
      </c>
      <c r="G31" s="60" t="s">
        <v>166</v>
      </c>
      <c r="H31" s="53">
        <v>0.90972222222222221</v>
      </c>
      <c r="I31" s="6" t="str">
        <f>LEFT(Table1[[#This Row],[تاریخ توقف]],4)</f>
        <v>1403</v>
      </c>
      <c r="J31" s="6" t="str">
        <f>VLOOKUP(Table1[[#This Row],[ماه توقف]],Table2[],3,0)</f>
        <v>زمستان</v>
      </c>
      <c r="K31" s="3">
        <f>_xlfn.NUMBERVALUE(RIGHT(LEFT(Table1[[#This Row],[تاریخ توقف]],7),2))</f>
        <v>12</v>
      </c>
      <c r="L31" s="3" t="str">
        <f>RIGHT(LEFT(Table1[[#This Row],[تاریخ توقف]],10),2)</f>
        <v>04</v>
      </c>
      <c r="M31" s="3">
        <f>HOUR(Table1[[#This Row],[زمان شروع توقف]])</f>
        <v>21</v>
      </c>
      <c r="N31" s="3">
        <f>MINUTE(Table1[[#This Row],[زمان شروع توقف]])</f>
        <v>50</v>
      </c>
      <c r="O31" s="3">
        <f>((Table1[[#This Row],[سال توقف]]*365+IF(Table1[[#This Row],[ماه توقف]]&lt;7,(Table1[[#This Row],[ماه توقف]]-1)*31,6*31+(Table1[[#This Row],[ماه توقف]]-6-1)*30)+(Table1[[#This Row],[روز توقف]])-1)*24+Table1[[#This Row],[ساعت توقف2]])*60+Table1[[#This Row],[دقیقه توقف]]</f>
        <v>737906270</v>
      </c>
      <c r="P31" s="57" t="s">
        <v>168</v>
      </c>
      <c r="Q31" s="53">
        <v>4.1666666666666664E-2</v>
      </c>
      <c r="R31" s="3" t="str">
        <f>LEFT(Table1[[#This Row],[تاریخ پایان توقف]],4)</f>
        <v>1403</v>
      </c>
      <c r="S31" s="3" t="str">
        <f>_xlfn.IFNA(VLOOKUP(Table1[[#This Row],[ماه رفع توقف]],Table2[],3,0),"در حال تعمیر")</f>
        <v>زمستان</v>
      </c>
      <c r="T31" s="3">
        <f>_xlfn.NUMBERVALUE(RIGHT(LEFT(Table1[[#This Row],[تاریخ پایان توقف]],7),2))</f>
        <v>12</v>
      </c>
      <c r="U31" s="3" t="str">
        <f>RIGHT(LEFT(Table1[[#This Row],[تاریخ پایان توقف]],10),2)</f>
        <v>05</v>
      </c>
      <c r="V31" s="3">
        <f>HOUR(Table1[[#This Row],[زمان پایان توقف]])</f>
        <v>1</v>
      </c>
      <c r="W31" s="3">
        <f>MINUTE(Table1[[#This Row],[زمان پایان توقف]])</f>
        <v>0</v>
      </c>
      <c r="X3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737906460</v>
      </c>
      <c r="Y31" s="42" t="s">
        <v>167</v>
      </c>
      <c r="Z31" s="83">
        <f>IFERROR((IF(Table1[[#This Row],[تاریخ پایان توقف]]&lt;&gt;"",Table1[[#This Row],[زمان رفع توقف]]-Table1[[#This Row],[زمان توقف]],"")/60),"")</f>
        <v>3.1666666666666665</v>
      </c>
      <c r="AA31" s="3">
        <f>VLOOKUP(E31,Table4[],4,0)</f>
        <v>24</v>
      </c>
      <c r="AB31" s="3">
        <f>VLOOKUP(E31,Table4[],5,0)</f>
        <v>0.2</v>
      </c>
      <c r="AC31" s="3">
        <v>360</v>
      </c>
      <c r="AD31" s="3">
        <f>VLOOKUP(E31,Table4[],7,0)</f>
        <v>720</v>
      </c>
      <c r="AE31" s="83">
        <f>IF(Table1[[#This Row],[زمان آخرین رفع توقف قبل از توقف فعلی]]="","",(Table1[[#This Row],[زمان توقف]]-Table1[[#This Row],[زمان آخرین رفع توقف قبل از توقف فعلی]])/60)</f>
        <v>1832.0333333333333</v>
      </c>
      <c r="AF3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737796348</v>
      </c>
    </row>
    <row r="32" spans="1:32">
      <c r="A32" s="36">
        <v>33</v>
      </c>
      <c r="B32" s="36" t="s">
        <v>98</v>
      </c>
      <c r="C32" s="36" t="s">
        <v>1047</v>
      </c>
      <c r="D32" s="36" t="s">
        <v>583</v>
      </c>
      <c r="E32" s="85" t="s">
        <v>73</v>
      </c>
      <c r="F32" s="36" t="s">
        <v>12</v>
      </c>
      <c r="G32" s="57" t="s">
        <v>168</v>
      </c>
      <c r="H32" s="53">
        <v>0.14583333333333334</v>
      </c>
      <c r="I32" s="6" t="str">
        <f>LEFT(Table1[[#This Row],[تاریخ توقف]],4)</f>
        <v>1403</v>
      </c>
      <c r="J32" s="6" t="str">
        <f>VLOOKUP(Table1[[#This Row],[ماه توقف]],Table2[],3,0)</f>
        <v>زمستان</v>
      </c>
      <c r="K32" s="3">
        <f>_xlfn.NUMBERVALUE(RIGHT(LEFT(Table1[[#This Row],[تاریخ توقف]],7),2))</f>
        <v>12</v>
      </c>
      <c r="L32" s="3" t="str">
        <f>RIGHT(LEFT(Table1[[#This Row],[تاریخ توقف]],10),2)</f>
        <v>05</v>
      </c>
      <c r="M32" s="3">
        <f>HOUR(Table1[[#This Row],[زمان شروع توقف]])</f>
        <v>3</v>
      </c>
      <c r="N32" s="3">
        <f>MINUTE(Table1[[#This Row],[زمان شروع توقف]])</f>
        <v>30</v>
      </c>
      <c r="O32" s="3">
        <f>((Table1[[#This Row],[سال توقف]]*365+IF(Table1[[#This Row],[ماه توقف]]&lt;7,(Table1[[#This Row],[ماه توقف]]-1)*31,6*31+(Table1[[#This Row],[ماه توقف]]-6-1)*30)+(Table1[[#This Row],[روز توقف]])-1)*24+Table1[[#This Row],[ساعت توقف2]])*60+Table1[[#This Row],[دقیقه توقف]]</f>
        <v>737906610</v>
      </c>
      <c r="P32" s="57" t="s">
        <v>168</v>
      </c>
      <c r="Q32" s="53">
        <v>0.625</v>
      </c>
      <c r="R32" s="3" t="str">
        <f>LEFT(Table1[[#This Row],[تاریخ پایان توقف]],4)</f>
        <v>1403</v>
      </c>
      <c r="S32" s="3" t="str">
        <f>_xlfn.IFNA(VLOOKUP(Table1[[#This Row],[ماه رفع توقف]],Table2[],3,0),"در حال تعمیر")</f>
        <v>زمستان</v>
      </c>
      <c r="T32" s="3">
        <f>_xlfn.NUMBERVALUE(RIGHT(LEFT(Table1[[#This Row],[تاریخ پایان توقف]],7),2))</f>
        <v>12</v>
      </c>
      <c r="U32" s="3" t="str">
        <f>RIGHT(LEFT(Table1[[#This Row],[تاریخ پایان توقف]],10),2)</f>
        <v>05</v>
      </c>
      <c r="V32" s="3">
        <f>HOUR(Table1[[#This Row],[زمان پایان توقف]])</f>
        <v>15</v>
      </c>
      <c r="W32" s="3">
        <f>MINUTE(Table1[[#This Row],[زمان پایان توقف]])</f>
        <v>0</v>
      </c>
      <c r="X3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737907300</v>
      </c>
      <c r="Y32" s="42"/>
      <c r="Z32" s="83">
        <f>IFERROR((IF(Table1[[#This Row],[تاریخ پایان توقف]]&lt;&gt;"",Table1[[#This Row],[زمان رفع توقف]]-Table1[[#This Row],[زمان توقف]],"")/60),"")</f>
        <v>11.5</v>
      </c>
      <c r="AA32" s="3">
        <f>VLOOKUP(E32,Table4[],4,0)</f>
        <v>24</v>
      </c>
      <c r="AB32" s="3">
        <f>VLOOKUP(E32,Table4[],5,0)</f>
        <v>0.2</v>
      </c>
      <c r="AC32" s="3">
        <v>360</v>
      </c>
      <c r="AD32" s="3">
        <f>VLOOKUP(E32,Table4[],7,0)</f>
        <v>720</v>
      </c>
      <c r="AE32" s="83">
        <f>IF(Table1[[#This Row],[زمان آخرین رفع توقف قبل از توقف فعلی]]="","",(Table1[[#This Row],[زمان توقف]]-Table1[[#This Row],[زمان آخرین رفع توقف قبل از توقف فعلی]])/60)</f>
        <v>2706.5</v>
      </c>
      <c r="AF3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737744220</v>
      </c>
    </row>
    <row r="33" spans="1:32">
      <c r="A33" s="36">
        <v>34</v>
      </c>
      <c r="B33" s="36" t="s">
        <v>75</v>
      </c>
      <c r="C33" s="36" t="s">
        <v>170</v>
      </c>
      <c r="D33" s="36" t="s">
        <v>169</v>
      </c>
      <c r="E33" s="85" t="s">
        <v>171</v>
      </c>
      <c r="F33" s="36" t="s">
        <v>12</v>
      </c>
      <c r="G33" s="57" t="s">
        <v>172</v>
      </c>
      <c r="H33" s="53">
        <v>0.47916666666666669</v>
      </c>
      <c r="I33" s="6" t="str">
        <f>LEFT(Table1[[#This Row],[تاریخ توقف]],4)</f>
        <v>1403</v>
      </c>
      <c r="J33" s="6" t="str">
        <f>VLOOKUP(Table1[[#This Row],[ماه توقف]],Table2[],3,0)</f>
        <v>زمستان</v>
      </c>
      <c r="K33" s="3">
        <f>_xlfn.NUMBERVALUE(RIGHT(LEFT(Table1[[#This Row],[تاریخ توقف]],7),2))</f>
        <v>12</v>
      </c>
      <c r="L33" s="3" t="str">
        <f>RIGHT(LEFT(Table1[[#This Row],[تاریخ توقف]],10),2)</f>
        <v>07</v>
      </c>
      <c r="M33" s="3">
        <f>HOUR(Table1[[#This Row],[زمان شروع توقف]])</f>
        <v>11</v>
      </c>
      <c r="N33" s="3">
        <f>MINUTE(Table1[[#This Row],[زمان شروع توقف]])</f>
        <v>30</v>
      </c>
      <c r="O33" s="3">
        <f>((Table1[[#This Row],[سال توقف]]*365+IF(Table1[[#This Row],[ماه توقف]]&lt;7,(Table1[[#This Row],[ماه توقف]]-1)*31,6*31+(Table1[[#This Row],[ماه توقف]]-6-1)*30)+(Table1[[#This Row],[روز توقف]])-1)*24+Table1[[#This Row],[ساعت توقف2]])*60+Table1[[#This Row],[دقیقه توقف]]</f>
        <v>737909970</v>
      </c>
      <c r="P33" s="57" t="s">
        <v>172</v>
      </c>
      <c r="Q33" s="53">
        <v>0.5625</v>
      </c>
      <c r="R33" s="3" t="str">
        <f>LEFT(Table1[[#This Row],[تاریخ پایان توقف]],4)</f>
        <v>1403</v>
      </c>
      <c r="S33" s="3" t="str">
        <f>_xlfn.IFNA(VLOOKUP(Table1[[#This Row],[ماه رفع توقف]],Table2[],3,0),"در حال تعمیر")</f>
        <v>زمستان</v>
      </c>
      <c r="T33" s="3">
        <f>_xlfn.NUMBERVALUE(RIGHT(LEFT(Table1[[#This Row],[تاریخ پایان توقف]],7),2))</f>
        <v>12</v>
      </c>
      <c r="U33" s="3" t="str">
        <f>RIGHT(LEFT(Table1[[#This Row],[تاریخ پایان توقف]],10),2)</f>
        <v>07</v>
      </c>
      <c r="V33" s="3">
        <f>HOUR(Table1[[#This Row],[زمان پایان توقف]])</f>
        <v>13</v>
      </c>
      <c r="W33" s="3">
        <f>MINUTE(Table1[[#This Row],[زمان پایان توقف]])</f>
        <v>30</v>
      </c>
      <c r="X3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737910090</v>
      </c>
      <c r="Y33" s="43" t="s">
        <v>173</v>
      </c>
      <c r="Z33" s="83">
        <f>IFERROR((IF(Table1[[#This Row],[تاریخ پایان توقف]]&lt;&gt;"",Table1[[#This Row],[زمان رفع توقف]]-Table1[[#This Row],[زمان توقف]],"")/60),"")</f>
        <v>2</v>
      </c>
      <c r="AA33" s="3">
        <f>VLOOKUP(E33,Table4[],4,0)</f>
        <v>24</v>
      </c>
      <c r="AB33" s="3">
        <f>VLOOKUP(E33,Table4[],5,0)</f>
        <v>0.2</v>
      </c>
      <c r="AC33" s="3">
        <v>360</v>
      </c>
      <c r="AD33" s="3">
        <f>VLOOKUP(E33,Table4[],7,0)</f>
        <v>720</v>
      </c>
      <c r="AE33" s="83" t="str">
        <f>IF(Table1[[#This Row],[زمان آخرین رفع توقف قبل از توقف فعلی]]="","",(Table1[[#This Row],[زمان توقف]]-Table1[[#This Row],[زمان آخرین رفع توقف قبل از توقف فعلی]])/60)</f>
        <v/>
      </c>
      <c r="AF33"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34" spans="1:32">
      <c r="A34" s="36">
        <v>35</v>
      </c>
      <c r="B34" s="36" t="s">
        <v>98</v>
      </c>
      <c r="C34" s="36" t="s">
        <v>89</v>
      </c>
      <c r="D34" s="36" t="s">
        <v>88</v>
      </c>
      <c r="E34" s="85" t="s">
        <v>91</v>
      </c>
      <c r="F34" s="36" t="s">
        <v>12</v>
      </c>
      <c r="G34" s="57" t="s">
        <v>172</v>
      </c>
      <c r="H34" s="53">
        <v>0.79722222222222217</v>
      </c>
      <c r="I34" s="6" t="str">
        <f>LEFT(Table1[[#This Row],[تاریخ توقف]],4)</f>
        <v>1403</v>
      </c>
      <c r="J34" s="6" t="str">
        <f>VLOOKUP(Table1[[#This Row],[ماه توقف]],Table2[],3,0)</f>
        <v>زمستان</v>
      </c>
      <c r="K34" s="3">
        <f>_xlfn.NUMBERVALUE(RIGHT(LEFT(Table1[[#This Row],[تاریخ توقف]],7),2))</f>
        <v>12</v>
      </c>
      <c r="L34" s="3" t="str">
        <f>RIGHT(LEFT(Table1[[#This Row],[تاریخ توقف]],10),2)</f>
        <v>07</v>
      </c>
      <c r="M34" s="3">
        <f>HOUR(Table1[[#This Row],[زمان شروع توقف]])</f>
        <v>19</v>
      </c>
      <c r="N34" s="3">
        <f>MINUTE(Table1[[#This Row],[زمان شروع توقف]])</f>
        <v>8</v>
      </c>
      <c r="O34" s="3">
        <f>((Table1[[#This Row],[سال توقف]]*365+IF(Table1[[#This Row],[ماه توقف]]&lt;7,(Table1[[#This Row],[ماه توقف]]-1)*31,6*31+(Table1[[#This Row],[ماه توقف]]-6-1)*30)+(Table1[[#This Row],[روز توقف]])-1)*24+Table1[[#This Row],[ساعت توقف2]])*60+Table1[[#This Row],[دقیقه توقف]]</f>
        <v>737910428</v>
      </c>
      <c r="P34" s="57" t="s">
        <v>172</v>
      </c>
      <c r="Q34" s="53">
        <v>0.8569444444444444</v>
      </c>
      <c r="R34" s="3" t="str">
        <f>LEFT(Table1[[#This Row],[تاریخ پایان توقف]],4)</f>
        <v>1403</v>
      </c>
      <c r="S34" s="3" t="str">
        <f>_xlfn.IFNA(VLOOKUP(Table1[[#This Row],[ماه رفع توقف]],Table2[],3,0),"در حال تعمیر")</f>
        <v>زمستان</v>
      </c>
      <c r="T34" s="3">
        <f>_xlfn.NUMBERVALUE(RIGHT(LEFT(Table1[[#This Row],[تاریخ پایان توقف]],7),2))</f>
        <v>12</v>
      </c>
      <c r="U34" s="3" t="str">
        <f>RIGHT(LEFT(Table1[[#This Row],[تاریخ پایان توقف]],10),2)</f>
        <v>07</v>
      </c>
      <c r="V34" s="3">
        <f>HOUR(Table1[[#This Row],[زمان پایان توقف]])</f>
        <v>20</v>
      </c>
      <c r="W34" s="3">
        <f>MINUTE(Table1[[#This Row],[زمان پایان توقف]])</f>
        <v>34</v>
      </c>
      <c r="X3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737910514</v>
      </c>
      <c r="Y34" s="42" t="s">
        <v>174</v>
      </c>
      <c r="Z34" s="83">
        <f>IFERROR((IF(Table1[[#This Row],[تاریخ پایان توقف]]&lt;&gt;"",Table1[[#This Row],[زمان رفع توقف]]-Table1[[#This Row],[زمان توقف]],"")/60),"")</f>
        <v>1.4333333333333333</v>
      </c>
      <c r="AA34" s="3">
        <f>VLOOKUP(E34,Table4[],4,0)</f>
        <v>24</v>
      </c>
      <c r="AB34" s="3">
        <f>VLOOKUP(E34,Table4[],5,0)</f>
        <v>0.2</v>
      </c>
      <c r="AC34" s="3">
        <v>360</v>
      </c>
      <c r="AD34" s="3">
        <f>VLOOKUP(E34,Table4[],7,0)</f>
        <v>720</v>
      </c>
      <c r="AE34" s="83">
        <f>IF(Table1[[#This Row],[زمان آخرین رفع توقف قبل از توقف فعلی]]="","",(Table1[[#This Row],[زمان توقف]]-Table1[[#This Row],[زمان آخرین رفع توقف قبل از توقف فعلی]])/60)</f>
        <v>2116.1333333333332</v>
      </c>
      <c r="AF3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737783460</v>
      </c>
    </row>
    <row r="35" spans="1:32">
      <c r="A35" s="36">
        <v>36</v>
      </c>
      <c r="B35" s="36" t="s">
        <v>98</v>
      </c>
      <c r="C35" s="36" t="s">
        <v>129</v>
      </c>
      <c r="D35" s="36" t="s">
        <v>128</v>
      </c>
      <c r="E35" s="85" t="s">
        <v>130</v>
      </c>
      <c r="F35" s="36" t="s">
        <v>12</v>
      </c>
      <c r="G35" s="57" t="s">
        <v>175</v>
      </c>
      <c r="H35" s="53">
        <v>0.92291666666666661</v>
      </c>
      <c r="I35" s="6" t="str">
        <f>LEFT(Table1[[#This Row],[تاریخ توقف]],4)</f>
        <v>1403</v>
      </c>
      <c r="J35" s="6" t="str">
        <f>VLOOKUP(Table1[[#This Row],[ماه توقف]],Table2[],3,0)</f>
        <v>زمستان</v>
      </c>
      <c r="K35" s="3">
        <f>_xlfn.NUMBERVALUE(RIGHT(LEFT(Table1[[#This Row],[تاریخ توقف]],7),2))</f>
        <v>12</v>
      </c>
      <c r="L35" s="3" t="str">
        <f>RIGHT(LEFT(Table1[[#This Row],[تاریخ توقف]],10),2)</f>
        <v>08</v>
      </c>
      <c r="M35" s="3">
        <f>HOUR(Table1[[#This Row],[زمان شروع توقف]])</f>
        <v>22</v>
      </c>
      <c r="N35" s="3">
        <f>MINUTE(Table1[[#This Row],[زمان شروع توقف]])</f>
        <v>9</v>
      </c>
      <c r="O35" s="3">
        <f>((Table1[[#This Row],[سال توقف]]*365+IF(Table1[[#This Row],[ماه توقف]]&lt;7,(Table1[[#This Row],[ماه توقف]]-1)*31,6*31+(Table1[[#This Row],[ماه توقف]]-6-1)*30)+(Table1[[#This Row],[روز توقف]])-1)*24+Table1[[#This Row],[ساعت توقف2]])*60+Table1[[#This Row],[دقیقه توقف]]</f>
        <v>737912049</v>
      </c>
      <c r="P35" s="57" t="s">
        <v>175</v>
      </c>
      <c r="Q35" s="53">
        <v>0.9555555555555556</v>
      </c>
      <c r="R35" s="3" t="str">
        <f>LEFT(Table1[[#This Row],[تاریخ پایان توقف]],4)</f>
        <v>1403</v>
      </c>
      <c r="S35" s="3" t="str">
        <f>_xlfn.IFNA(VLOOKUP(Table1[[#This Row],[ماه رفع توقف]],Table2[],3,0),"در حال تعمیر")</f>
        <v>زمستان</v>
      </c>
      <c r="T35" s="3">
        <f>_xlfn.NUMBERVALUE(RIGHT(LEFT(Table1[[#This Row],[تاریخ پایان توقف]],7),2))</f>
        <v>12</v>
      </c>
      <c r="U35" s="3" t="str">
        <f>RIGHT(LEFT(Table1[[#This Row],[تاریخ پایان توقف]],10),2)</f>
        <v>08</v>
      </c>
      <c r="V35" s="3">
        <f>HOUR(Table1[[#This Row],[زمان پایان توقف]])</f>
        <v>22</v>
      </c>
      <c r="W35" s="3">
        <f>MINUTE(Table1[[#This Row],[زمان پایان توقف]])</f>
        <v>56</v>
      </c>
      <c r="X3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737912096</v>
      </c>
      <c r="Y35" s="42" t="s">
        <v>176</v>
      </c>
      <c r="Z35" s="83">
        <f>IFERROR((IF(Table1[[#This Row],[تاریخ پایان توقف]]&lt;&gt;"",Table1[[#This Row],[زمان رفع توقف]]-Table1[[#This Row],[زمان توقف]],"")/60),"")</f>
        <v>0.78333333333333333</v>
      </c>
      <c r="AA35" s="3">
        <f>VLOOKUP(E35,Table4[],4,0)</f>
        <v>24</v>
      </c>
      <c r="AB35" s="3">
        <f>VLOOKUP(E35,Table4[],5,0)</f>
        <v>0.2</v>
      </c>
      <c r="AC35" s="3">
        <v>360</v>
      </c>
      <c r="AD35" s="3">
        <f>VLOOKUP(E35,Table4[],7,0)</f>
        <v>720</v>
      </c>
      <c r="AE35" s="83">
        <f>IF(Table1[[#This Row],[زمان آخرین رفع توقف قبل از توقف فعلی]]="","",(Table1[[#This Row],[زمان توقف]]-Table1[[#This Row],[زمان آخرین رفع توقف قبل از توقف فعلی]])/60)</f>
        <v>1899.0666666666666</v>
      </c>
      <c r="AF3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737798105</v>
      </c>
    </row>
    <row r="36" spans="1:32">
      <c r="A36" s="36">
        <v>37</v>
      </c>
      <c r="B36" s="36" t="s">
        <v>97</v>
      </c>
      <c r="C36" s="36" t="s">
        <v>46</v>
      </c>
      <c r="D36" s="36" t="s">
        <v>34</v>
      </c>
      <c r="E36" s="85" t="s">
        <v>53</v>
      </c>
      <c r="F36" s="36" t="s">
        <v>12</v>
      </c>
      <c r="G36" s="57" t="s">
        <v>177</v>
      </c>
      <c r="H36" s="53">
        <v>0.58819444444444446</v>
      </c>
      <c r="I36" s="6" t="str">
        <f>LEFT(Table1[[#This Row],[تاریخ توقف]],4)</f>
        <v>1403</v>
      </c>
      <c r="J36" s="6" t="str">
        <f>VLOOKUP(Table1[[#This Row],[ماه توقف]],Table2[],3,0)</f>
        <v>زمستان</v>
      </c>
      <c r="K36" s="3">
        <f>_xlfn.NUMBERVALUE(RIGHT(LEFT(Table1[[#This Row],[تاریخ توقف]],7),2))</f>
        <v>12</v>
      </c>
      <c r="L36" s="3" t="str">
        <f>RIGHT(LEFT(Table1[[#This Row],[تاریخ توقف]],10),2)</f>
        <v>09</v>
      </c>
      <c r="M36" s="3">
        <f>HOUR(Table1[[#This Row],[زمان شروع توقف]])</f>
        <v>14</v>
      </c>
      <c r="N36" s="3">
        <f>MINUTE(Table1[[#This Row],[زمان شروع توقف]])</f>
        <v>7</v>
      </c>
      <c r="O36" s="3">
        <f>((Table1[[#This Row],[سال توقف]]*365+IF(Table1[[#This Row],[ماه توقف]]&lt;7,(Table1[[#This Row],[ماه توقف]]-1)*31,6*31+(Table1[[#This Row],[ماه توقف]]-6-1)*30)+(Table1[[#This Row],[روز توقف]])-1)*24+Table1[[#This Row],[ساعت توقف2]])*60+Table1[[#This Row],[دقیقه توقف]]</f>
        <v>737913007</v>
      </c>
      <c r="P36" s="57" t="s">
        <v>178</v>
      </c>
      <c r="Q36" s="53">
        <v>0.79652777777777783</v>
      </c>
      <c r="R36" s="3" t="str">
        <f>LEFT(Table1[[#This Row],[تاریخ پایان توقف]],4)</f>
        <v>1403</v>
      </c>
      <c r="S36" s="3" t="str">
        <f>_xlfn.IFNA(VLOOKUP(Table1[[#This Row],[ماه رفع توقف]],Table2[],3,0),"در حال تعمیر")</f>
        <v>زمستان</v>
      </c>
      <c r="T36" s="3">
        <f>_xlfn.NUMBERVALUE(RIGHT(LEFT(Table1[[#This Row],[تاریخ پایان توقف]],7),2))</f>
        <v>12</v>
      </c>
      <c r="U36" s="3" t="str">
        <f>RIGHT(LEFT(Table1[[#This Row],[تاریخ پایان توقف]],10),2)</f>
        <v>11</v>
      </c>
      <c r="V36" s="3">
        <f>HOUR(Table1[[#This Row],[زمان پایان توقف]])</f>
        <v>19</v>
      </c>
      <c r="W36" s="3">
        <f>MINUTE(Table1[[#This Row],[زمان پایان توقف]])</f>
        <v>7</v>
      </c>
      <c r="X3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737916187</v>
      </c>
      <c r="Y36" s="42" t="s">
        <v>179</v>
      </c>
      <c r="Z36" s="83">
        <f>IFERROR((IF(Table1[[#This Row],[تاریخ پایان توقف]]&lt;&gt;"",Table1[[#This Row],[زمان رفع توقف]]-Table1[[#This Row],[زمان توقف]],"")/60),"")</f>
        <v>53</v>
      </c>
      <c r="AA36" s="3">
        <f>VLOOKUP(E36,Table4[],4,0)</f>
        <v>24</v>
      </c>
      <c r="AB36" s="3">
        <f>VLOOKUP(E36,Table4[],5,0)</f>
        <v>0.2</v>
      </c>
      <c r="AC36" s="3">
        <v>360</v>
      </c>
      <c r="AD36" s="3">
        <f>VLOOKUP(E36,Table4[],7,0)</f>
        <v>720</v>
      </c>
      <c r="AE36" s="83">
        <f>IF(Table1[[#This Row],[زمان آخرین رفع توقف قبل از توقف فعلی]]="","",(Table1[[#This Row],[زمان توقف]]-Table1[[#This Row],[زمان آخرین رفع توقف قبل از توقف فعلی]])/60)</f>
        <v>1668.6166666666666</v>
      </c>
      <c r="AF3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737812890</v>
      </c>
    </row>
    <row r="37" spans="1:32">
      <c r="A37" s="36">
        <v>38</v>
      </c>
      <c r="B37" s="36" t="s">
        <v>98</v>
      </c>
      <c r="C37" s="36" t="s">
        <v>121</v>
      </c>
      <c r="D37" s="36" t="s">
        <v>120</v>
      </c>
      <c r="E37" s="85" t="s">
        <v>122</v>
      </c>
      <c r="F37" s="36" t="s">
        <v>12</v>
      </c>
      <c r="G37" s="57" t="s">
        <v>177</v>
      </c>
      <c r="H37" s="53">
        <v>0.87847222222222221</v>
      </c>
      <c r="I37" s="6" t="str">
        <f>LEFT(Table1[[#This Row],[تاریخ توقف]],4)</f>
        <v>1403</v>
      </c>
      <c r="J37" s="6" t="str">
        <f>VLOOKUP(Table1[[#This Row],[ماه توقف]],Table2[],3,0)</f>
        <v>زمستان</v>
      </c>
      <c r="K37" s="3">
        <f>_xlfn.NUMBERVALUE(RIGHT(LEFT(Table1[[#This Row],[تاریخ توقف]],7),2))</f>
        <v>12</v>
      </c>
      <c r="L37" s="3" t="str">
        <f>RIGHT(LEFT(Table1[[#This Row],[تاریخ توقف]],10),2)</f>
        <v>09</v>
      </c>
      <c r="M37" s="3">
        <f>HOUR(Table1[[#This Row],[زمان شروع توقف]])</f>
        <v>21</v>
      </c>
      <c r="N37" s="3">
        <f>MINUTE(Table1[[#This Row],[زمان شروع توقف]])</f>
        <v>5</v>
      </c>
      <c r="O37" s="3">
        <f>((Table1[[#This Row],[سال توقف]]*365+IF(Table1[[#This Row],[ماه توقف]]&lt;7,(Table1[[#This Row],[ماه توقف]]-1)*31,6*31+(Table1[[#This Row],[ماه توقف]]-6-1)*30)+(Table1[[#This Row],[روز توقف]])-1)*24+Table1[[#This Row],[ساعت توقف2]])*60+Table1[[#This Row],[دقیقه توقف]]</f>
        <v>737913425</v>
      </c>
      <c r="P37" s="57" t="s">
        <v>177</v>
      </c>
      <c r="Q37" s="53">
        <v>0.88194444444444453</v>
      </c>
      <c r="R37" s="3" t="str">
        <f>LEFT(Table1[[#This Row],[تاریخ پایان توقف]],4)</f>
        <v>1403</v>
      </c>
      <c r="S37" s="3" t="str">
        <f>_xlfn.IFNA(VLOOKUP(Table1[[#This Row],[ماه رفع توقف]],Table2[],3,0),"در حال تعمیر")</f>
        <v>زمستان</v>
      </c>
      <c r="T37" s="3">
        <f>_xlfn.NUMBERVALUE(RIGHT(LEFT(Table1[[#This Row],[تاریخ پایان توقف]],7),2))</f>
        <v>12</v>
      </c>
      <c r="U37" s="3" t="str">
        <f>RIGHT(LEFT(Table1[[#This Row],[تاریخ پایان توقف]],10),2)</f>
        <v>09</v>
      </c>
      <c r="V37" s="3">
        <f>HOUR(Table1[[#This Row],[زمان پایان توقف]])</f>
        <v>21</v>
      </c>
      <c r="W37" s="3">
        <f>MINUTE(Table1[[#This Row],[زمان پایان توقف]])</f>
        <v>10</v>
      </c>
      <c r="X3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737913430</v>
      </c>
      <c r="Y37" s="42" t="s">
        <v>180</v>
      </c>
      <c r="Z37" s="83">
        <f>IFERROR((IF(Table1[[#This Row],[تاریخ پایان توقف]]&lt;&gt;"",Table1[[#This Row],[زمان رفع توقف]]-Table1[[#This Row],[زمان توقف]],"")/60),"")</f>
        <v>8.3333333333333329E-2</v>
      </c>
      <c r="AA37" s="3">
        <f>VLOOKUP(E37,Table4[],4,0)</f>
        <v>24</v>
      </c>
      <c r="AB37" s="3">
        <f>VLOOKUP(E37,Table4[],5,0)</f>
        <v>0.2</v>
      </c>
      <c r="AC37" s="3">
        <v>360</v>
      </c>
      <c r="AD37" s="3">
        <f>VLOOKUP(E37,Table4[],7,0)</f>
        <v>720</v>
      </c>
      <c r="AE37" s="83">
        <f>IF(Table1[[#This Row],[زمان آخرین رفع توقف قبل از توقف فعلی]]="","",(Table1[[#This Row],[زمان توقف]]-Table1[[#This Row],[زمان آخرین رفع توقف قبل از توقف فعلی]])/60)</f>
        <v>116.08333333333333</v>
      </c>
      <c r="AF3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737906460</v>
      </c>
    </row>
    <row r="38" spans="1:32">
      <c r="A38" s="36">
        <v>39</v>
      </c>
      <c r="B38" s="36" t="s">
        <v>98</v>
      </c>
      <c r="C38" s="36" t="s">
        <v>121</v>
      </c>
      <c r="D38" s="36" t="s">
        <v>120</v>
      </c>
      <c r="E38" s="85" t="s">
        <v>122</v>
      </c>
      <c r="F38" s="36" t="s">
        <v>12</v>
      </c>
      <c r="G38" s="57" t="s">
        <v>181</v>
      </c>
      <c r="H38" s="53">
        <v>0.53472222222222221</v>
      </c>
      <c r="I38" s="6" t="str">
        <f>LEFT(Table1[[#This Row],[تاریخ توقف]],4)</f>
        <v>1403</v>
      </c>
      <c r="J38" s="6" t="str">
        <f>VLOOKUP(Table1[[#This Row],[ماه توقف]],Table2[],3,0)</f>
        <v>زمستان</v>
      </c>
      <c r="K38" s="3">
        <f>_xlfn.NUMBERVALUE(RIGHT(LEFT(Table1[[#This Row],[تاریخ توقف]],7),2))</f>
        <v>12</v>
      </c>
      <c r="L38" s="3" t="str">
        <f>RIGHT(LEFT(Table1[[#This Row],[تاریخ توقف]],10),2)</f>
        <v>10</v>
      </c>
      <c r="M38" s="3">
        <f>HOUR(Table1[[#This Row],[زمان شروع توقف]])</f>
        <v>12</v>
      </c>
      <c r="N38" s="3">
        <f>MINUTE(Table1[[#This Row],[زمان شروع توقف]])</f>
        <v>50</v>
      </c>
      <c r="O38" s="3">
        <f>((Table1[[#This Row],[سال توقف]]*365+IF(Table1[[#This Row],[ماه توقف]]&lt;7,(Table1[[#This Row],[ماه توقف]]-1)*31,6*31+(Table1[[#This Row],[ماه توقف]]-6-1)*30)+(Table1[[#This Row],[روز توقف]])-1)*24+Table1[[#This Row],[ساعت توقف2]])*60+Table1[[#This Row],[دقیقه توقف]]</f>
        <v>737914370</v>
      </c>
      <c r="P38" s="57" t="s">
        <v>181</v>
      </c>
      <c r="Q38" s="53">
        <v>0.54861111111111105</v>
      </c>
      <c r="R38" s="3" t="str">
        <f>LEFT(Table1[[#This Row],[تاریخ پایان توقف]],4)</f>
        <v>1403</v>
      </c>
      <c r="S38" s="3" t="str">
        <f>_xlfn.IFNA(VLOOKUP(Table1[[#This Row],[ماه رفع توقف]],Table2[],3,0),"در حال تعمیر")</f>
        <v>زمستان</v>
      </c>
      <c r="T38" s="3">
        <f>_xlfn.NUMBERVALUE(RIGHT(LEFT(Table1[[#This Row],[تاریخ پایان توقف]],7),2))</f>
        <v>12</v>
      </c>
      <c r="U38" s="3" t="str">
        <f>RIGHT(LEFT(Table1[[#This Row],[تاریخ پایان توقف]],10),2)</f>
        <v>10</v>
      </c>
      <c r="V38" s="3">
        <f>HOUR(Table1[[#This Row],[زمان پایان توقف]])</f>
        <v>13</v>
      </c>
      <c r="W38" s="3">
        <f>MINUTE(Table1[[#This Row],[زمان پایان توقف]])</f>
        <v>10</v>
      </c>
      <c r="X3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737914390</v>
      </c>
      <c r="Y38" s="42" t="s">
        <v>182</v>
      </c>
      <c r="Z38" s="83">
        <f>IFERROR((IF(Table1[[#This Row],[تاریخ پایان توقف]]&lt;&gt;"",Table1[[#This Row],[زمان رفع توقف]]-Table1[[#This Row],[زمان توقف]],"")/60),"")</f>
        <v>0.33333333333333331</v>
      </c>
      <c r="AA38" s="3">
        <f>VLOOKUP(E38,Table4[],4,0)</f>
        <v>24</v>
      </c>
      <c r="AB38" s="3">
        <f>VLOOKUP(E38,Table4[],5,0)</f>
        <v>0.2</v>
      </c>
      <c r="AC38" s="3">
        <v>360</v>
      </c>
      <c r="AD38" s="3">
        <f>VLOOKUP(E38,Table4[],7,0)</f>
        <v>720</v>
      </c>
      <c r="AE38" s="83">
        <f>IF(Table1[[#This Row],[زمان آخرین رفع توقف قبل از توقف فعلی]]="","",(Table1[[#This Row],[زمان توقف]]-Table1[[#This Row],[زمان آخرین رفع توقف قبل از توقف فعلی]])/60)</f>
        <v>15.666666666666666</v>
      </c>
      <c r="AF3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737913430</v>
      </c>
    </row>
    <row r="39" spans="1:32">
      <c r="A39" s="36">
        <v>40</v>
      </c>
      <c r="B39" s="36" t="s">
        <v>97</v>
      </c>
      <c r="C39" s="36" t="s">
        <v>111</v>
      </c>
      <c r="D39" s="36" t="s">
        <v>42</v>
      </c>
      <c r="E39" s="85" t="s">
        <v>65</v>
      </c>
      <c r="F39" s="36" t="s">
        <v>12</v>
      </c>
      <c r="G39" s="57" t="s">
        <v>178</v>
      </c>
      <c r="H39" s="53">
        <v>0.94305555555555554</v>
      </c>
      <c r="I39" s="6" t="str">
        <f>LEFT(Table1[[#This Row],[تاریخ توقف]],4)</f>
        <v>1403</v>
      </c>
      <c r="J39" s="6" t="str">
        <f>VLOOKUP(Table1[[#This Row],[ماه توقف]],Table2[],3,0)</f>
        <v>زمستان</v>
      </c>
      <c r="K39" s="3">
        <f>_xlfn.NUMBERVALUE(RIGHT(LEFT(Table1[[#This Row],[تاریخ توقف]],7),2))</f>
        <v>12</v>
      </c>
      <c r="L39" s="3" t="str">
        <f>RIGHT(LEFT(Table1[[#This Row],[تاریخ توقف]],10),2)</f>
        <v>11</v>
      </c>
      <c r="M39" s="3">
        <f>HOUR(Table1[[#This Row],[زمان شروع توقف]])</f>
        <v>22</v>
      </c>
      <c r="N39" s="3">
        <f>MINUTE(Table1[[#This Row],[زمان شروع توقف]])</f>
        <v>38</v>
      </c>
      <c r="O39" s="3">
        <f>((Table1[[#This Row],[سال توقف]]*365+IF(Table1[[#This Row],[ماه توقف]]&lt;7,(Table1[[#This Row],[ماه توقف]]-1)*31,6*31+(Table1[[#This Row],[ماه توقف]]-6-1)*30)+(Table1[[#This Row],[روز توقف]])-1)*24+Table1[[#This Row],[ساعت توقف2]])*60+Table1[[#This Row],[دقیقه توقف]]</f>
        <v>737916398</v>
      </c>
      <c r="P39" s="57" t="s">
        <v>184</v>
      </c>
      <c r="Q39" s="53">
        <v>4.5138888888888888E-2</v>
      </c>
      <c r="R39" s="3" t="str">
        <f>LEFT(Table1[[#This Row],[تاریخ پایان توقف]],4)</f>
        <v>1403</v>
      </c>
      <c r="S39" s="3" t="str">
        <f>_xlfn.IFNA(VLOOKUP(Table1[[#This Row],[ماه رفع توقف]],Table2[],3,0),"در حال تعمیر")</f>
        <v>زمستان</v>
      </c>
      <c r="T39" s="3">
        <f>_xlfn.NUMBERVALUE(RIGHT(LEFT(Table1[[#This Row],[تاریخ پایان توقف]],7),2))</f>
        <v>12</v>
      </c>
      <c r="U39" s="3" t="str">
        <f>RIGHT(LEFT(Table1[[#This Row],[تاریخ پایان توقف]],10),2)</f>
        <v>12</v>
      </c>
      <c r="V39" s="3">
        <f>HOUR(Table1[[#This Row],[زمان پایان توقف]])</f>
        <v>1</v>
      </c>
      <c r="W39" s="3">
        <f>MINUTE(Table1[[#This Row],[زمان پایان توقف]])</f>
        <v>5</v>
      </c>
      <c r="X3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737916545</v>
      </c>
      <c r="Y39" s="42" t="s">
        <v>183</v>
      </c>
      <c r="Z39" s="83">
        <f>IFERROR((IF(Table1[[#This Row],[تاریخ پایان توقف]]&lt;&gt;"",Table1[[#This Row],[زمان رفع توقف]]-Table1[[#This Row],[زمان توقف]],"")/60),"")</f>
        <v>2.4500000000000002</v>
      </c>
      <c r="AA39" s="3">
        <f>VLOOKUP(E39,Table4[],4,0)</f>
        <v>24</v>
      </c>
      <c r="AB39" s="3">
        <f>VLOOKUP(E39,Table4[],5,0)</f>
        <v>0.2</v>
      </c>
      <c r="AC39" s="3">
        <v>360</v>
      </c>
      <c r="AD39" s="3">
        <f>VLOOKUP(E39,Table4[],7,0)</f>
        <v>720</v>
      </c>
      <c r="AE39" s="83">
        <f>IF(Table1[[#This Row],[زمان آخرین رفع توقف قبل از توقف فعلی]]="","",(Table1[[#This Row],[زمان توقف]]-Table1[[#This Row],[زمان آخرین رفع توقف قبل از توقف فعلی]])/60)</f>
        <v>2099.6333333333332</v>
      </c>
      <c r="AF3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737790420</v>
      </c>
    </row>
    <row r="40" spans="1:32">
      <c r="A40" s="36">
        <v>41</v>
      </c>
      <c r="B40" s="36" t="s">
        <v>98</v>
      </c>
      <c r="C40" s="36" t="s">
        <v>121</v>
      </c>
      <c r="D40" s="36" t="s">
        <v>120</v>
      </c>
      <c r="E40" s="85" t="s">
        <v>122</v>
      </c>
      <c r="F40" s="36" t="s">
        <v>12</v>
      </c>
      <c r="G40" s="57" t="s">
        <v>178</v>
      </c>
      <c r="H40" s="53">
        <v>0.95972222222222225</v>
      </c>
      <c r="I40" s="6" t="str">
        <f>LEFT(Table1[[#This Row],[تاریخ توقف]],4)</f>
        <v>1403</v>
      </c>
      <c r="J40" s="6" t="str">
        <f>VLOOKUP(Table1[[#This Row],[ماه توقف]],Table2[],3,0)</f>
        <v>زمستان</v>
      </c>
      <c r="K40" s="3">
        <f>_xlfn.NUMBERVALUE(RIGHT(LEFT(Table1[[#This Row],[تاریخ توقف]],7),2))</f>
        <v>12</v>
      </c>
      <c r="L40" s="3" t="str">
        <f>RIGHT(LEFT(Table1[[#This Row],[تاریخ توقف]],10),2)</f>
        <v>11</v>
      </c>
      <c r="M40" s="3">
        <f>HOUR(Table1[[#This Row],[زمان شروع توقف]])</f>
        <v>23</v>
      </c>
      <c r="N40" s="3">
        <f>MINUTE(Table1[[#This Row],[زمان شروع توقف]])</f>
        <v>2</v>
      </c>
      <c r="O40" s="3">
        <f>((Table1[[#This Row],[سال توقف]]*365+IF(Table1[[#This Row],[ماه توقف]]&lt;7,(Table1[[#This Row],[ماه توقف]]-1)*31,6*31+(Table1[[#This Row],[ماه توقف]]-6-1)*30)+(Table1[[#This Row],[روز توقف]])-1)*24+Table1[[#This Row],[ساعت توقف2]])*60+Table1[[#This Row],[دقیقه توقف]]</f>
        <v>737916422</v>
      </c>
      <c r="P40" s="57" t="s">
        <v>184</v>
      </c>
      <c r="Q40" s="53">
        <v>4.5138888888888888E-2</v>
      </c>
      <c r="R40" s="3" t="str">
        <f>LEFT(Table1[[#This Row],[تاریخ پایان توقف]],4)</f>
        <v>1403</v>
      </c>
      <c r="S40" s="3" t="str">
        <f>_xlfn.IFNA(VLOOKUP(Table1[[#This Row],[ماه رفع توقف]],Table2[],3,0),"در حال تعمیر")</f>
        <v>زمستان</v>
      </c>
      <c r="T40" s="3">
        <f>_xlfn.NUMBERVALUE(RIGHT(LEFT(Table1[[#This Row],[تاریخ پایان توقف]],7),2))</f>
        <v>12</v>
      </c>
      <c r="U40" s="3" t="str">
        <f>RIGHT(LEFT(Table1[[#This Row],[تاریخ پایان توقف]],10),2)</f>
        <v>12</v>
      </c>
      <c r="V40" s="3">
        <f>HOUR(Table1[[#This Row],[زمان پایان توقف]])</f>
        <v>1</v>
      </c>
      <c r="W40" s="3">
        <f>MINUTE(Table1[[#This Row],[زمان پایان توقف]])</f>
        <v>5</v>
      </c>
      <c r="X4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737916545</v>
      </c>
      <c r="Y40" s="42" t="s">
        <v>183</v>
      </c>
      <c r="Z40" s="83">
        <f>IFERROR((IF(Table1[[#This Row],[تاریخ پایان توقف]]&lt;&gt;"",Table1[[#This Row],[زمان رفع توقف]]-Table1[[#This Row],[زمان توقف]],"")/60),"")</f>
        <v>2.0499999999999998</v>
      </c>
      <c r="AA40" s="3">
        <f>VLOOKUP(E40,Table4[],4,0)</f>
        <v>24</v>
      </c>
      <c r="AB40" s="3">
        <f>VLOOKUP(E40,Table4[],5,0)</f>
        <v>0.2</v>
      </c>
      <c r="AC40" s="3">
        <v>360</v>
      </c>
      <c r="AD40" s="3">
        <f>VLOOKUP(E40,Table4[],7,0)</f>
        <v>720</v>
      </c>
      <c r="AE40" s="83">
        <f>IF(Table1[[#This Row],[زمان آخرین رفع توقف قبل از توقف فعلی]]="","",(Table1[[#This Row],[زمان توقف]]-Table1[[#This Row],[زمان آخرین رفع توقف قبل از توقف فعلی]])/60)</f>
        <v>33.866666666666667</v>
      </c>
      <c r="AF4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737914390</v>
      </c>
    </row>
    <row r="41" spans="1:32">
      <c r="A41" s="36">
        <v>42</v>
      </c>
      <c r="B41" s="36" t="s">
        <v>98</v>
      </c>
      <c r="C41" s="36" t="s">
        <v>185</v>
      </c>
      <c r="D41" s="36" t="s">
        <v>106</v>
      </c>
      <c r="E41" s="85" t="s">
        <v>107</v>
      </c>
      <c r="F41" s="36" t="s">
        <v>12</v>
      </c>
      <c r="G41" s="57" t="s">
        <v>178</v>
      </c>
      <c r="H41" s="53">
        <v>0.95972222222222225</v>
      </c>
      <c r="I41" s="6" t="str">
        <f>LEFT(Table1[[#This Row],[تاریخ توقف]],4)</f>
        <v>1403</v>
      </c>
      <c r="J41" s="6" t="str">
        <f>VLOOKUP(Table1[[#This Row],[ماه توقف]],Table2[],3,0)</f>
        <v>زمستان</v>
      </c>
      <c r="K41" s="3">
        <f>_xlfn.NUMBERVALUE(RIGHT(LEFT(Table1[[#This Row],[تاریخ توقف]],7),2))</f>
        <v>12</v>
      </c>
      <c r="L41" s="3" t="str">
        <f>RIGHT(LEFT(Table1[[#This Row],[تاریخ توقف]],10),2)</f>
        <v>11</v>
      </c>
      <c r="M41" s="3">
        <f>HOUR(Table1[[#This Row],[زمان شروع توقف]])</f>
        <v>23</v>
      </c>
      <c r="N41" s="3">
        <f>MINUTE(Table1[[#This Row],[زمان شروع توقف]])</f>
        <v>2</v>
      </c>
      <c r="O41" s="3">
        <f>((Table1[[#This Row],[سال توقف]]*365+IF(Table1[[#This Row],[ماه توقف]]&lt;7,(Table1[[#This Row],[ماه توقف]]-1)*31,6*31+(Table1[[#This Row],[ماه توقف]]-6-1)*30)+(Table1[[#This Row],[روز توقف]])-1)*24+Table1[[#This Row],[ساعت توقف2]])*60+Table1[[#This Row],[دقیقه توقف]]</f>
        <v>737916422</v>
      </c>
      <c r="P41" s="57" t="s">
        <v>184</v>
      </c>
      <c r="Q41" s="53">
        <v>4.5138888888888888E-2</v>
      </c>
      <c r="R41" s="3" t="str">
        <f>LEFT(Table1[[#This Row],[تاریخ پایان توقف]],4)</f>
        <v>1403</v>
      </c>
      <c r="S41" s="3" t="str">
        <f>_xlfn.IFNA(VLOOKUP(Table1[[#This Row],[ماه رفع توقف]],Table2[],3,0),"در حال تعمیر")</f>
        <v>زمستان</v>
      </c>
      <c r="T41" s="3">
        <f>_xlfn.NUMBERVALUE(RIGHT(LEFT(Table1[[#This Row],[تاریخ پایان توقف]],7),2))</f>
        <v>12</v>
      </c>
      <c r="U41" s="3" t="str">
        <f>RIGHT(LEFT(Table1[[#This Row],[تاریخ پایان توقف]],10),2)</f>
        <v>12</v>
      </c>
      <c r="V41" s="3">
        <f>HOUR(Table1[[#This Row],[زمان پایان توقف]])</f>
        <v>1</v>
      </c>
      <c r="W41" s="3">
        <f>MINUTE(Table1[[#This Row],[زمان پایان توقف]])</f>
        <v>5</v>
      </c>
      <c r="X4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737916545</v>
      </c>
      <c r="Y41" s="42" t="s">
        <v>183</v>
      </c>
      <c r="Z41" s="83">
        <f>IFERROR((IF(Table1[[#This Row],[تاریخ پایان توقف]]&lt;&gt;"",Table1[[#This Row],[زمان رفع توقف]]-Table1[[#This Row],[زمان توقف]],"")/60),"")</f>
        <v>2.0499999999999998</v>
      </c>
      <c r="AA41" s="3">
        <f>VLOOKUP(E41,Table4[],4,0)</f>
        <v>24</v>
      </c>
      <c r="AB41" s="3">
        <f>VLOOKUP(E41,Table4[],5,0)</f>
        <v>0.2</v>
      </c>
      <c r="AC41" s="3">
        <v>360</v>
      </c>
      <c r="AD41" s="3">
        <f>VLOOKUP(E41,Table4[],7,0)</f>
        <v>720</v>
      </c>
      <c r="AE41" s="83">
        <f>IF(Table1[[#This Row],[زمان آخرین رفع توقف قبل از توقف فعلی]]="","",(Table1[[#This Row],[زمان توقف]]-Table1[[#This Row],[زمان آخرین رفع توقف قبل از توقف فعلی]])/60)</f>
        <v>2027</v>
      </c>
      <c r="AF4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737794802</v>
      </c>
    </row>
    <row r="42" spans="1:32">
      <c r="A42" s="36">
        <v>43</v>
      </c>
      <c r="B42" s="36" t="s">
        <v>98</v>
      </c>
      <c r="C42" s="36" t="s">
        <v>116</v>
      </c>
      <c r="D42" s="36" t="s">
        <v>115</v>
      </c>
      <c r="E42" s="85" t="s">
        <v>117</v>
      </c>
      <c r="F42" s="36" t="s">
        <v>12</v>
      </c>
      <c r="G42" s="57" t="s">
        <v>178</v>
      </c>
      <c r="H42" s="53">
        <v>0.95972222222222225</v>
      </c>
      <c r="I42" s="6" t="str">
        <f>LEFT(Table1[[#This Row],[تاریخ توقف]],4)</f>
        <v>1403</v>
      </c>
      <c r="J42" s="6" t="str">
        <f>VLOOKUP(Table1[[#This Row],[ماه توقف]],Table2[],3,0)</f>
        <v>زمستان</v>
      </c>
      <c r="K42" s="3">
        <f>_xlfn.NUMBERVALUE(RIGHT(LEFT(Table1[[#This Row],[تاریخ توقف]],7),2))</f>
        <v>12</v>
      </c>
      <c r="L42" s="3" t="str">
        <f>RIGHT(LEFT(Table1[[#This Row],[تاریخ توقف]],10),2)</f>
        <v>11</v>
      </c>
      <c r="M42" s="3">
        <f>HOUR(Table1[[#This Row],[زمان شروع توقف]])</f>
        <v>23</v>
      </c>
      <c r="N42" s="3">
        <f>MINUTE(Table1[[#This Row],[زمان شروع توقف]])</f>
        <v>2</v>
      </c>
      <c r="O42" s="3">
        <f>((Table1[[#This Row],[سال توقف]]*365+IF(Table1[[#This Row],[ماه توقف]]&lt;7,(Table1[[#This Row],[ماه توقف]]-1)*31,6*31+(Table1[[#This Row],[ماه توقف]]-6-1)*30)+(Table1[[#This Row],[روز توقف]])-1)*24+Table1[[#This Row],[ساعت توقف2]])*60+Table1[[#This Row],[دقیقه توقف]]</f>
        <v>737916422</v>
      </c>
      <c r="P42" s="57" t="s">
        <v>184</v>
      </c>
      <c r="Q42" s="53">
        <v>4.5138888888888888E-2</v>
      </c>
      <c r="R42" s="3" t="str">
        <f>LEFT(Table1[[#This Row],[تاریخ پایان توقف]],4)</f>
        <v>1403</v>
      </c>
      <c r="S42" s="3" t="str">
        <f>_xlfn.IFNA(VLOOKUP(Table1[[#This Row],[ماه رفع توقف]],Table2[],3,0),"در حال تعمیر")</f>
        <v>زمستان</v>
      </c>
      <c r="T42" s="3">
        <f>_xlfn.NUMBERVALUE(RIGHT(LEFT(Table1[[#This Row],[تاریخ پایان توقف]],7),2))</f>
        <v>12</v>
      </c>
      <c r="U42" s="3" t="str">
        <f>RIGHT(LEFT(Table1[[#This Row],[تاریخ پایان توقف]],10),2)</f>
        <v>12</v>
      </c>
      <c r="V42" s="3">
        <f>HOUR(Table1[[#This Row],[زمان پایان توقف]])</f>
        <v>1</v>
      </c>
      <c r="W42" s="3">
        <f>MINUTE(Table1[[#This Row],[زمان پایان توقف]])</f>
        <v>5</v>
      </c>
      <c r="X4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737916545</v>
      </c>
      <c r="Y42" s="42" t="s">
        <v>183</v>
      </c>
      <c r="Z42" s="83">
        <f>IFERROR((IF(Table1[[#This Row],[تاریخ پایان توقف]]&lt;&gt;"",Table1[[#This Row],[زمان رفع توقف]]-Table1[[#This Row],[زمان توقف]],"")/60),"")</f>
        <v>2.0499999999999998</v>
      </c>
      <c r="AA42" s="3">
        <f>VLOOKUP(E42,Table4[],4,0)</f>
        <v>24</v>
      </c>
      <c r="AB42" s="3">
        <f>VLOOKUP(E42,Table4[],5,0)</f>
        <v>0.2</v>
      </c>
      <c r="AC42" s="3">
        <v>360</v>
      </c>
      <c r="AD42" s="3">
        <f>VLOOKUP(E42,Table4[],7,0)</f>
        <v>720</v>
      </c>
      <c r="AE42" s="83">
        <f>IF(Table1[[#This Row],[زمان آخرین رفع توقف قبل از توقف فعلی]]="","",(Table1[[#This Row],[زمان توقف]]-Table1[[#This Row],[زمان آخرین رفع توقف قبل از توقف فعلی]])/60)</f>
        <v>2021.15</v>
      </c>
      <c r="AF4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737795153</v>
      </c>
    </row>
    <row r="43" spans="1:32">
      <c r="A43" s="36">
        <v>44</v>
      </c>
      <c r="B43" s="36" t="s">
        <v>98</v>
      </c>
      <c r="C43" s="36" t="s">
        <v>121</v>
      </c>
      <c r="D43" s="36" t="s">
        <v>120</v>
      </c>
      <c r="E43" s="85" t="s">
        <v>122</v>
      </c>
      <c r="F43" s="36" t="s">
        <v>12</v>
      </c>
      <c r="G43" s="57" t="s">
        <v>184</v>
      </c>
      <c r="H43" s="53">
        <v>0.68402777777777779</v>
      </c>
      <c r="I43" s="6" t="str">
        <f>LEFT(Table1[[#This Row],[تاریخ توقف]],4)</f>
        <v>1403</v>
      </c>
      <c r="J43" s="6" t="str">
        <f>VLOOKUP(Table1[[#This Row],[ماه توقف]],Table2[],3,0)</f>
        <v>زمستان</v>
      </c>
      <c r="K43" s="3">
        <f>_xlfn.NUMBERVALUE(RIGHT(LEFT(Table1[[#This Row],[تاریخ توقف]],7),2))</f>
        <v>12</v>
      </c>
      <c r="L43" s="3" t="str">
        <f>RIGHT(LEFT(Table1[[#This Row],[تاریخ توقف]],10),2)</f>
        <v>12</v>
      </c>
      <c r="M43" s="3">
        <f>HOUR(Table1[[#This Row],[زمان شروع توقف]])</f>
        <v>16</v>
      </c>
      <c r="N43" s="3">
        <f>MINUTE(Table1[[#This Row],[زمان شروع توقف]])</f>
        <v>25</v>
      </c>
      <c r="O43" s="3">
        <f>((Table1[[#This Row],[سال توقف]]*365+IF(Table1[[#This Row],[ماه توقف]]&lt;7,(Table1[[#This Row],[ماه توقف]]-1)*31,6*31+(Table1[[#This Row],[ماه توقف]]-6-1)*30)+(Table1[[#This Row],[روز توقف]])-1)*24+Table1[[#This Row],[ساعت توقف2]])*60+Table1[[#This Row],[دقیقه توقف]]</f>
        <v>737917465</v>
      </c>
      <c r="P43" s="57" t="s">
        <v>184</v>
      </c>
      <c r="Q43" s="53">
        <v>0.74305555555555547</v>
      </c>
      <c r="R43" s="3" t="str">
        <f>LEFT(Table1[[#This Row],[تاریخ پایان توقف]],4)</f>
        <v>1403</v>
      </c>
      <c r="S43" s="3" t="str">
        <f>_xlfn.IFNA(VLOOKUP(Table1[[#This Row],[ماه رفع توقف]],Table2[],3,0),"در حال تعمیر")</f>
        <v>زمستان</v>
      </c>
      <c r="T43" s="3">
        <f>_xlfn.NUMBERVALUE(RIGHT(LEFT(Table1[[#This Row],[تاریخ پایان توقف]],7),2))</f>
        <v>12</v>
      </c>
      <c r="U43" s="3" t="str">
        <f>RIGHT(LEFT(Table1[[#This Row],[تاریخ پایان توقف]],10),2)</f>
        <v>12</v>
      </c>
      <c r="V43" s="3">
        <f>HOUR(Table1[[#This Row],[زمان پایان توقف]])</f>
        <v>17</v>
      </c>
      <c r="W43" s="3">
        <f>MINUTE(Table1[[#This Row],[زمان پایان توقف]])</f>
        <v>50</v>
      </c>
      <c r="X4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737917550</v>
      </c>
      <c r="Y43" s="42" t="s">
        <v>183</v>
      </c>
      <c r="Z43" s="83">
        <f>IFERROR((IF(Table1[[#This Row],[تاریخ پایان توقف]]&lt;&gt;"",Table1[[#This Row],[زمان رفع توقف]]-Table1[[#This Row],[زمان توقف]],"")/60),"")</f>
        <v>1.4166666666666667</v>
      </c>
      <c r="AA43" s="3">
        <f>VLOOKUP(E43,Table4[],4,0)</f>
        <v>24</v>
      </c>
      <c r="AB43" s="3">
        <f>VLOOKUP(E43,Table4[],5,0)</f>
        <v>0.2</v>
      </c>
      <c r="AC43" s="3">
        <v>360</v>
      </c>
      <c r="AD43" s="3">
        <f>VLOOKUP(E43,Table4[],7,0)</f>
        <v>720</v>
      </c>
      <c r="AE43" s="83">
        <f>IF(Table1[[#This Row],[زمان آخرین رفع توقف قبل از توقف فعلی]]="","",(Table1[[#This Row],[زمان توقف]]-Table1[[#This Row],[زمان آخرین رفع توقف قبل از توقف فعلی]])/60)</f>
        <v>15.333333333333334</v>
      </c>
      <c r="AF4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737916545</v>
      </c>
    </row>
    <row r="44" spans="1:32">
      <c r="A44" s="36">
        <v>45</v>
      </c>
      <c r="B44" s="36" t="s">
        <v>98</v>
      </c>
      <c r="C44" s="36" t="s">
        <v>185</v>
      </c>
      <c r="D44" s="36" t="s">
        <v>106</v>
      </c>
      <c r="E44" s="85" t="s">
        <v>107</v>
      </c>
      <c r="F44" s="36" t="s">
        <v>12</v>
      </c>
      <c r="G44" s="57" t="s">
        <v>184</v>
      </c>
      <c r="H44" s="53">
        <v>0.68402777777777779</v>
      </c>
      <c r="I44" s="6" t="str">
        <f>LEFT(Table1[[#This Row],[تاریخ توقف]],4)</f>
        <v>1403</v>
      </c>
      <c r="J44" s="6" t="str">
        <f>VLOOKUP(Table1[[#This Row],[ماه توقف]],Table2[],3,0)</f>
        <v>زمستان</v>
      </c>
      <c r="K44" s="3">
        <f>_xlfn.NUMBERVALUE(RIGHT(LEFT(Table1[[#This Row],[تاریخ توقف]],7),2))</f>
        <v>12</v>
      </c>
      <c r="L44" s="3" t="str">
        <f>RIGHT(LEFT(Table1[[#This Row],[تاریخ توقف]],10),2)</f>
        <v>12</v>
      </c>
      <c r="M44" s="3">
        <f>HOUR(Table1[[#This Row],[زمان شروع توقف]])</f>
        <v>16</v>
      </c>
      <c r="N44" s="3">
        <f>MINUTE(Table1[[#This Row],[زمان شروع توقف]])</f>
        <v>25</v>
      </c>
      <c r="O44" s="3">
        <f>((Table1[[#This Row],[سال توقف]]*365+IF(Table1[[#This Row],[ماه توقف]]&lt;7,(Table1[[#This Row],[ماه توقف]]-1)*31,6*31+(Table1[[#This Row],[ماه توقف]]-6-1)*30)+(Table1[[#This Row],[روز توقف]])-1)*24+Table1[[#This Row],[ساعت توقف2]])*60+Table1[[#This Row],[دقیقه توقف]]</f>
        <v>737917465</v>
      </c>
      <c r="P44" s="57" t="s">
        <v>184</v>
      </c>
      <c r="Q44" s="53">
        <v>0.74305555555555547</v>
      </c>
      <c r="R44" s="3" t="str">
        <f>LEFT(Table1[[#This Row],[تاریخ پایان توقف]],4)</f>
        <v>1403</v>
      </c>
      <c r="S44" s="3" t="str">
        <f>_xlfn.IFNA(VLOOKUP(Table1[[#This Row],[ماه رفع توقف]],Table2[],3,0),"در حال تعمیر")</f>
        <v>زمستان</v>
      </c>
      <c r="T44" s="3">
        <f>_xlfn.NUMBERVALUE(RIGHT(LEFT(Table1[[#This Row],[تاریخ پایان توقف]],7),2))</f>
        <v>12</v>
      </c>
      <c r="U44" s="3" t="str">
        <f>RIGHT(LEFT(Table1[[#This Row],[تاریخ پایان توقف]],10),2)</f>
        <v>12</v>
      </c>
      <c r="V44" s="3">
        <f>HOUR(Table1[[#This Row],[زمان پایان توقف]])</f>
        <v>17</v>
      </c>
      <c r="W44" s="3">
        <f>MINUTE(Table1[[#This Row],[زمان پایان توقف]])</f>
        <v>50</v>
      </c>
      <c r="X4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737917550</v>
      </c>
      <c r="Y44" s="42" t="s">
        <v>183</v>
      </c>
      <c r="Z44" s="83">
        <f>IFERROR((IF(Table1[[#This Row],[تاریخ پایان توقف]]&lt;&gt;"",Table1[[#This Row],[زمان رفع توقف]]-Table1[[#This Row],[زمان توقف]],"")/60),"")</f>
        <v>1.4166666666666667</v>
      </c>
      <c r="AA44" s="3">
        <f>VLOOKUP(E44,Table4[],4,0)</f>
        <v>24</v>
      </c>
      <c r="AB44" s="3">
        <f>VLOOKUP(E44,Table4[],5,0)</f>
        <v>0.2</v>
      </c>
      <c r="AC44" s="3">
        <v>360</v>
      </c>
      <c r="AD44" s="3">
        <f>VLOOKUP(E44,Table4[],7,0)</f>
        <v>720</v>
      </c>
      <c r="AE44" s="83">
        <f>IF(Table1[[#This Row],[زمان آخرین رفع توقف قبل از توقف فعلی]]="","",(Table1[[#This Row],[زمان توقف]]-Table1[[#This Row],[زمان آخرین رفع توقف قبل از توقف فعلی]])/60)</f>
        <v>15.333333333333334</v>
      </c>
      <c r="AF4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737916545</v>
      </c>
    </row>
    <row r="45" spans="1:32">
      <c r="A45" s="36">
        <v>46</v>
      </c>
      <c r="B45" s="36" t="s">
        <v>98</v>
      </c>
      <c r="C45" s="36" t="s">
        <v>116</v>
      </c>
      <c r="D45" s="36" t="s">
        <v>115</v>
      </c>
      <c r="E45" s="85" t="s">
        <v>117</v>
      </c>
      <c r="F45" s="36" t="s">
        <v>12</v>
      </c>
      <c r="G45" s="57" t="s">
        <v>184</v>
      </c>
      <c r="H45" s="53">
        <v>0.68402777777777779</v>
      </c>
      <c r="I45" s="6" t="str">
        <f>LEFT(Table1[[#This Row],[تاریخ توقف]],4)</f>
        <v>1403</v>
      </c>
      <c r="J45" s="6" t="str">
        <f>VLOOKUP(Table1[[#This Row],[ماه توقف]],Table2[],3,0)</f>
        <v>زمستان</v>
      </c>
      <c r="K45" s="3">
        <f>_xlfn.NUMBERVALUE(RIGHT(LEFT(Table1[[#This Row],[تاریخ توقف]],7),2))</f>
        <v>12</v>
      </c>
      <c r="L45" s="3" t="str">
        <f>RIGHT(LEFT(Table1[[#This Row],[تاریخ توقف]],10),2)</f>
        <v>12</v>
      </c>
      <c r="M45" s="3">
        <f>HOUR(Table1[[#This Row],[زمان شروع توقف]])</f>
        <v>16</v>
      </c>
      <c r="N45" s="3">
        <f>MINUTE(Table1[[#This Row],[زمان شروع توقف]])</f>
        <v>25</v>
      </c>
      <c r="O45" s="3">
        <f>((Table1[[#This Row],[سال توقف]]*365+IF(Table1[[#This Row],[ماه توقف]]&lt;7,(Table1[[#This Row],[ماه توقف]]-1)*31,6*31+(Table1[[#This Row],[ماه توقف]]-6-1)*30)+(Table1[[#This Row],[روز توقف]])-1)*24+Table1[[#This Row],[ساعت توقف2]])*60+Table1[[#This Row],[دقیقه توقف]]</f>
        <v>737917465</v>
      </c>
      <c r="P45" s="57" t="s">
        <v>184</v>
      </c>
      <c r="Q45" s="53">
        <v>0.74305555555555547</v>
      </c>
      <c r="R45" s="3" t="str">
        <f>LEFT(Table1[[#This Row],[تاریخ پایان توقف]],4)</f>
        <v>1403</v>
      </c>
      <c r="S45" s="3" t="str">
        <f>_xlfn.IFNA(VLOOKUP(Table1[[#This Row],[ماه رفع توقف]],Table2[],3,0),"در حال تعمیر")</f>
        <v>زمستان</v>
      </c>
      <c r="T45" s="3">
        <f>_xlfn.NUMBERVALUE(RIGHT(LEFT(Table1[[#This Row],[تاریخ پایان توقف]],7),2))</f>
        <v>12</v>
      </c>
      <c r="U45" s="3" t="str">
        <f>RIGHT(LEFT(Table1[[#This Row],[تاریخ پایان توقف]],10),2)</f>
        <v>12</v>
      </c>
      <c r="V45" s="3">
        <f>HOUR(Table1[[#This Row],[زمان پایان توقف]])</f>
        <v>17</v>
      </c>
      <c r="W45" s="3">
        <f>MINUTE(Table1[[#This Row],[زمان پایان توقف]])</f>
        <v>50</v>
      </c>
      <c r="X4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737917550</v>
      </c>
      <c r="Y45" s="42" t="s">
        <v>183</v>
      </c>
      <c r="Z45" s="83">
        <f>IFERROR((IF(Table1[[#This Row],[تاریخ پایان توقف]]&lt;&gt;"",Table1[[#This Row],[زمان رفع توقف]]-Table1[[#This Row],[زمان توقف]],"")/60),"")</f>
        <v>1.4166666666666667</v>
      </c>
      <c r="AA45" s="3">
        <f>VLOOKUP(E45,Table4[],4,0)</f>
        <v>24</v>
      </c>
      <c r="AB45" s="3">
        <f>VLOOKUP(E45,Table4[],5,0)</f>
        <v>0.2</v>
      </c>
      <c r="AC45" s="3">
        <v>360</v>
      </c>
      <c r="AD45" s="3">
        <f>VLOOKUP(E45,Table4[],7,0)</f>
        <v>720</v>
      </c>
      <c r="AE45" s="83">
        <f>IF(Table1[[#This Row],[زمان آخرین رفع توقف قبل از توقف فعلی]]="","",(Table1[[#This Row],[زمان توقف]]-Table1[[#This Row],[زمان آخرین رفع توقف قبل از توقف فعلی]])/60)</f>
        <v>15.333333333333334</v>
      </c>
      <c r="AF4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737916545</v>
      </c>
    </row>
    <row r="46" spans="1:32">
      <c r="A46" s="36">
        <v>47</v>
      </c>
      <c r="B46" s="36" t="s">
        <v>97</v>
      </c>
      <c r="C46" s="36" t="s">
        <v>111</v>
      </c>
      <c r="D46" s="36" t="s">
        <v>42</v>
      </c>
      <c r="E46" s="85" t="s">
        <v>65</v>
      </c>
      <c r="F46" s="36" t="s">
        <v>12</v>
      </c>
      <c r="G46" s="57" t="s">
        <v>184</v>
      </c>
      <c r="H46" s="53">
        <v>0.66666666666666663</v>
      </c>
      <c r="I46" s="6" t="str">
        <f>LEFT(Table1[[#This Row],[تاریخ توقف]],4)</f>
        <v>1403</v>
      </c>
      <c r="J46" s="6" t="str">
        <f>VLOOKUP(Table1[[#This Row],[ماه توقف]],Table2[],3,0)</f>
        <v>زمستان</v>
      </c>
      <c r="K46" s="3">
        <f>_xlfn.NUMBERVALUE(RIGHT(LEFT(Table1[[#This Row],[تاریخ توقف]],7),2))</f>
        <v>12</v>
      </c>
      <c r="L46" s="3" t="str">
        <f>RIGHT(LEFT(Table1[[#This Row],[تاریخ توقف]],10),2)</f>
        <v>12</v>
      </c>
      <c r="M46" s="3">
        <f>HOUR(Table1[[#This Row],[زمان شروع توقف]])</f>
        <v>16</v>
      </c>
      <c r="N46" s="3">
        <f>MINUTE(Table1[[#This Row],[زمان شروع توقف]])</f>
        <v>0</v>
      </c>
      <c r="O46" s="3">
        <f>((Table1[[#This Row],[سال توقف]]*365+IF(Table1[[#This Row],[ماه توقف]]&lt;7,(Table1[[#This Row],[ماه توقف]]-1)*31,6*31+(Table1[[#This Row],[ماه توقف]]-6-1)*30)+(Table1[[#This Row],[روز توقف]])-1)*24+Table1[[#This Row],[ساعت توقف2]])*60+Table1[[#This Row],[دقیقه توقف]]</f>
        <v>737917440</v>
      </c>
      <c r="P46" s="57" t="s">
        <v>184</v>
      </c>
      <c r="Q46" s="53">
        <v>0.74652777777777779</v>
      </c>
      <c r="R46" s="3" t="str">
        <f>LEFT(Table1[[#This Row],[تاریخ پایان توقف]],4)</f>
        <v>1403</v>
      </c>
      <c r="S46" s="3" t="str">
        <f>_xlfn.IFNA(VLOOKUP(Table1[[#This Row],[ماه رفع توقف]],Table2[],3,0),"در حال تعمیر")</f>
        <v>زمستان</v>
      </c>
      <c r="T46" s="3">
        <f>_xlfn.NUMBERVALUE(RIGHT(LEFT(Table1[[#This Row],[تاریخ پایان توقف]],7),2))</f>
        <v>12</v>
      </c>
      <c r="U46" s="3" t="str">
        <f>RIGHT(LEFT(Table1[[#This Row],[تاریخ پایان توقف]],10),2)</f>
        <v>12</v>
      </c>
      <c r="V46" s="3">
        <f>HOUR(Table1[[#This Row],[زمان پایان توقف]])</f>
        <v>17</v>
      </c>
      <c r="W46" s="3">
        <f>MINUTE(Table1[[#This Row],[زمان پایان توقف]])</f>
        <v>55</v>
      </c>
      <c r="X4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737917555</v>
      </c>
      <c r="Y46" s="42" t="s">
        <v>183</v>
      </c>
      <c r="Z46" s="83">
        <f>IFERROR((IF(Table1[[#This Row],[تاریخ پایان توقف]]&lt;&gt;"",Table1[[#This Row],[زمان رفع توقف]]-Table1[[#This Row],[زمان توقف]],"")/60),"")</f>
        <v>1.9166666666666667</v>
      </c>
      <c r="AA46" s="3">
        <f>VLOOKUP(E46,Table4[],4,0)</f>
        <v>24</v>
      </c>
      <c r="AB46" s="3">
        <f>VLOOKUP(E46,Table4[],5,0)</f>
        <v>0.2</v>
      </c>
      <c r="AC46" s="3">
        <v>360</v>
      </c>
      <c r="AD46" s="3">
        <f>VLOOKUP(E46,Table4[],7,0)</f>
        <v>720</v>
      </c>
      <c r="AE46" s="83">
        <f>IF(Table1[[#This Row],[زمان آخرین رفع توقف قبل از توقف فعلی]]="","",(Table1[[#This Row],[زمان توقف]]-Table1[[#This Row],[زمان آخرین رفع توقف قبل از توقف فعلی]])/60)</f>
        <v>14.916666666666666</v>
      </c>
      <c r="AF4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737916545</v>
      </c>
    </row>
    <row r="47" spans="1:32">
      <c r="A47" s="36">
        <v>48</v>
      </c>
      <c r="B47" s="36" t="s">
        <v>98</v>
      </c>
      <c r="C47" s="36" t="s">
        <v>89</v>
      </c>
      <c r="D47" s="36" t="s">
        <v>88</v>
      </c>
      <c r="E47" s="85" t="s">
        <v>91</v>
      </c>
      <c r="F47" s="36" t="s">
        <v>12</v>
      </c>
      <c r="G47" s="57" t="s">
        <v>186</v>
      </c>
      <c r="H47" s="53">
        <v>0.4375</v>
      </c>
      <c r="I47" s="6" t="str">
        <f>LEFT(Table1[[#This Row],[تاریخ توقف]],4)</f>
        <v>1403</v>
      </c>
      <c r="J47" s="6" t="str">
        <f>VLOOKUP(Table1[[#This Row],[ماه توقف]],Table2[],3,0)</f>
        <v>زمستان</v>
      </c>
      <c r="K47" s="3">
        <f>_xlfn.NUMBERVALUE(RIGHT(LEFT(Table1[[#This Row],[تاریخ توقف]],7),2))</f>
        <v>12</v>
      </c>
      <c r="L47" s="3" t="str">
        <f>RIGHT(LEFT(Table1[[#This Row],[تاریخ توقف]],10),2)</f>
        <v>14</v>
      </c>
      <c r="M47" s="3">
        <f>HOUR(Table1[[#This Row],[زمان شروع توقف]])</f>
        <v>10</v>
      </c>
      <c r="N47" s="3">
        <f>MINUTE(Table1[[#This Row],[زمان شروع توقف]])</f>
        <v>30</v>
      </c>
      <c r="O47" s="3">
        <f>((Table1[[#This Row],[سال توقف]]*365+IF(Table1[[#This Row],[ماه توقف]]&lt;7,(Table1[[#This Row],[ماه توقف]]-1)*31,6*31+(Table1[[#This Row],[ماه توقف]]-6-1)*30)+(Table1[[#This Row],[روز توقف]])-1)*24+Table1[[#This Row],[ساعت توقف2]])*60+Table1[[#This Row],[دقیقه توقف]]</f>
        <v>737919990</v>
      </c>
      <c r="P47" s="57" t="s">
        <v>186</v>
      </c>
      <c r="Q47" s="53">
        <v>0.625</v>
      </c>
      <c r="R47" s="3" t="str">
        <f>LEFT(Table1[[#This Row],[تاریخ پایان توقف]],4)</f>
        <v>1403</v>
      </c>
      <c r="S47" s="3" t="str">
        <f>_xlfn.IFNA(VLOOKUP(Table1[[#This Row],[ماه رفع توقف]],Table2[],3,0),"در حال تعمیر")</f>
        <v>زمستان</v>
      </c>
      <c r="T47" s="3">
        <f>_xlfn.NUMBERVALUE(RIGHT(LEFT(Table1[[#This Row],[تاریخ پایان توقف]],7),2))</f>
        <v>12</v>
      </c>
      <c r="U47" s="3" t="str">
        <f>RIGHT(LEFT(Table1[[#This Row],[تاریخ پایان توقف]],10),2)</f>
        <v>14</v>
      </c>
      <c r="V47" s="3">
        <f>HOUR(Table1[[#This Row],[زمان پایان توقف]])</f>
        <v>15</v>
      </c>
      <c r="W47" s="3">
        <f>MINUTE(Table1[[#This Row],[زمان پایان توقف]])</f>
        <v>0</v>
      </c>
      <c r="X4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737920260</v>
      </c>
      <c r="Y47" s="42" t="s">
        <v>187</v>
      </c>
      <c r="Z47" s="83">
        <f>IFERROR((IF(Table1[[#This Row],[تاریخ پایان توقف]]&lt;&gt;"",Table1[[#This Row],[زمان رفع توقف]]-Table1[[#This Row],[زمان توقف]],"")/60),"")</f>
        <v>4.5</v>
      </c>
      <c r="AA47" s="3">
        <f>VLOOKUP(E47,Table4[],4,0)</f>
        <v>24</v>
      </c>
      <c r="AB47" s="3">
        <f>VLOOKUP(E47,Table4[],5,0)</f>
        <v>0.2</v>
      </c>
      <c r="AC47" s="3">
        <v>360</v>
      </c>
      <c r="AD47" s="3">
        <f>VLOOKUP(E47,Table4[],7,0)</f>
        <v>720</v>
      </c>
      <c r="AE47" s="83">
        <f>IF(Table1[[#This Row],[زمان آخرین رفع توقف قبل از توقف فعلی]]="","",(Table1[[#This Row],[زمان توقف]]-Table1[[#This Row],[زمان آخرین رفع توقف قبل از توقف فعلی]])/60)</f>
        <v>157.93333333333334</v>
      </c>
      <c r="AF4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737910514</v>
      </c>
    </row>
    <row r="48" spans="1:32">
      <c r="A48" s="36">
        <v>49</v>
      </c>
      <c r="B48" s="36" t="s">
        <v>98</v>
      </c>
      <c r="C48" s="36" t="s">
        <v>121</v>
      </c>
      <c r="D48" s="36" t="s">
        <v>120</v>
      </c>
      <c r="E48" s="85" t="s">
        <v>122</v>
      </c>
      <c r="F48" s="36" t="s">
        <v>12</v>
      </c>
      <c r="G48" s="57" t="s">
        <v>188</v>
      </c>
      <c r="H48" s="53">
        <v>2.7777777777777776E-2</v>
      </c>
      <c r="I48" s="6" t="str">
        <f>LEFT(Table1[[#This Row],[تاریخ توقف]],4)</f>
        <v>1403</v>
      </c>
      <c r="J48" s="6" t="str">
        <f>VLOOKUP(Table1[[#This Row],[ماه توقف]],Table2[],3,0)</f>
        <v>زمستان</v>
      </c>
      <c r="K48" s="3">
        <f>_xlfn.NUMBERVALUE(RIGHT(LEFT(Table1[[#This Row],[تاریخ توقف]],7),2))</f>
        <v>12</v>
      </c>
      <c r="L48" s="3" t="str">
        <f>RIGHT(LEFT(Table1[[#This Row],[تاریخ توقف]],10),2)</f>
        <v>15</v>
      </c>
      <c r="M48" s="3">
        <f>HOUR(Table1[[#This Row],[زمان شروع توقف]])</f>
        <v>0</v>
      </c>
      <c r="N48" s="3">
        <f>MINUTE(Table1[[#This Row],[زمان شروع توقف]])</f>
        <v>40</v>
      </c>
      <c r="O48" s="3">
        <f>((Table1[[#This Row],[سال توقف]]*365+IF(Table1[[#This Row],[ماه توقف]]&lt;7,(Table1[[#This Row],[ماه توقف]]-1)*31,6*31+(Table1[[#This Row],[ماه توقف]]-6-1)*30)+(Table1[[#This Row],[روز توقف]])-1)*24+Table1[[#This Row],[ساعت توقف2]])*60+Table1[[#This Row],[دقیقه توقف]]</f>
        <v>737920840</v>
      </c>
      <c r="P48" s="57" t="s">
        <v>188</v>
      </c>
      <c r="Q48" s="53">
        <v>4.8611111111111112E-2</v>
      </c>
      <c r="R48" s="3" t="str">
        <f>LEFT(Table1[[#This Row],[تاریخ پایان توقف]],4)</f>
        <v>1403</v>
      </c>
      <c r="S48" s="3" t="str">
        <f>_xlfn.IFNA(VLOOKUP(Table1[[#This Row],[ماه رفع توقف]],Table2[],3,0),"در حال تعمیر")</f>
        <v>زمستان</v>
      </c>
      <c r="T48" s="3">
        <f>_xlfn.NUMBERVALUE(RIGHT(LEFT(Table1[[#This Row],[تاریخ پایان توقف]],7),2))</f>
        <v>12</v>
      </c>
      <c r="U48" s="3" t="str">
        <f>RIGHT(LEFT(Table1[[#This Row],[تاریخ پایان توقف]],10),2)</f>
        <v>15</v>
      </c>
      <c r="V48" s="3">
        <f>HOUR(Table1[[#This Row],[زمان پایان توقف]])</f>
        <v>1</v>
      </c>
      <c r="W48" s="3">
        <f>MINUTE(Table1[[#This Row],[زمان پایان توقف]])</f>
        <v>10</v>
      </c>
      <c r="X4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737920870</v>
      </c>
      <c r="Y48" s="44" t="s">
        <v>189</v>
      </c>
      <c r="Z48" s="83">
        <f>IFERROR((IF(Table1[[#This Row],[تاریخ پایان توقف]]&lt;&gt;"",Table1[[#This Row],[زمان رفع توقف]]-Table1[[#This Row],[زمان توقف]],"")/60),"")</f>
        <v>0.5</v>
      </c>
      <c r="AA48" s="3">
        <f>VLOOKUP(E48,Table4[],4,0)</f>
        <v>24</v>
      </c>
      <c r="AB48" s="3">
        <f>VLOOKUP(E48,Table4[],5,0)</f>
        <v>0.2</v>
      </c>
      <c r="AC48" s="3">
        <v>360</v>
      </c>
      <c r="AD48" s="3">
        <f>VLOOKUP(E48,Table4[],7,0)</f>
        <v>720</v>
      </c>
      <c r="AE48" s="83">
        <f>IF(Table1[[#This Row],[زمان آخرین رفع توقف قبل از توقف فعلی]]="","",(Table1[[#This Row],[زمان توقف]]-Table1[[#This Row],[زمان آخرین رفع توقف قبل از توقف فعلی]])/60)</f>
        <v>54.833333333333336</v>
      </c>
      <c r="AF4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737917550</v>
      </c>
    </row>
    <row r="49" spans="1:32">
      <c r="A49" s="36">
        <v>50</v>
      </c>
      <c r="B49" s="36" t="s">
        <v>97</v>
      </c>
      <c r="C49" s="36" t="s">
        <v>111</v>
      </c>
      <c r="D49" s="36" t="s">
        <v>42</v>
      </c>
      <c r="E49" s="85" t="s">
        <v>65</v>
      </c>
      <c r="F49" s="36" t="s">
        <v>12</v>
      </c>
      <c r="G49" s="57" t="s">
        <v>188</v>
      </c>
      <c r="H49" s="53">
        <v>0.33333333333333331</v>
      </c>
      <c r="I49" s="6" t="str">
        <f>LEFT(Table1[[#This Row],[تاریخ توقف]],4)</f>
        <v>1403</v>
      </c>
      <c r="J49" s="6" t="str">
        <f>VLOOKUP(Table1[[#This Row],[ماه توقف]],Table2[],3,0)</f>
        <v>زمستان</v>
      </c>
      <c r="K49" s="3">
        <f>_xlfn.NUMBERVALUE(RIGHT(LEFT(Table1[[#This Row],[تاریخ توقف]],7),2))</f>
        <v>12</v>
      </c>
      <c r="L49" s="3" t="str">
        <f>RIGHT(LEFT(Table1[[#This Row],[تاریخ توقف]],10),2)</f>
        <v>15</v>
      </c>
      <c r="M49" s="3">
        <f>HOUR(Table1[[#This Row],[زمان شروع توقف]])</f>
        <v>8</v>
      </c>
      <c r="N49" s="3">
        <f>MINUTE(Table1[[#This Row],[زمان شروع توقف]])</f>
        <v>0</v>
      </c>
      <c r="O49" s="3">
        <f>((Table1[[#This Row],[سال توقف]]*365+IF(Table1[[#This Row],[ماه توقف]]&lt;7,(Table1[[#This Row],[ماه توقف]]-1)*31,6*31+(Table1[[#This Row],[ماه توقف]]-6-1)*30)+(Table1[[#This Row],[روز توقف]])-1)*24+Table1[[#This Row],[ساعت توقف2]])*60+Table1[[#This Row],[دقیقه توقف]]</f>
        <v>737921280</v>
      </c>
      <c r="P49" s="57" t="s">
        <v>188</v>
      </c>
      <c r="Q49" s="53">
        <v>0.35138888888888892</v>
      </c>
      <c r="R49" s="3" t="str">
        <f>LEFT(Table1[[#This Row],[تاریخ پایان توقف]],4)</f>
        <v>1403</v>
      </c>
      <c r="S49" s="3" t="str">
        <f>_xlfn.IFNA(VLOOKUP(Table1[[#This Row],[ماه رفع توقف]],Table2[],3,0),"در حال تعمیر")</f>
        <v>زمستان</v>
      </c>
      <c r="T49" s="3">
        <f>_xlfn.NUMBERVALUE(RIGHT(LEFT(Table1[[#This Row],[تاریخ پایان توقف]],7),2))</f>
        <v>12</v>
      </c>
      <c r="U49" s="3" t="str">
        <f>RIGHT(LEFT(Table1[[#This Row],[تاریخ پایان توقف]],10),2)</f>
        <v>15</v>
      </c>
      <c r="V49" s="3">
        <f>HOUR(Table1[[#This Row],[زمان پایان توقف]])</f>
        <v>8</v>
      </c>
      <c r="W49" s="3">
        <f>MINUTE(Table1[[#This Row],[زمان پایان توقف]])</f>
        <v>26</v>
      </c>
      <c r="X4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737921306</v>
      </c>
      <c r="Y49" s="44" t="s">
        <v>190</v>
      </c>
      <c r="Z49" s="83">
        <f>IFERROR((IF(Table1[[#This Row],[تاریخ پایان توقف]]&lt;&gt;"",Table1[[#This Row],[زمان رفع توقف]]-Table1[[#This Row],[زمان توقف]],"")/60),"")</f>
        <v>0.43333333333333335</v>
      </c>
      <c r="AA49" s="3">
        <f>VLOOKUP(E49,Table4[],4,0)</f>
        <v>24</v>
      </c>
      <c r="AB49" s="3">
        <f>VLOOKUP(E49,Table4[],5,0)</f>
        <v>0.2</v>
      </c>
      <c r="AC49" s="3">
        <v>360</v>
      </c>
      <c r="AD49" s="3">
        <f>VLOOKUP(E49,Table4[],7,0)</f>
        <v>720</v>
      </c>
      <c r="AE49" s="83">
        <f>IF(Table1[[#This Row],[زمان آخرین رفع توقف قبل از توقف فعلی]]="","",(Table1[[#This Row],[زمان توقف]]-Table1[[#This Row],[زمان آخرین رفع توقف قبل از توقف فعلی]])/60)</f>
        <v>62.083333333333336</v>
      </c>
      <c r="AF4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737917555</v>
      </c>
    </row>
    <row r="50" spans="1:32">
      <c r="A50" s="36">
        <v>51</v>
      </c>
      <c r="B50" s="36" t="s">
        <v>99</v>
      </c>
      <c r="C50" s="36" t="s">
        <v>90</v>
      </c>
      <c r="D50" s="36" t="s">
        <v>191</v>
      </c>
      <c r="E50" s="85" t="s">
        <v>93</v>
      </c>
      <c r="F50" s="36" t="s">
        <v>12</v>
      </c>
      <c r="G50" s="57" t="s">
        <v>188</v>
      </c>
      <c r="H50" s="53">
        <v>0.83333333333333337</v>
      </c>
      <c r="I50" s="6" t="str">
        <f>LEFT(Table1[[#This Row],[تاریخ توقف]],4)</f>
        <v>1403</v>
      </c>
      <c r="J50" s="6" t="str">
        <f>VLOOKUP(Table1[[#This Row],[ماه توقف]],Table2[],3,0)</f>
        <v>زمستان</v>
      </c>
      <c r="K50" s="3">
        <f>_xlfn.NUMBERVALUE(RIGHT(LEFT(Table1[[#This Row],[تاریخ توقف]],7),2))</f>
        <v>12</v>
      </c>
      <c r="L50" s="3" t="str">
        <f>RIGHT(LEFT(Table1[[#This Row],[تاریخ توقف]],10),2)</f>
        <v>15</v>
      </c>
      <c r="M50" s="3">
        <f>HOUR(Table1[[#This Row],[زمان شروع توقف]])</f>
        <v>20</v>
      </c>
      <c r="N50" s="3">
        <f>MINUTE(Table1[[#This Row],[زمان شروع توقف]])</f>
        <v>0</v>
      </c>
      <c r="O50" s="3">
        <f>((Table1[[#This Row],[سال توقف]]*365+IF(Table1[[#This Row],[ماه توقف]]&lt;7,(Table1[[#This Row],[ماه توقف]]-1)*31,6*31+(Table1[[#This Row],[ماه توقف]]-6-1)*30)+(Table1[[#This Row],[روز توقف]])-1)*24+Table1[[#This Row],[ساعت توقف2]])*60+Table1[[#This Row],[دقیقه توقف]]</f>
        <v>737922000</v>
      </c>
      <c r="P50" s="57" t="s">
        <v>192</v>
      </c>
      <c r="Q50" s="53">
        <v>0.54166666666666663</v>
      </c>
      <c r="R50" s="3" t="str">
        <f>LEFT(Table1[[#This Row],[تاریخ پایان توقف]],4)</f>
        <v>1403</v>
      </c>
      <c r="S50" s="3" t="str">
        <f>_xlfn.IFNA(VLOOKUP(Table1[[#This Row],[ماه رفع توقف]],Table2[],3,0),"در حال تعمیر")</f>
        <v>زمستان</v>
      </c>
      <c r="T50" s="3">
        <f>_xlfn.NUMBERVALUE(RIGHT(LEFT(Table1[[#This Row],[تاریخ پایان توقف]],7),2))</f>
        <v>12</v>
      </c>
      <c r="U50" s="3" t="str">
        <f>RIGHT(LEFT(Table1[[#This Row],[تاریخ پایان توقف]],10),2)</f>
        <v>16</v>
      </c>
      <c r="V50" s="3">
        <f>HOUR(Table1[[#This Row],[زمان پایان توقف]])</f>
        <v>13</v>
      </c>
      <c r="W50" s="3">
        <f>MINUTE(Table1[[#This Row],[زمان پایان توقف]])</f>
        <v>0</v>
      </c>
      <c r="X5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737923020</v>
      </c>
      <c r="Y50" s="42" t="s">
        <v>193</v>
      </c>
      <c r="Z50" s="83">
        <f>IFERROR((IF(Table1[[#This Row],[تاریخ پایان توقف]]&lt;&gt;"",Table1[[#This Row],[زمان رفع توقف]]-Table1[[#This Row],[زمان توقف]],"")/60),"")</f>
        <v>17</v>
      </c>
      <c r="AA50" s="3">
        <f>VLOOKUP(E50,Table4[],4,0)</f>
        <v>24</v>
      </c>
      <c r="AB50" s="3">
        <f>VLOOKUP(E50,Table4[],5,0)</f>
        <v>0.2</v>
      </c>
      <c r="AC50" s="3">
        <v>360</v>
      </c>
      <c r="AD50" s="3">
        <f>VLOOKUP(E50,Table4[],7,0)</f>
        <v>720</v>
      </c>
      <c r="AE50" s="83" t="str">
        <f>IF(Table1[[#This Row],[زمان آخرین رفع توقف قبل از توقف فعلی]]="","",(Table1[[#This Row],[زمان توقف]]-Table1[[#This Row],[زمان آخرین رفع توقف قبل از توقف فعلی]])/60)</f>
        <v/>
      </c>
      <c r="AF50"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51" spans="1:32">
      <c r="A51" s="36">
        <v>52</v>
      </c>
      <c r="B51" s="36" t="s">
        <v>98</v>
      </c>
      <c r="C51" s="36" t="s">
        <v>116</v>
      </c>
      <c r="D51" s="36" t="s">
        <v>115</v>
      </c>
      <c r="E51" s="85" t="s">
        <v>117</v>
      </c>
      <c r="F51" s="36" t="s">
        <v>12</v>
      </c>
      <c r="G51" s="57" t="s">
        <v>192</v>
      </c>
      <c r="H51" s="53">
        <v>0.82291666666666663</v>
      </c>
      <c r="I51" s="6" t="str">
        <f>LEFT(Table1[[#This Row],[تاریخ توقف]],4)</f>
        <v>1403</v>
      </c>
      <c r="J51" s="6" t="str">
        <f>VLOOKUP(Table1[[#This Row],[ماه توقف]],Table2[],3,0)</f>
        <v>زمستان</v>
      </c>
      <c r="K51" s="3">
        <f>_xlfn.NUMBERVALUE(RIGHT(LEFT(Table1[[#This Row],[تاریخ توقف]],7),2))</f>
        <v>12</v>
      </c>
      <c r="L51" s="3" t="str">
        <f>RIGHT(LEFT(Table1[[#This Row],[تاریخ توقف]],10),2)</f>
        <v>16</v>
      </c>
      <c r="M51" s="3">
        <f>HOUR(Table1[[#This Row],[زمان شروع توقف]])</f>
        <v>19</v>
      </c>
      <c r="N51" s="3">
        <f>MINUTE(Table1[[#This Row],[زمان شروع توقف]])</f>
        <v>45</v>
      </c>
      <c r="O51" s="3">
        <f>((Table1[[#This Row],[سال توقف]]*365+IF(Table1[[#This Row],[ماه توقف]]&lt;7,(Table1[[#This Row],[ماه توقف]]-1)*31,6*31+(Table1[[#This Row],[ماه توقف]]-6-1)*30)+(Table1[[#This Row],[روز توقف]])-1)*24+Table1[[#This Row],[ساعت توقف2]])*60+Table1[[#This Row],[دقیقه توقف]]</f>
        <v>737923425</v>
      </c>
      <c r="P51" s="57" t="s">
        <v>192</v>
      </c>
      <c r="Q51" s="53">
        <v>0.86458333333333337</v>
      </c>
      <c r="R51" s="3" t="str">
        <f>LEFT(Table1[[#This Row],[تاریخ پایان توقف]],4)</f>
        <v>1403</v>
      </c>
      <c r="S51" s="3" t="str">
        <f>_xlfn.IFNA(VLOOKUP(Table1[[#This Row],[ماه رفع توقف]],Table2[],3,0),"در حال تعمیر")</f>
        <v>زمستان</v>
      </c>
      <c r="T51" s="3">
        <f>_xlfn.NUMBERVALUE(RIGHT(LEFT(Table1[[#This Row],[تاریخ پایان توقف]],7),2))</f>
        <v>12</v>
      </c>
      <c r="U51" s="3" t="str">
        <f>RIGHT(LEFT(Table1[[#This Row],[تاریخ پایان توقف]],10),2)</f>
        <v>16</v>
      </c>
      <c r="V51" s="3">
        <f>HOUR(Table1[[#This Row],[زمان پایان توقف]])</f>
        <v>20</v>
      </c>
      <c r="W51" s="3">
        <f>MINUTE(Table1[[#This Row],[زمان پایان توقف]])</f>
        <v>45</v>
      </c>
      <c r="X5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737923485</v>
      </c>
      <c r="Y51" s="42" t="s">
        <v>194</v>
      </c>
      <c r="Z51" s="83">
        <f>IFERROR((IF(Table1[[#This Row],[تاریخ پایان توقف]]&lt;&gt;"",Table1[[#This Row],[زمان رفع توقف]]-Table1[[#This Row],[زمان توقف]],"")/60),"")</f>
        <v>1</v>
      </c>
      <c r="AA51" s="3">
        <f>VLOOKUP(E51,Table4[],4,0)</f>
        <v>24</v>
      </c>
      <c r="AB51" s="3">
        <f>VLOOKUP(E51,Table4[],5,0)</f>
        <v>0.2</v>
      </c>
      <c r="AC51" s="3">
        <v>360</v>
      </c>
      <c r="AD51" s="3">
        <f>VLOOKUP(E51,Table4[],7,0)</f>
        <v>720</v>
      </c>
      <c r="AE51" s="83">
        <f>IF(Table1[[#This Row],[زمان آخرین رفع توقف قبل از توقف فعلی]]="","",(Table1[[#This Row],[زمان توقف]]-Table1[[#This Row],[زمان آخرین رفع توقف قبل از توقف فعلی]])/60)</f>
        <v>97.916666666666671</v>
      </c>
      <c r="AF5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737917550</v>
      </c>
    </row>
    <row r="52" spans="1:32">
      <c r="A52" s="36">
        <v>53</v>
      </c>
      <c r="B52" s="36" t="s">
        <v>98</v>
      </c>
      <c r="C52" s="36" t="s">
        <v>116</v>
      </c>
      <c r="D52" s="36" t="s">
        <v>115</v>
      </c>
      <c r="E52" s="85" t="s">
        <v>117</v>
      </c>
      <c r="F52" s="36" t="s">
        <v>12</v>
      </c>
      <c r="G52" s="57" t="s">
        <v>195</v>
      </c>
      <c r="H52" s="53">
        <v>0.33333333333333331</v>
      </c>
      <c r="I52" s="6" t="str">
        <f>LEFT(Table1[[#This Row],[تاریخ توقف]],4)</f>
        <v>1403</v>
      </c>
      <c r="J52" s="6" t="str">
        <f>VLOOKUP(Table1[[#This Row],[ماه توقف]],Table2[],3,0)</f>
        <v>زمستان</v>
      </c>
      <c r="K52" s="3">
        <f>_xlfn.NUMBERVALUE(RIGHT(LEFT(Table1[[#This Row],[تاریخ توقف]],7),2))</f>
        <v>12</v>
      </c>
      <c r="L52" s="3" t="str">
        <f>RIGHT(LEFT(Table1[[#This Row],[تاریخ توقف]],10),2)</f>
        <v>18</v>
      </c>
      <c r="M52" s="3">
        <f>HOUR(Table1[[#This Row],[زمان شروع توقف]])</f>
        <v>8</v>
      </c>
      <c r="N52" s="3">
        <f>MINUTE(Table1[[#This Row],[زمان شروع توقف]])</f>
        <v>0</v>
      </c>
      <c r="O52" s="3">
        <f>((Table1[[#This Row],[سال توقف]]*365+IF(Table1[[#This Row],[ماه توقف]]&lt;7,(Table1[[#This Row],[ماه توقف]]-1)*31,6*31+(Table1[[#This Row],[ماه توقف]]-6-1)*30)+(Table1[[#This Row],[روز توقف]])-1)*24+Table1[[#This Row],[ساعت توقف2]])*60+Table1[[#This Row],[دقیقه توقف]]</f>
        <v>737925600</v>
      </c>
      <c r="P52" s="57" t="s">
        <v>195</v>
      </c>
      <c r="Q52" s="53">
        <v>0.47916666666666669</v>
      </c>
      <c r="R52" s="3" t="str">
        <f>LEFT(Table1[[#This Row],[تاریخ پایان توقف]],4)</f>
        <v>1403</v>
      </c>
      <c r="S52" s="3" t="str">
        <f>_xlfn.IFNA(VLOOKUP(Table1[[#This Row],[ماه رفع توقف]],Table2[],3,0),"در حال تعمیر")</f>
        <v>زمستان</v>
      </c>
      <c r="T52" s="3">
        <f>_xlfn.NUMBERVALUE(RIGHT(LEFT(Table1[[#This Row],[تاریخ پایان توقف]],7),2))</f>
        <v>12</v>
      </c>
      <c r="U52" s="3" t="str">
        <f>RIGHT(LEFT(Table1[[#This Row],[تاریخ پایان توقف]],10),2)</f>
        <v>18</v>
      </c>
      <c r="V52" s="3">
        <f>HOUR(Table1[[#This Row],[زمان پایان توقف]])</f>
        <v>11</v>
      </c>
      <c r="W52" s="3">
        <f>MINUTE(Table1[[#This Row],[زمان پایان توقف]])</f>
        <v>30</v>
      </c>
      <c r="X5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737925810</v>
      </c>
      <c r="Y52" s="42" t="s">
        <v>196</v>
      </c>
      <c r="Z52" s="83">
        <f>IFERROR((IF(Table1[[#This Row],[تاریخ پایان توقف]]&lt;&gt;"",Table1[[#This Row],[زمان رفع توقف]]-Table1[[#This Row],[زمان توقف]],"")/60),"")</f>
        <v>3.5</v>
      </c>
      <c r="AA52" s="3">
        <f>VLOOKUP(E52,Table4[],4,0)</f>
        <v>24</v>
      </c>
      <c r="AB52" s="3">
        <f>VLOOKUP(E52,Table4[],5,0)</f>
        <v>0.2</v>
      </c>
      <c r="AC52" s="3">
        <v>360</v>
      </c>
      <c r="AD52" s="3">
        <f>VLOOKUP(E52,Table4[],7,0)</f>
        <v>720</v>
      </c>
      <c r="AE52" s="83">
        <f>IF(Table1[[#This Row],[زمان آخرین رفع توقف قبل از توقف فعلی]]="","",(Table1[[#This Row],[زمان توقف]]-Table1[[#This Row],[زمان آخرین رفع توقف قبل از توقف فعلی]])/60)</f>
        <v>35.25</v>
      </c>
      <c r="AF5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737923485</v>
      </c>
    </row>
    <row r="53" spans="1:32">
      <c r="A53" s="36">
        <v>54</v>
      </c>
      <c r="B53" s="36" t="s">
        <v>98</v>
      </c>
      <c r="C53" s="36" t="s">
        <v>185</v>
      </c>
      <c r="D53" s="36" t="s">
        <v>106</v>
      </c>
      <c r="E53" s="85" t="s">
        <v>107</v>
      </c>
      <c r="F53" s="36" t="s">
        <v>12</v>
      </c>
      <c r="G53" s="57" t="s">
        <v>197</v>
      </c>
      <c r="H53" s="53">
        <v>0.73263888888888884</v>
      </c>
      <c r="I53" s="6" t="str">
        <f>LEFT(Table1[[#This Row],[تاریخ توقف]],4)</f>
        <v>1403</v>
      </c>
      <c r="J53" s="6" t="str">
        <f>VLOOKUP(Table1[[#This Row],[ماه توقف]],Table2[],3,0)</f>
        <v>زمستان</v>
      </c>
      <c r="K53" s="3">
        <f>_xlfn.NUMBERVALUE(RIGHT(LEFT(Table1[[#This Row],[تاریخ توقف]],7),2))</f>
        <v>12</v>
      </c>
      <c r="L53" s="3" t="str">
        <f>RIGHT(LEFT(Table1[[#This Row],[تاریخ توقف]],10),2)</f>
        <v>20</v>
      </c>
      <c r="M53" s="3">
        <f>HOUR(Table1[[#This Row],[زمان شروع توقف]])</f>
        <v>17</v>
      </c>
      <c r="N53" s="3">
        <f>MINUTE(Table1[[#This Row],[زمان شروع توقف]])</f>
        <v>35</v>
      </c>
      <c r="O53" s="3">
        <f>((Table1[[#This Row],[سال توقف]]*365+IF(Table1[[#This Row],[ماه توقف]]&lt;7,(Table1[[#This Row],[ماه توقف]]-1)*31,6*31+(Table1[[#This Row],[ماه توقف]]-6-1)*30)+(Table1[[#This Row],[روز توقف]])-1)*24+Table1[[#This Row],[ساعت توقف2]])*60+Table1[[#This Row],[دقیقه توقف]]</f>
        <v>737929055</v>
      </c>
      <c r="P53" s="57" t="s">
        <v>970</v>
      </c>
      <c r="Q53" s="53">
        <v>0.4375</v>
      </c>
      <c r="R53" s="3" t="str">
        <f>LEFT(Table1[[#This Row],[تاریخ پایان توقف]],4)</f>
        <v>1403</v>
      </c>
      <c r="S53" s="3" t="str">
        <f>_xlfn.IFNA(VLOOKUP(Table1[[#This Row],[ماه رفع توقف]],Table2[],3,0),"در حال تعمیر")</f>
        <v>زمستان</v>
      </c>
      <c r="T53" s="3">
        <f>_xlfn.NUMBERVALUE(RIGHT(LEFT(Table1[[#This Row],[تاریخ پایان توقف]],7),2))</f>
        <v>12</v>
      </c>
      <c r="U53" s="3" t="str">
        <f>RIGHT(LEFT(Table1[[#This Row],[تاریخ پایان توقف]],10),2)</f>
        <v>21</v>
      </c>
      <c r="V53" s="3">
        <f>HOUR(Table1[[#This Row],[زمان پایان توقف]])</f>
        <v>10</v>
      </c>
      <c r="W53" s="3">
        <f>MINUTE(Table1[[#This Row],[زمان پایان توقف]])</f>
        <v>30</v>
      </c>
      <c r="X5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737930070</v>
      </c>
      <c r="Y53" s="42" t="s">
        <v>198</v>
      </c>
      <c r="Z53" s="83">
        <f>IFERROR((IF(Table1[[#This Row],[تاریخ پایان توقف]]&lt;&gt;"",Table1[[#This Row],[زمان رفع توقف]]-Table1[[#This Row],[زمان توقف]],"")/60),"")</f>
        <v>16.916666666666668</v>
      </c>
      <c r="AA53" s="3">
        <f>VLOOKUP(E53,Table4[],4,0)</f>
        <v>24</v>
      </c>
      <c r="AB53" s="3">
        <f>VLOOKUP(E53,Table4[],5,0)</f>
        <v>0.2</v>
      </c>
      <c r="AC53" s="3">
        <v>360</v>
      </c>
      <c r="AD53" s="3">
        <f>VLOOKUP(E53,Table4[],7,0)</f>
        <v>720</v>
      </c>
      <c r="AE53" s="83">
        <f>IF(Table1[[#This Row],[زمان آخرین رفع توقف قبل از توقف فعلی]]="","",(Table1[[#This Row],[زمان توقف]]-Table1[[#This Row],[زمان آخرین رفع توقف قبل از توقف فعلی]])/60)</f>
        <v>191.75</v>
      </c>
      <c r="AF5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737917550</v>
      </c>
    </row>
    <row r="54" spans="1:32">
      <c r="A54" s="36">
        <v>55</v>
      </c>
      <c r="B54" s="36" t="s">
        <v>98</v>
      </c>
      <c r="C54" s="36" t="s">
        <v>185</v>
      </c>
      <c r="D54" s="36" t="s">
        <v>106</v>
      </c>
      <c r="E54" s="85" t="s">
        <v>107</v>
      </c>
      <c r="F54" s="36" t="s">
        <v>12</v>
      </c>
      <c r="G54" s="56" t="s">
        <v>199</v>
      </c>
      <c r="H54" s="53">
        <v>0</v>
      </c>
      <c r="I54" s="6" t="str">
        <f>LEFT(Table1[[#This Row],[تاریخ توقف]],4)</f>
        <v>1403</v>
      </c>
      <c r="J54" s="6" t="str">
        <f>VLOOKUP(Table1[[#This Row],[ماه توقف]],Table2[],3,0)</f>
        <v>زمستان</v>
      </c>
      <c r="K54" s="3">
        <f>_xlfn.NUMBERVALUE(RIGHT(LEFT(Table1[[#This Row],[تاریخ توقف]],7),2))</f>
        <v>12</v>
      </c>
      <c r="L54" s="3" t="str">
        <f>RIGHT(LEFT(Table1[[#This Row],[تاریخ توقف]],10),2)</f>
        <v>22</v>
      </c>
      <c r="M54" s="3">
        <f>HOUR(Table1[[#This Row],[زمان شروع توقف]])</f>
        <v>0</v>
      </c>
      <c r="N54" s="3">
        <f>MINUTE(Table1[[#This Row],[زمان شروع توقف]])</f>
        <v>0</v>
      </c>
      <c r="O54" s="3">
        <f>((Table1[[#This Row],[سال توقف]]*365+IF(Table1[[#This Row],[ماه توقف]]&lt;7,(Table1[[#This Row],[ماه توقف]]-1)*31,6*31+(Table1[[#This Row],[ماه توقف]]-6-1)*30)+(Table1[[#This Row],[روز توقف]])-1)*24+Table1[[#This Row],[ساعت توقف2]])*60+Table1[[#This Row],[دقیقه توقف]]</f>
        <v>737930880</v>
      </c>
      <c r="P54" s="57" t="s">
        <v>199</v>
      </c>
      <c r="Q54" s="53">
        <v>0.15277777777777776</v>
      </c>
      <c r="R54" s="3" t="str">
        <f>LEFT(Table1[[#This Row],[تاریخ پایان توقف]],4)</f>
        <v>1403</v>
      </c>
      <c r="S54" s="3" t="str">
        <f>_xlfn.IFNA(VLOOKUP(Table1[[#This Row],[ماه رفع توقف]],Table2[],3,0),"در حال تعمیر")</f>
        <v>زمستان</v>
      </c>
      <c r="T54" s="3">
        <f>_xlfn.NUMBERVALUE(RIGHT(LEFT(Table1[[#This Row],[تاریخ پایان توقف]],7),2))</f>
        <v>12</v>
      </c>
      <c r="U54" s="3" t="str">
        <f>RIGHT(LEFT(Table1[[#This Row],[تاریخ پایان توقف]],10),2)</f>
        <v>22</v>
      </c>
      <c r="V54" s="3">
        <f>HOUR(Table1[[#This Row],[زمان پایان توقف]])</f>
        <v>3</v>
      </c>
      <c r="W54" s="3">
        <f>MINUTE(Table1[[#This Row],[زمان پایان توقف]])</f>
        <v>40</v>
      </c>
      <c r="X5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737931100</v>
      </c>
      <c r="Y54" s="42" t="s">
        <v>200</v>
      </c>
      <c r="Z54" s="83">
        <f>IFERROR((IF(Table1[[#This Row],[تاریخ پایان توقف]]&lt;&gt;"",Table1[[#This Row],[زمان رفع توقف]]-Table1[[#This Row],[زمان توقف]],"")/60),"")</f>
        <v>3.6666666666666665</v>
      </c>
      <c r="AA54" s="3">
        <f>VLOOKUP(E54,Table4[],4,0)</f>
        <v>24</v>
      </c>
      <c r="AB54" s="3">
        <f>VLOOKUP(E54,Table4[],5,0)</f>
        <v>0.2</v>
      </c>
      <c r="AC54" s="3">
        <v>360</v>
      </c>
      <c r="AD54" s="3">
        <f>VLOOKUP(E54,Table4[],7,0)</f>
        <v>720</v>
      </c>
      <c r="AE54" s="83">
        <f>IF(Table1[[#This Row],[زمان آخرین رفع توقف قبل از توقف فعلی]]="","",(Table1[[#This Row],[زمان توقف]]-Table1[[#This Row],[زمان آخرین رفع توقف قبل از توقف فعلی]])/60)</f>
        <v>13.5</v>
      </c>
      <c r="AF5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737930070</v>
      </c>
    </row>
    <row r="55" spans="1:32">
      <c r="A55" s="36">
        <v>56</v>
      </c>
      <c r="B55" s="36" t="s">
        <v>98</v>
      </c>
      <c r="C55" s="36" t="s">
        <v>121</v>
      </c>
      <c r="D55" s="36" t="s">
        <v>120</v>
      </c>
      <c r="E55" s="85" t="s">
        <v>122</v>
      </c>
      <c r="F55" s="36" t="s">
        <v>12</v>
      </c>
      <c r="G55" s="57" t="s">
        <v>871</v>
      </c>
      <c r="H55" s="53">
        <v>0.35138888888888892</v>
      </c>
      <c r="I55" s="6" t="str">
        <f>LEFT(Table1[[#This Row],[تاریخ توقف]],4)</f>
        <v>1403</v>
      </c>
      <c r="J55" s="6" t="str">
        <f>VLOOKUP(Table1[[#This Row],[ماه توقف]],Table2[],3,0)</f>
        <v>زمستان</v>
      </c>
      <c r="K55" s="3">
        <f>_xlfn.NUMBERVALUE(RIGHT(LEFT(Table1[[#This Row],[تاریخ توقف]],7),2))</f>
        <v>12</v>
      </c>
      <c r="L55" s="3" t="str">
        <f>RIGHT(LEFT(Table1[[#This Row],[تاریخ توقف]],10),2)</f>
        <v>25</v>
      </c>
      <c r="M55" s="3">
        <f>HOUR(Table1[[#This Row],[زمان شروع توقف]])</f>
        <v>8</v>
      </c>
      <c r="N55" s="3">
        <f>MINUTE(Table1[[#This Row],[زمان شروع توقف]])</f>
        <v>26</v>
      </c>
      <c r="O55" s="3">
        <f>((Table1[[#This Row],[سال توقف]]*365+IF(Table1[[#This Row],[ماه توقف]]&lt;7,(Table1[[#This Row],[ماه توقف]]-1)*31,6*31+(Table1[[#This Row],[ماه توقف]]-6-1)*30)+(Table1[[#This Row],[روز توقف]])-1)*24+Table1[[#This Row],[ساعت توقف2]])*60+Table1[[#This Row],[دقیقه توقف]]</f>
        <v>737935706</v>
      </c>
      <c r="P55" s="57" t="s">
        <v>871</v>
      </c>
      <c r="Q55" s="53">
        <v>0.47222222222222227</v>
      </c>
      <c r="R55" s="3" t="str">
        <f>LEFT(Table1[[#This Row],[تاریخ پایان توقف]],4)</f>
        <v>1403</v>
      </c>
      <c r="S55" s="3" t="str">
        <f>_xlfn.IFNA(VLOOKUP(Table1[[#This Row],[ماه رفع توقف]],Table2[],3,0),"در حال تعمیر")</f>
        <v>زمستان</v>
      </c>
      <c r="T55" s="3">
        <f>_xlfn.NUMBERVALUE(RIGHT(LEFT(Table1[[#This Row],[تاریخ پایان توقف]],7),2))</f>
        <v>12</v>
      </c>
      <c r="U55" s="3" t="str">
        <f>RIGHT(LEFT(Table1[[#This Row],[تاریخ پایان توقف]],10),2)</f>
        <v>25</v>
      </c>
      <c r="V55" s="3">
        <f>HOUR(Table1[[#This Row],[زمان پایان توقف]])</f>
        <v>11</v>
      </c>
      <c r="W55" s="3">
        <f>MINUTE(Table1[[#This Row],[زمان پایان توقف]])</f>
        <v>20</v>
      </c>
      <c r="X5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737935880</v>
      </c>
      <c r="Y55" s="42" t="s">
        <v>889</v>
      </c>
      <c r="Z55" s="83">
        <f>IFERROR((IF(Table1[[#This Row],[تاریخ پایان توقف]]&lt;&gt;"",Table1[[#This Row],[زمان رفع توقف]]-Table1[[#This Row],[زمان توقف]],"")/60),"")</f>
        <v>2.9</v>
      </c>
      <c r="AA55" s="3">
        <f>VLOOKUP(E55,Table4[],4,0)</f>
        <v>24</v>
      </c>
      <c r="AB55" s="3">
        <f>VLOOKUP(E55,Table4[],5,0)</f>
        <v>0.2</v>
      </c>
      <c r="AC55" s="3">
        <v>360</v>
      </c>
      <c r="AD55" s="3">
        <f>VLOOKUP(E55,Table4[],7,0)</f>
        <v>720</v>
      </c>
      <c r="AE55" s="83">
        <f>IF(Table1[[#This Row],[زمان آخرین رفع توقف قبل از توقف فعلی]]="","",(Table1[[#This Row],[زمان توقف]]-Table1[[#This Row],[زمان آخرین رفع توقف قبل از توقف فعلی]])/60)</f>
        <v>247.26666666666668</v>
      </c>
      <c r="AF5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737920870</v>
      </c>
    </row>
    <row r="56" spans="1:32">
      <c r="A56" s="36">
        <v>57</v>
      </c>
      <c r="B56" s="36" t="s">
        <v>98</v>
      </c>
      <c r="C56" s="36" t="s">
        <v>185</v>
      </c>
      <c r="D56" s="36" t="s">
        <v>106</v>
      </c>
      <c r="E56" s="85" t="s">
        <v>107</v>
      </c>
      <c r="F56" s="36" t="s">
        <v>12</v>
      </c>
      <c r="G56" s="57" t="s">
        <v>872</v>
      </c>
      <c r="H56" s="53">
        <v>0.42083333333333334</v>
      </c>
      <c r="I56" s="6" t="str">
        <f>LEFT(Table1[[#This Row],[تاریخ توقف]],4)</f>
        <v>1403</v>
      </c>
      <c r="J56" s="6" t="str">
        <f>VLOOKUP(Table1[[#This Row],[ماه توقف]],Table2[],3,0)</f>
        <v>زمستان</v>
      </c>
      <c r="K56" s="3">
        <f>_xlfn.NUMBERVALUE(RIGHT(LEFT(Table1[[#This Row],[تاریخ توقف]],7),2))</f>
        <v>12</v>
      </c>
      <c r="L56" s="3" t="str">
        <f>RIGHT(LEFT(Table1[[#This Row],[تاریخ توقف]],10),2)</f>
        <v>26</v>
      </c>
      <c r="M56" s="3">
        <f>HOUR(Table1[[#This Row],[زمان شروع توقف]])</f>
        <v>10</v>
      </c>
      <c r="N56" s="3">
        <f>MINUTE(Table1[[#This Row],[زمان شروع توقف]])</f>
        <v>6</v>
      </c>
      <c r="O56" s="3">
        <f>((Table1[[#This Row],[سال توقف]]*365+IF(Table1[[#This Row],[ماه توقف]]&lt;7,(Table1[[#This Row],[ماه توقف]]-1)*31,6*31+(Table1[[#This Row],[ماه توقف]]-6-1)*30)+(Table1[[#This Row],[روز توقف]])-1)*24+Table1[[#This Row],[ساعت توقف2]])*60+Table1[[#This Row],[دقیقه توقف]]</f>
        <v>737937246</v>
      </c>
      <c r="P56" s="57" t="s">
        <v>872</v>
      </c>
      <c r="Q56" s="53">
        <v>0.59791666666666665</v>
      </c>
      <c r="R56" s="3" t="str">
        <f>LEFT(Table1[[#This Row],[تاریخ پایان توقف]],4)</f>
        <v>1403</v>
      </c>
      <c r="S56" s="3" t="str">
        <f>_xlfn.IFNA(VLOOKUP(Table1[[#This Row],[ماه رفع توقف]],Table2[],3,0),"در حال تعمیر")</f>
        <v>زمستان</v>
      </c>
      <c r="T56" s="3">
        <f>_xlfn.NUMBERVALUE(RIGHT(LEFT(Table1[[#This Row],[تاریخ پایان توقف]],7),2))</f>
        <v>12</v>
      </c>
      <c r="U56" s="3" t="str">
        <f>RIGHT(LEFT(Table1[[#This Row],[تاریخ پایان توقف]],10),2)</f>
        <v>26</v>
      </c>
      <c r="V56" s="3">
        <f>HOUR(Table1[[#This Row],[زمان پایان توقف]])</f>
        <v>14</v>
      </c>
      <c r="W56" s="3">
        <f>MINUTE(Table1[[#This Row],[زمان پایان توقف]])</f>
        <v>21</v>
      </c>
      <c r="X5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737937501</v>
      </c>
      <c r="Y56" s="45" t="s">
        <v>890</v>
      </c>
      <c r="Z56" s="83">
        <f>IFERROR((IF(Table1[[#This Row],[تاریخ پایان توقف]]&lt;&gt;"",Table1[[#This Row],[زمان رفع توقف]]-Table1[[#This Row],[زمان توقف]],"")/60),"")</f>
        <v>4.25</v>
      </c>
      <c r="AA56" s="3">
        <f>VLOOKUP(E56,Table4[],4,0)</f>
        <v>24</v>
      </c>
      <c r="AB56" s="3">
        <f>VLOOKUP(E56,Table4[],5,0)</f>
        <v>0.2</v>
      </c>
      <c r="AC56" s="3">
        <v>360</v>
      </c>
      <c r="AD56" s="3">
        <f>VLOOKUP(E56,Table4[],7,0)</f>
        <v>720</v>
      </c>
      <c r="AE56" s="83">
        <f>IF(Table1[[#This Row],[زمان آخرین رفع توقف قبل از توقف فعلی]]="","",(Table1[[#This Row],[زمان توقف]]-Table1[[#This Row],[زمان آخرین رفع توقف قبل از توقف فعلی]])/60)</f>
        <v>102.43333333333334</v>
      </c>
      <c r="AF5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737931100</v>
      </c>
    </row>
    <row r="57" spans="1:32">
      <c r="A57" s="36">
        <v>58</v>
      </c>
      <c r="B57" s="36" t="s">
        <v>98</v>
      </c>
      <c r="C57" s="36" t="s">
        <v>116</v>
      </c>
      <c r="D57" s="36" t="s">
        <v>115</v>
      </c>
      <c r="E57" s="85" t="s">
        <v>117</v>
      </c>
      <c r="F57" s="36" t="s">
        <v>12</v>
      </c>
      <c r="G57" s="57" t="s">
        <v>873</v>
      </c>
      <c r="H57" s="53">
        <v>0.8125</v>
      </c>
      <c r="I57" s="6" t="str">
        <f>LEFT(Table1[[#This Row],[تاریخ توقف]],4)</f>
        <v>1403</v>
      </c>
      <c r="J57" s="6" t="str">
        <f>VLOOKUP(Table1[[#This Row],[ماه توقف]],Table2[],3,0)</f>
        <v>زمستان</v>
      </c>
      <c r="K57" s="3">
        <f>_xlfn.NUMBERVALUE(RIGHT(LEFT(Table1[[#This Row],[تاریخ توقف]],7),2))</f>
        <v>12</v>
      </c>
      <c r="L57" s="3" t="str">
        <f>RIGHT(LEFT(Table1[[#This Row],[تاریخ توقف]],10),2)</f>
        <v>27</v>
      </c>
      <c r="M57" s="3">
        <f>HOUR(Table1[[#This Row],[زمان شروع توقف]])</f>
        <v>19</v>
      </c>
      <c r="N57" s="3">
        <f>MINUTE(Table1[[#This Row],[زمان شروع توقف]])</f>
        <v>30</v>
      </c>
      <c r="O57" s="3">
        <f>((Table1[[#This Row],[سال توقف]]*365+IF(Table1[[#This Row],[ماه توقف]]&lt;7,(Table1[[#This Row],[ماه توقف]]-1)*31,6*31+(Table1[[#This Row],[ماه توقف]]-6-1)*30)+(Table1[[#This Row],[روز توقف]])-1)*24+Table1[[#This Row],[ساعت توقف2]])*60+Table1[[#This Row],[دقیقه توقف]]</f>
        <v>737939250</v>
      </c>
      <c r="P57" s="57" t="s">
        <v>886</v>
      </c>
      <c r="Q57" s="53">
        <v>0.63402777777777775</v>
      </c>
      <c r="R57" s="3" t="str">
        <f>LEFT(Table1[[#This Row],[تاریخ پایان توقف]],4)</f>
        <v>1404</v>
      </c>
      <c r="S57" s="3" t="str">
        <f>_xlfn.IFNA(VLOOKUP(Table1[[#This Row],[ماه رفع توقف]],Table2[],3,0),"در حال تعمیر")</f>
        <v>بهار</v>
      </c>
      <c r="T57" s="3">
        <f>_xlfn.NUMBERVALUE(RIGHT(LEFT(Table1[[#This Row],[تاریخ پایان توقف]],7),2))</f>
        <v>1</v>
      </c>
      <c r="U57" s="3" t="str">
        <f>RIGHT(LEFT(Table1[[#This Row],[تاریخ پایان توقف]],10),2)</f>
        <v>17</v>
      </c>
      <c r="V57" s="3">
        <f>HOUR(Table1[[#This Row],[زمان پایان توقف]])</f>
        <v>15</v>
      </c>
      <c r="W57" s="3">
        <f>MINUTE(Table1[[#This Row],[زمان پایان توقف]])</f>
        <v>13</v>
      </c>
      <c r="X5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737966353</v>
      </c>
      <c r="Y57" s="46" t="s">
        <v>891</v>
      </c>
      <c r="Z57" s="83">
        <f>IFERROR((IF(Table1[[#This Row],[تاریخ پایان توقف]]&lt;&gt;"",Table1[[#This Row],[زمان رفع توقف]]-Table1[[#This Row],[زمان توقف]],"")/60),"")</f>
        <v>451.71666666666664</v>
      </c>
      <c r="AA57" s="3">
        <f>VLOOKUP(E57,Table4[],4,0)</f>
        <v>24</v>
      </c>
      <c r="AB57" s="3">
        <f>VLOOKUP(E57,Table4[],5,0)</f>
        <v>0.2</v>
      </c>
      <c r="AC57" s="3">
        <v>360</v>
      </c>
      <c r="AD57" s="3">
        <f>VLOOKUP(E57,Table4[],7,0)</f>
        <v>720</v>
      </c>
      <c r="AE57" s="83">
        <f>IF(Table1[[#This Row],[زمان آخرین رفع توقف قبل از توقف فعلی]]="","",(Table1[[#This Row],[زمان توقف]]-Table1[[#This Row],[زمان آخرین رفع توقف قبل از توقف فعلی]])/60)</f>
        <v>224</v>
      </c>
      <c r="AF5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737925810</v>
      </c>
    </row>
    <row r="58" spans="1:32">
      <c r="A58" s="36">
        <v>59</v>
      </c>
      <c r="B58" s="36" t="s">
        <v>98</v>
      </c>
      <c r="C58" s="36" t="s">
        <v>121</v>
      </c>
      <c r="D58" s="36" t="s">
        <v>120</v>
      </c>
      <c r="E58" s="85" t="s">
        <v>122</v>
      </c>
      <c r="F58" s="36" t="s">
        <v>12</v>
      </c>
      <c r="G58" s="57" t="s">
        <v>874</v>
      </c>
      <c r="H58" s="53">
        <v>0.41111111111111115</v>
      </c>
      <c r="I58" s="6" t="str">
        <f>LEFT(Table1[[#This Row],[تاریخ توقف]],4)</f>
        <v>1404</v>
      </c>
      <c r="J58" s="6" t="str">
        <f>VLOOKUP(Table1[[#This Row],[ماه توقف]],Table2[],3,0)</f>
        <v>بهار</v>
      </c>
      <c r="K58" s="3">
        <f>_xlfn.NUMBERVALUE(RIGHT(LEFT(Table1[[#This Row],[تاریخ توقف]],7),2))</f>
        <v>1</v>
      </c>
      <c r="L58" s="3" t="str">
        <f>RIGHT(LEFT(Table1[[#This Row],[تاریخ توقف]],10),2)</f>
        <v>18</v>
      </c>
      <c r="M58" s="3">
        <f>HOUR(Table1[[#This Row],[زمان شروع توقف]])</f>
        <v>9</v>
      </c>
      <c r="N58" s="3">
        <f>MINUTE(Table1[[#This Row],[زمان شروع توقف]])</f>
        <v>52</v>
      </c>
      <c r="O58" s="3">
        <f>((Table1[[#This Row],[سال توقف]]*365+IF(Table1[[#This Row],[ماه توقف]]&lt;7,(Table1[[#This Row],[ماه توقف]]-1)*31,6*31+(Table1[[#This Row],[ماه توقف]]-6-1)*30)+(Table1[[#This Row],[روز توقف]])-1)*24+Table1[[#This Row],[ساعت توقف2]])*60+Table1[[#This Row],[دقیقه توقف]]</f>
        <v>737967472</v>
      </c>
      <c r="P58" s="56" t="s">
        <v>874</v>
      </c>
      <c r="Q58" s="53">
        <v>0.48541666666666666</v>
      </c>
      <c r="R58" s="3" t="str">
        <f>LEFT(Table1[[#This Row],[تاریخ پایان توقف]],4)</f>
        <v>1404</v>
      </c>
      <c r="S58" s="3" t="str">
        <f>_xlfn.IFNA(VLOOKUP(Table1[[#This Row],[ماه رفع توقف]],Table2[],3,0),"در حال تعمیر")</f>
        <v>بهار</v>
      </c>
      <c r="T58" s="3">
        <f>_xlfn.NUMBERVALUE(RIGHT(LEFT(Table1[[#This Row],[تاریخ پایان توقف]],7),2))</f>
        <v>1</v>
      </c>
      <c r="U58" s="3" t="str">
        <f>RIGHT(LEFT(Table1[[#This Row],[تاریخ پایان توقف]],10),2)</f>
        <v>18</v>
      </c>
      <c r="V58" s="3">
        <f>HOUR(Table1[[#This Row],[زمان پایان توقف]])</f>
        <v>11</v>
      </c>
      <c r="W58" s="3">
        <f>MINUTE(Table1[[#This Row],[زمان پایان توقف]])</f>
        <v>39</v>
      </c>
      <c r="X5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737967579</v>
      </c>
      <c r="Y58" s="46" t="s">
        <v>892</v>
      </c>
      <c r="Z58" s="83">
        <f>IFERROR((IF(Table1[[#This Row],[تاریخ پایان توقف]]&lt;&gt;"",Table1[[#This Row],[زمان رفع توقف]]-Table1[[#This Row],[زمان توقف]],"")/60),"")</f>
        <v>1.7833333333333334</v>
      </c>
      <c r="AA58" s="3">
        <f>VLOOKUP(E58,Table4[],4,0)</f>
        <v>24</v>
      </c>
      <c r="AB58" s="3">
        <f>VLOOKUP(E58,Table4[],5,0)</f>
        <v>0.2</v>
      </c>
      <c r="AC58" s="3">
        <v>360</v>
      </c>
      <c r="AD58" s="3">
        <f>VLOOKUP(E58,Table4[],7,0)</f>
        <v>720</v>
      </c>
      <c r="AE58" s="83">
        <f>IF(Table1[[#This Row],[زمان آخرین رفع توقف قبل از توقف فعلی]]="","",(Table1[[#This Row],[زمان توقف]]-Table1[[#This Row],[زمان آخرین رفع توقف قبل از توقف فعلی]])/60)</f>
        <v>526.5333333333333</v>
      </c>
      <c r="AF5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737935880</v>
      </c>
    </row>
    <row r="59" spans="1:32">
      <c r="A59" s="36">
        <v>60</v>
      </c>
      <c r="B59" s="36" t="s">
        <v>99</v>
      </c>
      <c r="C59" s="36" t="s">
        <v>1282</v>
      </c>
      <c r="D59" s="36" t="s">
        <v>1283</v>
      </c>
      <c r="E59" s="85" t="s">
        <v>1285</v>
      </c>
      <c r="F59" s="36" t="s">
        <v>12</v>
      </c>
      <c r="G59" s="57" t="s">
        <v>875</v>
      </c>
      <c r="H59" s="53">
        <v>0.375</v>
      </c>
      <c r="I59" s="6" t="str">
        <f>LEFT(Table1[[#This Row],[تاریخ توقف]],4)</f>
        <v>1404</v>
      </c>
      <c r="J59" s="6" t="str">
        <f>VLOOKUP(Table1[[#This Row],[ماه توقف]],Table2[],3,0)</f>
        <v>بهار</v>
      </c>
      <c r="K59" s="3">
        <f>_xlfn.NUMBERVALUE(RIGHT(LEFT(Table1[[#This Row],[تاریخ توقف]],7),2))</f>
        <v>1</v>
      </c>
      <c r="L59" s="3" t="str">
        <f>RIGHT(LEFT(Table1[[#This Row],[تاریخ توقف]],10),2)</f>
        <v>20</v>
      </c>
      <c r="M59" s="3">
        <f>HOUR(Table1[[#This Row],[زمان شروع توقف]])</f>
        <v>9</v>
      </c>
      <c r="N59" s="3">
        <f>MINUTE(Table1[[#This Row],[زمان شروع توقف]])</f>
        <v>0</v>
      </c>
      <c r="O59" s="3">
        <f>((Table1[[#This Row],[سال توقف]]*365+IF(Table1[[#This Row],[ماه توقف]]&lt;7,(Table1[[#This Row],[ماه توقف]]-1)*31,6*31+(Table1[[#This Row],[ماه توقف]]-6-1)*30)+(Table1[[#This Row],[روز توقف]])-1)*24+Table1[[#This Row],[ساعت توقف2]])*60+Table1[[#This Row],[دقیقه توقف]]</f>
        <v>737970300</v>
      </c>
      <c r="P59" s="56" t="s">
        <v>884</v>
      </c>
      <c r="Q59" s="53">
        <v>0.53472222222222221</v>
      </c>
      <c r="R59" s="3" t="str">
        <f>LEFT(Table1[[#This Row],[تاریخ پایان توقف]],4)</f>
        <v>1404</v>
      </c>
      <c r="S59" s="3" t="str">
        <f>_xlfn.IFNA(VLOOKUP(Table1[[#This Row],[ماه رفع توقف]],Table2[],3,0),"در حال تعمیر")</f>
        <v>بهار</v>
      </c>
      <c r="T59" s="3">
        <f>_xlfn.NUMBERVALUE(RIGHT(LEFT(Table1[[#This Row],[تاریخ پایان توقف]],7),2))</f>
        <v>1</v>
      </c>
      <c r="U59" s="3" t="str">
        <f>RIGHT(LEFT(Table1[[#This Row],[تاریخ پایان توقف]],10),2)</f>
        <v>31</v>
      </c>
      <c r="V59" s="3">
        <f>HOUR(Table1[[#This Row],[زمان پایان توقف]])</f>
        <v>12</v>
      </c>
      <c r="W59" s="3">
        <f>MINUTE(Table1[[#This Row],[زمان پایان توقف]])</f>
        <v>50</v>
      </c>
      <c r="X5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737986370</v>
      </c>
      <c r="Y59" s="46" t="s">
        <v>893</v>
      </c>
      <c r="Z59" s="83">
        <f>IFERROR((IF(Table1[[#This Row],[تاریخ پایان توقف]]&lt;&gt;"",Table1[[#This Row],[زمان رفع توقف]]-Table1[[#This Row],[زمان توقف]],"")/60),"")</f>
        <v>267.83333333333331</v>
      </c>
      <c r="AA59" s="3">
        <f>VLOOKUP(E59,Table4[],4,0)</f>
        <v>24</v>
      </c>
      <c r="AB59" s="3">
        <f>VLOOKUP(E59,Table4[],5,0)</f>
        <v>0.2</v>
      </c>
      <c r="AC59" s="3">
        <v>360</v>
      </c>
      <c r="AD59" s="3">
        <f>VLOOKUP(E59,Table4[],7,0)</f>
        <v>720</v>
      </c>
      <c r="AE59" s="83" t="str">
        <f>IF(Table1[[#This Row],[زمان آخرین رفع توقف قبل از توقف فعلی]]="","",(Table1[[#This Row],[زمان توقف]]-Table1[[#This Row],[زمان آخرین رفع توقف قبل از توقف فعلی]])/60)</f>
        <v/>
      </c>
      <c r="AF59"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60" spans="1:32">
      <c r="A60" s="36">
        <v>61</v>
      </c>
      <c r="B60" s="62" t="s">
        <v>98</v>
      </c>
      <c r="C60" s="36" t="s">
        <v>50</v>
      </c>
      <c r="D60" s="36" t="s">
        <v>45</v>
      </c>
      <c r="E60" s="85" t="s">
        <v>74</v>
      </c>
      <c r="F60" s="62" t="s">
        <v>12</v>
      </c>
      <c r="G60" s="57" t="s">
        <v>876</v>
      </c>
      <c r="H60" s="53">
        <v>0.3444444444444445</v>
      </c>
      <c r="I60" s="6" t="str">
        <f>LEFT(Table1[[#This Row],[تاریخ توقف]],4)</f>
        <v>1404</v>
      </c>
      <c r="J60" s="6" t="str">
        <f>VLOOKUP(Table1[[#This Row],[ماه توقف]],Table2[],3,0)</f>
        <v>بهار</v>
      </c>
      <c r="K60" s="3">
        <f>_xlfn.NUMBERVALUE(RIGHT(LEFT(Table1[[#This Row],[تاریخ توقف]],7),2))</f>
        <v>1</v>
      </c>
      <c r="L60" s="3" t="str">
        <f>RIGHT(LEFT(Table1[[#This Row],[تاریخ توقف]],10),2)</f>
        <v>21</v>
      </c>
      <c r="M60" s="3">
        <f>HOUR(Table1[[#This Row],[زمان شروع توقف]])</f>
        <v>8</v>
      </c>
      <c r="N60" s="3">
        <f>MINUTE(Table1[[#This Row],[زمان شروع توقف]])</f>
        <v>16</v>
      </c>
      <c r="O60" s="3">
        <f>((Table1[[#This Row],[سال توقف]]*365+IF(Table1[[#This Row],[ماه توقف]]&lt;7,(Table1[[#This Row],[ماه توقف]]-1)*31,6*31+(Table1[[#This Row],[ماه توقف]]-6-1)*30)+(Table1[[#This Row],[روز توقف]])-1)*24+Table1[[#This Row],[ساعت توقف2]])*60+Table1[[#This Row],[دقیقه توقف]]</f>
        <v>737971696</v>
      </c>
      <c r="P60" s="57" t="s">
        <v>876</v>
      </c>
      <c r="Q60" s="53">
        <v>0.3743055555555555</v>
      </c>
      <c r="R60" s="3" t="str">
        <f>LEFT(Table1[[#This Row],[تاریخ پایان توقف]],4)</f>
        <v>1404</v>
      </c>
      <c r="S60" s="3" t="str">
        <f>_xlfn.IFNA(VLOOKUP(Table1[[#This Row],[ماه رفع توقف]],Table2[],3,0),"در حال تعمیر")</f>
        <v>بهار</v>
      </c>
      <c r="T60" s="3">
        <f>_xlfn.NUMBERVALUE(RIGHT(LEFT(Table1[[#This Row],[تاریخ پایان توقف]],7),2))</f>
        <v>1</v>
      </c>
      <c r="U60" s="3" t="str">
        <f>RIGHT(LEFT(Table1[[#This Row],[تاریخ پایان توقف]],10),2)</f>
        <v>21</v>
      </c>
      <c r="V60" s="3">
        <f>HOUR(Table1[[#This Row],[زمان پایان توقف]])</f>
        <v>8</v>
      </c>
      <c r="W60" s="3">
        <f>MINUTE(Table1[[#This Row],[زمان پایان توقف]])</f>
        <v>59</v>
      </c>
      <c r="X6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737971739</v>
      </c>
      <c r="Y60" s="46" t="s">
        <v>894</v>
      </c>
      <c r="Z60" s="83">
        <f>IFERROR((IF(Table1[[#This Row],[تاریخ پایان توقف]]&lt;&gt;"",Table1[[#This Row],[زمان رفع توقف]]-Table1[[#This Row],[زمان توقف]],"")/60),"")</f>
        <v>0.71666666666666667</v>
      </c>
      <c r="AA60" s="3">
        <f>VLOOKUP(E60,Table4[],4,0)</f>
        <v>24</v>
      </c>
      <c r="AB60" s="3">
        <f>VLOOKUP(E60,Table4[],5,0)</f>
        <v>0.2</v>
      </c>
      <c r="AC60" s="3">
        <v>360</v>
      </c>
      <c r="AD60" s="3">
        <f>VLOOKUP(E60,Table4[],7,0)</f>
        <v>720</v>
      </c>
      <c r="AE60" s="83">
        <f>IF(Table1[[#This Row],[زمان آخرین رفع توقف قبل از توقف فعلی]]="","",(Table1[[#This Row],[زمان توقف]]-Table1[[#This Row],[زمان آخرین رفع توقف قبل از توقف فعلی]])/60)</f>
        <v>3686.6</v>
      </c>
      <c r="AF6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737750500</v>
      </c>
    </row>
    <row r="61" spans="1:32">
      <c r="A61" s="36">
        <v>62</v>
      </c>
      <c r="B61" s="62" t="s">
        <v>98</v>
      </c>
      <c r="C61" s="36" t="s">
        <v>121</v>
      </c>
      <c r="D61" s="62" t="s">
        <v>120</v>
      </c>
      <c r="E61" s="86" t="s">
        <v>122</v>
      </c>
      <c r="F61" s="62" t="s">
        <v>12</v>
      </c>
      <c r="G61" s="57" t="s">
        <v>877</v>
      </c>
      <c r="H61" s="53">
        <v>0.76666666666666661</v>
      </c>
      <c r="I61" s="6" t="str">
        <f>LEFT(Table1[[#This Row],[تاریخ توقف]],4)</f>
        <v>1404</v>
      </c>
      <c r="J61" s="6" t="str">
        <f>VLOOKUP(Table1[[#This Row],[ماه توقف]],Table2[],3,0)</f>
        <v>بهار</v>
      </c>
      <c r="K61" s="3">
        <f>_xlfn.NUMBERVALUE(RIGHT(LEFT(Table1[[#This Row],[تاریخ توقف]],7),2))</f>
        <v>1</v>
      </c>
      <c r="L61" s="3" t="str">
        <f>RIGHT(LEFT(Table1[[#This Row],[تاریخ توقف]],10),2)</f>
        <v>25</v>
      </c>
      <c r="M61" s="3">
        <f>HOUR(Table1[[#This Row],[زمان شروع توقف]])</f>
        <v>18</v>
      </c>
      <c r="N61" s="3">
        <f>MINUTE(Table1[[#This Row],[زمان شروع توقف]])</f>
        <v>24</v>
      </c>
      <c r="O61" s="3">
        <f>((Table1[[#This Row],[سال توقف]]*365+IF(Table1[[#This Row],[ماه توقف]]&lt;7,(Table1[[#This Row],[ماه توقف]]-1)*31,6*31+(Table1[[#This Row],[ماه توقف]]-6-1)*30)+(Table1[[#This Row],[روز توقف]])-1)*24+Table1[[#This Row],[ساعت توقف2]])*60+Table1[[#This Row],[دقیقه توقف]]</f>
        <v>737978064</v>
      </c>
      <c r="P61" s="57" t="s">
        <v>877</v>
      </c>
      <c r="Q61" s="53">
        <v>0.79236111111111107</v>
      </c>
      <c r="R61" s="3" t="str">
        <f>LEFT(Table1[[#This Row],[تاریخ پایان توقف]],4)</f>
        <v>1404</v>
      </c>
      <c r="S61" s="3" t="str">
        <f>_xlfn.IFNA(VLOOKUP(Table1[[#This Row],[ماه رفع توقف]],Table2[],3,0),"در حال تعمیر")</f>
        <v>بهار</v>
      </c>
      <c r="T61" s="3">
        <f>_xlfn.NUMBERVALUE(RIGHT(LEFT(Table1[[#This Row],[تاریخ پایان توقف]],7),2))</f>
        <v>1</v>
      </c>
      <c r="U61" s="3" t="str">
        <f>RIGHT(LEFT(Table1[[#This Row],[تاریخ پایان توقف]],10),2)</f>
        <v>25</v>
      </c>
      <c r="V61" s="3">
        <f>HOUR(Table1[[#This Row],[زمان پایان توقف]])</f>
        <v>19</v>
      </c>
      <c r="W61" s="3">
        <f>MINUTE(Table1[[#This Row],[زمان پایان توقف]])</f>
        <v>1</v>
      </c>
      <c r="X6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737978101</v>
      </c>
      <c r="Y61" s="46" t="s">
        <v>895</v>
      </c>
      <c r="Z61" s="83">
        <f>IFERROR((IF(Table1[[#This Row],[تاریخ پایان توقف]]&lt;&gt;"",Table1[[#This Row],[زمان رفع توقف]]-Table1[[#This Row],[زمان توقف]],"")/60),"")</f>
        <v>0.6166666666666667</v>
      </c>
      <c r="AA61" s="3">
        <f>VLOOKUP(E61,Table4[],4,0)</f>
        <v>24</v>
      </c>
      <c r="AB61" s="3">
        <f>VLOOKUP(E61,Table4[],5,0)</f>
        <v>0.2</v>
      </c>
      <c r="AC61" s="3">
        <v>360</v>
      </c>
      <c r="AD61" s="3">
        <f>VLOOKUP(E61,Table4[],7,0)</f>
        <v>720</v>
      </c>
      <c r="AE61" s="83">
        <f>IF(Table1[[#This Row],[زمان آخرین رفع توقف قبل از توقف فعلی]]="","",(Table1[[#This Row],[زمان توقف]]-Table1[[#This Row],[زمان آخرین رفع توقف قبل از توقف فعلی]])/60)</f>
        <v>174.75</v>
      </c>
      <c r="AF6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737967579</v>
      </c>
    </row>
    <row r="62" spans="1:32">
      <c r="A62" s="36">
        <v>63</v>
      </c>
      <c r="B62" s="36" t="s">
        <v>75</v>
      </c>
      <c r="C62" s="36" t="s">
        <v>878</v>
      </c>
      <c r="D62" s="62" t="s">
        <v>879</v>
      </c>
      <c r="E62" s="85" t="s">
        <v>225</v>
      </c>
      <c r="F62" s="36" t="s">
        <v>12</v>
      </c>
      <c r="G62" s="57" t="s">
        <v>880</v>
      </c>
      <c r="H62" s="53">
        <v>0.4236111111111111</v>
      </c>
      <c r="I62" s="6" t="str">
        <f>LEFT(Table1[[#This Row],[تاریخ توقف]],4)</f>
        <v>1404</v>
      </c>
      <c r="J62" s="6" t="str">
        <f>VLOOKUP(Table1[[#This Row],[ماه توقف]],Table2[],3,0)</f>
        <v>بهار</v>
      </c>
      <c r="K62" s="3">
        <f>_xlfn.NUMBERVALUE(RIGHT(LEFT(Table1[[#This Row],[تاریخ توقف]],7),2))</f>
        <v>1</v>
      </c>
      <c r="L62" s="3" t="str">
        <f>RIGHT(LEFT(Table1[[#This Row],[تاریخ توقف]],10),2)</f>
        <v>26</v>
      </c>
      <c r="M62" s="3">
        <f>HOUR(Table1[[#This Row],[زمان شروع توقف]])</f>
        <v>10</v>
      </c>
      <c r="N62" s="3">
        <f>MINUTE(Table1[[#This Row],[زمان شروع توقف]])</f>
        <v>10</v>
      </c>
      <c r="O62" s="3">
        <f>((Table1[[#This Row],[سال توقف]]*365+IF(Table1[[#This Row],[ماه توقف]]&lt;7,(Table1[[#This Row],[ماه توقف]]-1)*31,6*31+(Table1[[#This Row],[ماه توقف]]-6-1)*30)+(Table1[[#This Row],[روز توقف]])-1)*24+Table1[[#This Row],[ساعت توقف2]])*60+Table1[[#This Row],[دقیقه توقف]]</f>
        <v>737979010</v>
      </c>
      <c r="P62" s="56" t="s">
        <v>880</v>
      </c>
      <c r="Q62" s="53">
        <v>0.43055555555555558</v>
      </c>
      <c r="R62" s="3" t="str">
        <f>LEFT(Table1[[#This Row],[تاریخ پایان توقف]],4)</f>
        <v>1404</v>
      </c>
      <c r="S62" s="3" t="str">
        <f>_xlfn.IFNA(VLOOKUP(Table1[[#This Row],[ماه رفع توقف]],Table2[],3,0),"در حال تعمیر")</f>
        <v>بهار</v>
      </c>
      <c r="T62" s="3">
        <f>_xlfn.NUMBERVALUE(RIGHT(LEFT(Table1[[#This Row],[تاریخ پایان توقف]],7),2))</f>
        <v>1</v>
      </c>
      <c r="U62" s="3" t="str">
        <f>RIGHT(LEFT(Table1[[#This Row],[تاریخ پایان توقف]],10),2)</f>
        <v>26</v>
      </c>
      <c r="V62" s="3">
        <f>HOUR(Table1[[#This Row],[زمان پایان توقف]])</f>
        <v>10</v>
      </c>
      <c r="W62" s="3">
        <f>MINUTE(Table1[[#This Row],[زمان پایان توقف]])</f>
        <v>20</v>
      </c>
      <c r="X6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737979020</v>
      </c>
      <c r="Y62" s="46" t="s">
        <v>896</v>
      </c>
      <c r="Z62" s="83">
        <f>IFERROR((IF(Table1[[#This Row],[تاریخ پایان توقف]]&lt;&gt;"",Table1[[#This Row],[زمان رفع توقف]]-Table1[[#This Row],[زمان توقف]],"")/60),"")</f>
        <v>0.16666666666666666</v>
      </c>
      <c r="AA62" s="3">
        <f>VLOOKUP(E62,Table4[],4,0)</f>
        <v>24</v>
      </c>
      <c r="AB62" s="3">
        <f>VLOOKUP(E62,Table4[],5,0)</f>
        <v>0.2</v>
      </c>
      <c r="AC62" s="3">
        <v>360</v>
      </c>
      <c r="AD62" s="3">
        <f>VLOOKUP(E62,Table4[],7,0)</f>
        <v>720</v>
      </c>
      <c r="AE62" s="83" t="str">
        <f>IF(Table1[[#This Row],[زمان آخرین رفع توقف قبل از توقف فعلی]]="","",(Table1[[#This Row],[زمان توقف]]-Table1[[#This Row],[زمان آخرین رفع توقف قبل از توقف فعلی]])/60)</f>
        <v/>
      </c>
      <c r="AF62"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63" spans="1:32">
      <c r="A63" s="36">
        <v>64</v>
      </c>
      <c r="B63" s="36" t="s">
        <v>98</v>
      </c>
      <c r="C63" s="36" t="s">
        <v>881</v>
      </c>
      <c r="D63" s="36" t="s">
        <v>88</v>
      </c>
      <c r="E63" s="85" t="s">
        <v>91</v>
      </c>
      <c r="F63" s="36" t="s">
        <v>12</v>
      </c>
      <c r="G63" s="57" t="s">
        <v>880</v>
      </c>
      <c r="H63" s="53">
        <v>0.80208333333333337</v>
      </c>
      <c r="I63" s="6" t="str">
        <f>LEFT(Table1[[#This Row],[تاریخ توقف]],4)</f>
        <v>1404</v>
      </c>
      <c r="J63" s="6" t="str">
        <f>VLOOKUP(Table1[[#This Row],[ماه توقف]],Table2[],3,0)</f>
        <v>بهار</v>
      </c>
      <c r="K63" s="3">
        <f>_xlfn.NUMBERVALUE(RIGHT(LEFT(Table1[[#This Row],[تاریخ توقف]],7),2))</f>
        <v>1</v>
      </c>
      <c r="L63" s="3" t="str">
        <f>RIGHT(LEFT(Table1[[#This Row],[تاریخ توقف]],10),2)</f>
        <v>26</v>
      </c>
      <c r="M63" s="3">
        <f>HOUR(Table1[[#This Row],[زمان شروع توقف]])</f>
        <v>19</v>
      </c>
      <c r="N63" s="3">
        <f>MINUTE(Table1[[#This Row],[زمان شروع توقف]])</f>
        <v>15</v>
      </c>
      <c r="O63" s="3">
        <f>((Table1[[#This Row],[سال توقف]]*365+IF(Table1[[#This Row],[ماه توقف]]&lt;7,(Table1[[#This Row],[ماه توقف]]-1)*31,6*31+(Table1[[#This Row],[ماه توقف]]-6-1)*30)+(Table1[[#This Row],[روز توقف]])-1)*24+Table1[[#This Row],[ساعت توقف2]])*60+Table1[[#This Row],[دقیقه توقف]]</f>
        <v>737979555</v>
      </c>
      <c r="P63" s="56" t="s">
        <v>880</v>
      </c>
      <c r="Q63" s="53">
        <v>0.85416666666666663</v>
      </c>
      <c r="R63" s="3" t="str">
        <f>LEFT(Table1[[#This Row],[تاریخ پایان توقف]],4)</f>
        <v>1404</v>
      </c>
      <c r="S63" s="3" t="str">
        <f>_xlfn.IFNA(VLOOKUP(Table1[[#This Row],[ماه رفع توقف]],Table2[],3,0),"در حال تعمیر")</f>
        <v>بهار</v>
      </c>
      <c r="T63" s="3">
        <f>_xlfn.NUMBERVALUE(RIGHT(LEFT(Table1[[#This Row],[تاریخ پایان توقف]],7),2))</f>
        <v>1</v>
      </c>
      <c r="U63" s="3" t="str">
        <f>RIGHT(LEFT(Table1[[#This Row],[تاریخ پایان توقف]],10),2)</f>
        <v>26</v>
      </c>
      <c r="V63" s="3">
        <f>HOUR(Table1[[#This Row],[زمان پایان توقف]])</f>
        <v>20</v>
      </c>
      <c r="W63" s="3">
        <f>MINUTE(Table1[[#This Row],[زمان پایان توقف]])</f>
        <v>30</v>
      </c>
      <c r="X6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737979630</v>
      </c>
      <c r="Y63" s="46" t="s">
        <v>897</v>
      </c>
      <c r="Z63" s="83">
        <f>IFERROR((IF(Table1[[#This Row],[تاریخ پایان توقف]]&lt;&gt;"",Table1[[#This Row],[زمان رفع توقف]]-Table1[[#This Row],[زمان توقف]],"")/60),"")</f>
        <v>1.25</v>
      </c>
      <c r="AA63" s="3">
        <f>VLOOKUP(E63,Table4[],4,0)</f>
        <v>24</v>
      </c>
      <c r="AB63" s="3">
        <f>VLOOKUP(E63,Table4[],5,0)</f>
        <v>0.2</v>
      </c>
      <c r="AC63" s="3">
        <v>360</v>
      </c>
      <c r="AD63" s="3">
        <f>VLOOKUP(E63,Table4[],7,0)</f>
        <v>720</v>
      </c>
      <c r="AE63" s="83">
        <f>IF(Table1[[#This Row],[زمان آخرین رفع توقف قبل از توقف فعلی]]="","",(Table1[[#This Row],[زمان توقف]]-Table1[[#This Row],[زمان آخرین رفع توقف قبل از توقف فعلی]])/60)</f>
        <v>988.25</v>
      </c>
      <c r="AF6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737920260</v>
      </c>
    </row>
    <row r="64" spans="1:32">
      <c r="A64" s="36">
        <v>65</v>
      </c>
      <c r="B64" s="36" t="s">
        <v>98</v>
      </c>
      <c r="C64" s="36" t="s">
        <v>121</v>
      </c>
      <c r="D64" s="63" t="s">
        <v>120</v>
      </c>
      <c r="E64" s="87" t="s">
        <v>122</v>
      </c>
      <c r="F64" s="36" t="s">
        <v>12</v>
      </c>
      <c r="G64" s="57" t="s">
        <v>880</v>
      </c>
      <c r="H64" s="53">
        <v>0.70833333333333337</v>
      </c>
      <c r="I64" s="6" t="str">
        <f>LEFT(Table1[[#This Row],[تاریخ توقف]],4)</f>
        <v>1404</v>
      </c>
      <c r="J64" s="6" t="str">
        <f>VLOOKUP(Table1[[#This Row],[ماه توقف]],Table2[],3,0)</f>
        <v>بهار</v>
      </c>
      <c r="K64" s="3">
        <f>_xlfn.NUMBERVALUE(RIGHT(LEFT(Table1[[#This Row],[تاریخ توقف]],7),2))</f>
        <v>1</v>
      </c>
      <c r="L64" s="3" t="str">
        <f>RIGHT(LEFT(Table1[[#This Row],[تاریخ توقف]],10),2)</f>
        <v>26</v>
      </c>
      <c r="M64" s="3">
        <f>HOUR(Table1[[#This Row],[زمان شروع توقف]])</f>
        <v>17</v>
      </c>
      <c r="N64" s="3">
        <f>MINUTE(Table1[[#This Row],[زمان شروع توقف]])</f>
        <v>0</v>
      </c>
      <c r="O64" s="3">
        <f>((Table1[[#This Row],[سال توقف]]*365+IF(Table1[[#This Row],[ماه توقف]]&lt;7,(Table1[[#This Row],[ماه توقف]]-1)*31,6*31+(Table1[[#This Row],[ماه توقف]]-6-1)*30)+(Table1[[#This Row],[روز توقف]])-1)*24+Table1[[#This Row],[ساعت توقف2]])*60+Table1[[#This Row],[دقیقه توقف]]</f>
        <v>737979420</v>
      </c>
      <c r="P64" s="56" t="s">
        <v>880</v>
      </c>
      <c r="Q64" s="53">
        <v>0.85763888888888884</v>
      </c>
      <c r="R64" s="3" t="str">
        <f>LEFT(Table1[[#This Row],[تاریخ پایان توقف]],4)</f>
        <v>1404</v>
      </c>
      <c r="S64" s="3" t="str">
        <f>_xlfn.IFNA(VLOOKUP(Table1[[#This Row],[ماه رفع توقف]],Table2[],3,0),"در حال تعمیر")</f>
        <v>بهار</v>
      </c>
      <c r="T64" s="3">
        <f>_xlfn.NUMBERVALUE(RIGHT(LEFT(Table1[[#This Row],[تاریخ پایان توقف]],7),2))</f>
        <v>1</v>
      </c>
      <c r="U64" s="3" t="str">
        <f>RIGHT(LEFT(Table1[[#This Row],[تاریخ پایان توقف]],10),2)</f>
        <v>26</v>
      </c>
      <c r="V64" s="3">
        <f>HOUR(Table1[[#This Row],[زمان پایان توقف]])</f>
        <v>20</v>
      </c>
      <c r="W64" s="3">
        <f>MINUTE(Table1[[#This Row],[زمان پایان توقف]])</f>
        <v>35</v>
      </c>
      <c r="X6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737979635</v>
      </c>
      <c r="Y64" s="46" t="s">
        <v>898</v>
      </c>
      <c r="Z64" s="83">
        <f>IFERROR((IF(Table1[[#This Row],[تاریخ پایان توقف]]&lt;&gt;"",Table1[[#This Row],[زمان رفع توقف]]-Table1[[#This Row],[زمان توقف]],"")/60),"")</f>
        <v>3.5833333333333335</v>
      </c>
      <c r="AA64" s="3">
        <f>VLOOKUP(E64,Table4[],4,0)</f>
        <v>24</v>
      </c>
      <c r="AB64" s="3">
        <f>VLOOKUP(E64,Table4[],5,0)</f>
        <v>0.2</v>
      </c>
      <c r="AC64" s="3">
        <v>360</v>
      </c>
      <c r="AD64" s="3">
        <f>VLOOKUP(E64,Table4[],7,0)</f>
        <v>720</v>
      </c>
      <c r="AE64" s="83">
        <f>IF(Table1[[#This Row],[زمان آخرین رفع توقف قبل از توقف فعلی]]="","",(Table1[[#This Row],[زمان توقف]]-Table1[[#This Row],[زمان آخرین رفع توقف قبل از توقف فعلی]])/60)</f>
        <v>21.983333333333334</v>
      </c>
      <c r="AF6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737978101</v>
      </c>
    </row>
    <row r="65" spans="1:32">
      <c r="A65" s="36">
        <v>66</v>
      </c>
      <c r="B65" s="36" t="s">
        <v>98</v>
      </c>
      <c r="C65" s="36" t="s">
        <v>573</v>
      </c>
      <c r="D65" s="36" t="s">
        <v>882</v>
      </c>
      <c r="E65" s="85" t="s">
        <v>222</v>
      </c>
      <c r="F65" s="36" t="s">
        <v>12</v>
      </c>
      <c r="G65" s="57" t="s">
        <v>883</v>
      </c>
      <c r="H65" s="53">
        <v>0.42708333333333331</v>
      </c>
      <c r="I65" s="6" t="str">
        <f>LEFT(Table1[[#This Row],[تاریخ توقف]],4)</f>
        <v>1404</v>
      </c>
      <c r="J65" s="6" t="str">
        <f>VLOOKUP(Table1[[#This Row],[ماه توقف]],Table2[],3,0)</f>
        <v>بهار</v>
      </c>
      <c r="K65" s="3">
        <f>_xlfn.NUMBERVALUE(RIGHT(LEFT(Table1[[#This Row],[تاریخ توقف]],7),2))</f>
        <v>1</v>
      </c>
      <c r="L65" s="3" t="str">
        <f>RIGHT(LEFT(Table1[[#This Row],[تاریخ توقف]],10),2)</f>
        <v>27</v>
      </c>
      <c r="M65" s="3">
        <f>HOUR(Table1[[#This Row],[زمان شروع توقف]])</f>
        <v>10</v>
      </c>
      <c r="N65" s="3">
        <f>MINUTE(Table1[[#This Row],[زمان شروع توقف]])</f>
        <v>15</v>
      </c>
      <c r="O65" s="3">
        <f>((Table1[[#This Row],[سال توقف]]*365+IF(Table1[[#This Row],[ماه توقف]]&lt;7,(Table1[[#This Row],[ماه توقف]]-1)*31,6*31+(Table1[[#This Row],[ماه توقف]]-6-1)*30)+(Table1[[#This Row],[روز توقف]])-1)*24+Table1[[#This Row],[ساعت توقف2]])*60+Table1[[#This Row],[دقیقه توقف]]</f>
        <v>737980455</v>
      </c>
      <c r="P65" s="56" t="s">
        <v>883</v>
      </c>
      <c r="Q65" s="53">
        <v>0.46875</v>
      </c>
      <c r="R65" s="3" t="str">
        <f>LEFT(Table1[[#This Row],[تاریخ پایان توقف]],4)</f>
        <v>1404</v>
      </c>
      <c r="S65" s="3" t="str">
        <f>_xlfn.IFNA(VLOOKUP(Table1[[#This Row],[ماه رفع توقف]],Table2[],3,0),"در حال تعمیر")</f>
        <v>بهار</v>
      </c>
      <c r="T65" s="3">
        <f>_xlfn.NUMBERVALUE(RIGHT(LEFT(Table1[[#This Row],[تاریخ پایان توقف]],7),2))</f>
        <v>1</v>
      </c>
      <c r="U65" s="3" t="str">
        <f>RIGHT(LEFT(Table1[[#This Row],[تاریخ پایان توقف]],10),2)</f>
        <v>27</v>
      </c>
      <c r="V65" s="3">
        <f>HOUR(Table1[[#This Row],[زمان پایان توقف]])</f>
        <v>11</v>
      </c>
      <c r="W65" s="3">
        <f>MINUTE(Table1[[#This Row],[زمان پایان توقف]])</f>
        <v>15</v>
      </c>
      <c r="X6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737980515</v>
      </c>
      <c r="Y65" s="42" t="s">
        <v>899</v>
      </c>
      <c r="Z65" s="83">
        <f>IFERROR((IF(Table1[[#This Row],[تاریخ پایان توقف]]&lt;&gt;"",Table1[[#This Row],[زمان رفع توقف]]-Table1[[#This Row],[زمان توقف]],"")/60),"")</f>
        <v>1</v>
      </c>
      <c r="AA65" s="3">
        <f>VLOOKUP(E65,Table4[],4,0)</f>
        <v>24</v>
      </c>
      <c r="AB65" s="3">
        <f>VLOOKUP(E65,Table4[],5,0)</f>
        <v>0.2</v>
      </c>
      <c r="AC65" s="3">
        <v>360</v>
      </c>
      <c r="AD65" s="3">
        <f>VLOOKUP(E65,Table4[],7,0)</f>
        <v>720</v>
      </c>
      <c r="AE65" s="83" t="str">
        <f>IF(Table1[[#This Row],[زمان آخرین رفع توقف قبل از توقف فعلی]]="","",(Table1[[#This Row],[زمان توقف]]-Table1[[#This Row],[زمان آخرین رفع توقف قبل از توقف فعلی]])/60)</f>
        <v/>
      </c>
      <c r="AF6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66" spans="1:32">
      <c r="A66" s="36">
        <v>67</v>
      </c>
      <c r="B66" s="36" t="s">
        <v>98</v>
      </c>
      <c r="C66" s="36" t="s">
        <v>121</v>
      </c>
      <c r="D66" s="36" t="s">
        <v>120</v>
      </c>
      <c r="E66" s="85" t="s">
        <v>122</v>
      </c>
      <c r="F66" s="36" t="s">
        <v>12</v>
      </c>
      <c r="G66" s="57" t="s">
        <v>884</v>
      </c>
      <c r="H66" s="53">
        <v>0.40486111111111112</v>
      </c>
      <c r="I66" s="6" t="str">
        <f>LEFT(Table1[[#This Row],[تاریخ توقف]],4)</f>
        <v>1404</v>
      </c>
      <c r="J66" s="6" t="str">
        <f>VLOOKUP(Table1[[#This Row],[ماه توقف]],Table2[],3,0)</f>
        <v>بهار</v>
      </c>
      <c r="K66" s="3">
        <f>_xlfn.NUMBERVALUE(RIGHT(LEFT(Table1[[#This Row],[تاریخ توقف]],7),2))</f>
        <v>1</v>
      </c>
      <c r="L66" s="3" t="str">
        <f>RIGHT(LEFT(Table1[[#This Row],[تاریخ توقف]],10),2)</f>
        <v>31</v>
      </c>
      <c r="M66" s="3">
        <f>HOUR(Table1[[#This Row],[زمان شروع توقف]])</f>
        <v>9</v>
      </c>
      <c r="N66" s="3">
        <f>MINUTE(Table1[[#This Row],[زمان شروع توقف]])</f>
        <v>43</v>
      </c>
      <c r="O66" s="3">
        <f>((Table1[[#This Row],[سال توقف]]*365+IF(Table1[[#This Row],[ماه توقف]]&lt;7,(Table1[[#This Row],[ماه توقف]]-1)*31,6*31+(Table1[[#This Row],[ماه توقف]]-6-1)*30)+(Table1[[#This Row],[روز توقف]])-1)*24+Table1[[#This Row],[ساعت توقف2]])*60+Table1[[#This Row],[دقیقه توقف]]</f>
        <v>737986183</v>
      </c>
      <c r="P66" s="57" t="s">
        <v>887</v>
      </c>
      <c r="Q66" s="53">
        <v>0.70763888888888893</v>
      </c>
      <c r="R66" s="3" t="str">
        <f>LEFT(Table1[[#This Row],[تاریخ پایان توقف]],4)</f>
        <v>1404</v>
      </c>
      <c r="S66" s="3" t="str">
        <f>_xlfn.IFNA(VLOOKUP(Table1[[#This Row],[ماه رفع توقف]],Table2[],3,0),"در حال تعمیر")</f>
        <v>بهار</v>
      </c>
      <c r="T66" s="3">
        <f>_xlfn.NUMBERVALUE(RIGHT(LEFT(Table1[[#This Row],[تاریخ پایان توقف]],7),2))</f>
        <v>2</v>
      </c>
      <c r="U66" s="3" t="str">
        <f>RIGHT(LEFT(Table1[[#This Row],[تاریخ پایان توقف]],10),2)</f>
        <v>01</v>
      </c>
      <c r="V66" s="3">
        <f>HOUR(Table1[[#This Row],[زمان پایان توقف]])</f>
        <v>16</v>
      </c>
      <c r="W66" s="3">
        <f>MINUTE(Table1[[#This Row],[زمان پایان توقف]])</f>
        <v>59</v>
      </c>
      <c r="X6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737988059</v>
      </c>
      <c r="Y66" s="44" t="s">
        <v>900</v>
      </c>
      <c r="Z66" s="83">
        <f>IFERROR((IF(Table1[[#This Row],[تاریخ پایان توقف]]&lt;&gt;"",Table1[[#This Row],[زمان رفع توقف]]-Table1[[#This Row],[زمان توقف]],"")/60),"")</f>
        <v>31.266666666666666</v>
      </c>
      <c r="AA66" s="3">
        <f>VLOOKUP(E66,Table4[],4,0)</f>
        <v>24</v>
      </c>
      <c r="AB66" s="3">
        <f>VLOOKUP(E66,Table4[],5,0)</f>
        <v>0.2</v>
      </c>
      <c r="AC66" s="3">
        <v>360</v>
      </c>
      <c r="AD66" s="3">
        <f>VLOOKUP(E66,Table4[],7,0)</f>
        <v>720</v>
      </c>
      <c r="AE66" s="83">
        <f>IF(Table1[[#This Row],[زمان آخرین رفع توقف قبل از توقف فعلی]]="","",(Table1[[#This Row],[زمان توقف]]-Table1[[#This Row],[زمان آخرین رفع توقف قبل از توقف فعلی]])/60)</f>
        <v>109.13333333333334</v>
      </c>
      <c r="AF6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737979635</v>
      </c>
    </row>
    <row r="67" spans="1:32">
      <c r="A67" s="36">
        <v>68</v>
      </c>
      <c r="B67" s="36" t="s">
        <v>98</v>
      </c>
      <c r="C67" s="36" t="s">
        <v>185</v>
      </c>
      <c r="D67" s="36" t="s">
        <v>106</v>
      </c>
      <c r="E67" s="85" t="s">
        <v>107</v>
      </c>
      <c r="F67" s="36" t="s">
        <v>12</v>
      </c>
      <c r="G67" s="57" t="s">
        <v>884</v>
      </c>
      <c r="H67" s="53">
        <v>0.40486111111111112</v>
      </c>
      <c r="I67" s="6" t="str">
        <f>LEFT(Table1[[#This Row],[تاریخ توقف]],4)</f>
        <v>1404</v>
      </c>
      <c r="J67" s="6" t="str">
        <f>VLOOKUP(Table1[[#This Row],[ماه توقف]],Table2[],3,0)</f>
        <v>بهار</v>
      </c>
      <c r="K67" s="3">
        <f>_xlfn.NUMBERVALUE(RIGHT(LEFT(Table1[[#This Row],[تاریخ توقف]],7),2))</f>
        <v>1</v>
      </c>
      <c r="L67" s="3" t="str">
        <f>RIGHT(LEFT(Table1[[#This Row],[تاریخ توقف]],10),2)</f>
        <v>31</v>
      </c>
      <c r="M67" s="3">
        <f>HOUR(Table1[[#This Row],[زمان شروع توقف]])</f>
        <v>9</v>
      </c>
      <c r="N67" s="3">
        <f>MINUTE(Table1[[#This Row],[زمان شروع توقف]])</f>
        <v>43</v>
      </c>
      <c r="O67" s="3">
        <f>((Table1[[#This Row],[سال توقف]]*365+IF(Table1[[#This Row],[ماه توقف]]&lt;7,(Table1[[#This Row],[ماه توقف]]-1)*31,6*31+(Table1[[#This Row],[ماه توقف]]-6-1)*30)+(Table1[[#This Row],[روز توقف]])-1)*24+Table1[[#This Row],[ساعت توقف2]])*60+Table1[[#This Row],[دقیقه توقف]]</f>
        <v>737986183</v>
      </c>
      <c r="P67" s="57" t="s">
        <v>885</v>
      </c>
      <c r="Q67" s="53">
        <v>0.67222222222222217</v>
      </c>
      <c r="R67" s="3" t="str">
        <f>LEFT(Table1[[#This Row],[تاریخ پایان توقف]],4)</f>
        <v>1404</v>
      </c>
      <c r="S67" s="3" t="str">
        <f>_xlfn.IFNA(VLOOKUP(Table1[[#This Row],[ماه رفع توقف]],Table2[],3,0),"در حال تعمیر")</f>
        <v>بهار</v>
      </c>
      <c r="T67" s="3">
        <f>_xlfn.NUMBERVALUE(RIGHT(LEFT(Table1[[#This Row],[تاریخ پایان توقف]],7),2))</f>
        <v>2</v>
      </c>
      <c r="U67" s="3" t="str">
        <f>RIGHT(LEFT(Table1[[#This Row],[تاریخ پایان توقف]],10),2)</f>
        <v>02</v>
      </c>
      <c r="V67" s="3">
        <f>HOUR(Table1[[#This Row],[زمان پایان توقف]])</f>
        <v>16</v>
      </c>
      <c r="W67" s="3">
        <f>MINUTE(Table1[[#This Row],[زمان پایان توقف]])</f>
        <v>8</v>
      </c>
      <c r="X6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737989448</v>
      </c>
      <c r="Y67" s="44" t="s">
        <v>900</v>
      </c>
      <c r="Z67" s="83">
        <f>IFERROR((IF(Table1[[#This Row],[تاریخ پایان توقف]]&lt;&gt;"",Table1[[#This Row],[زمان رفع توقف]]-Table1[[#This Row],[زمان توقف]],"")/60),"")</f>
        <v>54.416666666666664</v>
      </c>
      <c r="AA67" s="3">
        <f>VLOOKUP(E67,Table4[],4,0)</f>
        <v>24</v>
      </c>
      <c r="AB67" s="3">
        <f>VLOOKUP(E67,Table4[],5,0)</f>
        <v>0.2</v>
      </c>
      <c r="AC67" s="3">
        <v>360</v>
      </c>
      <c r="AD67" s="3">
        <f>VLOOKUP(E67,Table4[],7,0)</f>
        <v>720</v>
      </c>
      <c r="AE67" s="83">
        <f>IF(Table1[[#This Row],[زمان آخرین رفع توقف قبل از توقف فعلی]]="","",(Table1[[#This Row],[زمان توقف]]-Table1[[#This Row],[زمان آخرین رفع توقف قبل از توقف فعلی]])/60)</f>
        <v>811.36666666666667</v>
      </c>
      <c r="AF6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737937501</v>
      </c>
    </row>
    <row r="68" spans="1:32">
      <c r="A68" s="36">
        <v>69</v>
      </c>
      <c r="B68" s="36" t="s">
        <v>98</v>
      </c>
      <c r="C68" s="36" t="s">
        <v>129</v>
      </c>
      <c r="D68" s="36" t="s">
        <v>128</v>
      </c>
      <c r="E68" s="85" t="s">
        <v>130</v>
      </c>
      <c r="F68" s="36" t="s">
        <v>12</v>
      </c>
      <c r="G68" s="57" t="s">
        <v>884</v>
      </c>
      <c r="H68" s="53">
        <v>0.48819444444444443</v>
      </c>
      <c r="I68" s="6" t="str">
        <f>LEFT(Table1[[#This Row],[تاریخ توقف]],4)</f>
        <v>1404</v>
      </c>
      <c r="J68" s="6" t="str">
        <f>VLOOKUP(Table1[[#This Row],[ماه توقف]],Table2[],3,0)</f>
        <v>بهار</v>
      </c>
      <c r="K68" s="3">
        <f>_xlfn.NUMBERVALUE(RIGHT(LEFT(Table1[[#This Row],[تاریخ توقف]],7),2))</f>
        <v>1</v>
      </c>
      <c r="L68" s="3" t="str">
        <f>RIGHT(LEFT(Table1[[#This Row],[تاریخ توقف]],10),2)</f>
        <v>31</v>
      </c>
      <c r="M68" s="3">
        <f>HOUR(Table1[[#This Row],[زمان شروع توقف]])</f>
        <v>11</v>
      </c>
      <c r="N68" s="3">
        <f>MINUTE(Table1[[#This Row],[زمان شروع توقف]])</f>
        <v>43</v>
      </c>
      <c r="O68" s="3">
        <f>((Table1[[#This Row],[سال توقف]]*365+IF(Table1[[#This Row],[ماه توقف]]&lt;7,(Table1[[#This Row],[ماه توقف]]-1)*31,6*31+(Table1[[#This Row],[ماه توقف]]-6-1)*30)+(Table1[[#This Row],[روز توقف]])-1)*24+Table1[[#This Row],[ساعت توقف2]])*60+Table1[[#This Row],[دقیقه توقف]]</f>
        <v>737986303</v>
      </c>
      <c r="P68" s="57" t="s">
        <v>885</v>
      </c>
      <c r="Q68" s="53">
        <v>0.67361111111111116</v>
      </c>
      <c r="R68" s="3" t="str">
        <f>LEFT(Table1[[#This Row],[تاریخ پایان توقف]],4)</f>
        <v>1404</v>
      </c>
      <c r="S68" s="3" t="str">
        <f>_xlfn.IFNA(VLOOKUP(Table1[[#This Row],[ماه رفع توقف]],Table2[],3,0),"در حال تعمیر")</f>
        <v>بهار</v>
      </c>
      <c r="T68" s="3">
        <f>_xlfn.NUMBERVALUE(RIGHT(LEFT(Table1[[#This Row],[تاریخ پایان توقف]],7),2))</f>
        <v>2</v>
      </c>
      <c r="U68" s="3" t="str">
        <f>RIGHT(LEFT(Table1[[#This Row],[تاریخ پایان توقف]],10),2)</f>
        <v>02</v>
      </c>
      <c r="V68" s="3">
        <f>HOUR(Table1[[#This Row],[زمان پایان توقف]])</f>
        <v>16</v>
      </c>
      <c r="W68" s="3">
        <f>MINUTE(Table1[[#This Row],[زمان پایان توقف]])</f>
        <v>10</v>
      </c>
      <c r="X6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737989450</v>
      </c>
      <c r="Y68" s="44" t="s">
        <v>901</v>
      </c>
      <c r="Z68" s="83">
        <f>IFERROR((IF(Table1[[#This Row],[تاریخ پایان توقف]]&lt;&gt;"",Table1[[#This Row],[زمان رفع توقف]]-Table1[[#This Row],[زمان توقف]],"")/60),"")</f>
        <v>52.45</v>
      </c>
      <c r="AA68" s="3">
        <f>VLOOKUP(E68,Table4[],4,0)</f>
        <v>24</v>
      </c>
      <c r="AB68" s="3">
        <f>VLOOKUP(E68,Table4[],5,0)</f>
        <v>0.2</v>
      </c>
      <c r="AC68" s="3">
        <v>360</v>
      </c>
      <c r="AD68" s="3">
        <f>VLOOKUP(E68,Table4[],7,0)</f>
        <v>720</v>
      </c>
      <c r="AE68" s="83">
        <f>IF(Table1[[#This Row],[زمان آخرین رفع توقف قبل از توقف فعلی]]="","",(Table1[[#This Row],[زمان توقف]]-Table1[[#This Row],[زمان آخرین رفع توقف قبل از توقف فعلی]])/60)</f>
        <v>1236.7833333333333</v>
      </c>
      <c r="AF6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737912096</v>
      </c>
    </row>
    <row r="69" spans="1:32">
      <c r="A69" s="36">
        <v>70</v>
      </c>
      <c r="B69" s="36" t="s">
        <v>1289</v>
      </c>
      <c r="C69" s="36" t="s">
        <v>814</v>
      </c>
      <c r="D69" s="36"/>
      <c r="E69" s="85" t="s">
        <v>485</v>
      </c>
      <c r="F69" s="36" t="s">
        <v>12</v>
      </c>
      <c r="G69" s="57" t="s">
        <v>884</v>
      </c>
      <c r="H69" s="53">
        <v>0.66666666666666663</v>
      </c>
      <c r="I69" s="6" t="str">
        <f>LEFT(Table1[[#This Row],[تاریخ توقف]],4)</f>
        <v>1404</v>
      </c>
      <c r="J69" s="6" t="str">
        <f>VLOOKUP(Table1[[#This Row],[ماه توقف]],Table2[],3,0)</f>
        <v>بهار</v>
      </c>
      <c r="K69" s="3">
        <f>_xlfn.NUMBERVALUE(RIGHT(LEFT(Table1[[#This Row],[تاریخ توقف]],7),2))</f>
        <v>1</v>
      </c>
      <c r="L69" s="3" t="str">
        <f>RIGHT(LEFT(Table1[[#This Row],[تاریخ توقف]],10),2)</f>
        <v>31</v>
      </c>
      <c r="M69" s="3">
        <f>HOUR(Table1[[#This Row],[زمان شروع توقف]])</f>
        <v>16</v>
      </c>
      <c r="N69" s="3">
        <f>MINUTE(Table1[[#This Row],[زمان شروع توقف]])</f>
        <v>0</v>
      </c>
      <c r="O69" s="3">
        <f>((Table1[[#This Row],[سال توقف]]*365+IF(Table1[[#This Row],[ماه توقف]]&lt;7,(Table1[[#This Row],[ماه توقف]]-1)*31,6*31+(Table1[[#This Row],[ماه توقف]]-6-1)*30)+(Table1[[#This Row],[روز توقف]])-1)*24+Table1[[#This Row],[ساعت توقف2]])*60+Table1[[#This Row],[دقیقه توقف]]</f>
        <v>737986560</v>
      </c>
      <c r="P69" s="56" t="s">
        <v>884</v>
      </c>
      <c r="Q69" s="53">
        <v>0.6875</v>
      </c>
      <c r="R69" s="3" t="str">
        <f>LEFT(Table1[[#This Row],[تاریخ پایان توقف]],4)</f>
        <v>1404</v>
      </c>
      <c r="S69" s="3" t="str">
        <f>_xlfn.IFNA(VLOOKUP(Table1[[#This Row],[ماه رفع توقف]],Table2[],3,0),"در حال تعمیر")</f>
        <v>بهار</v>
      </c>
      <c r="T69" s="3">
        <f>_xlfn.NUMBERVALUE(RIGHT(LEFT(Table1[[#This Row],[تاریخ پایان توقف]],7),2))</f>
        <v>1</v>
      </c>
      <c r="U69" s="3" t="str">
        <f>RIGHT(LEFT(Table1[[#This Row],[تاریخ پایان توقف]],10),2)</f>
        <v>31</v>
      </c>
      <c r="V69" s="3">
        <f>HOUR(Table1[[#This Row],[زمان پایان توقف]])</f>
        <v>16</v>
      </c>
      <c r="W69" s="3">
        <f>MINUTE(Table1[[#This Row],[زمان پایان توقف]])</f>
        <v>30</v>
      </c>
      <c r="X6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737986590</v>
      </c>
      <c r="Y69" s="42" t="s">
        <v>902</v>
      </c>
      <c r="Z69" s="83">
        <f>IFERROR((IF(Table1[[#This Row],[تاریخ پایان توقف]]&lt;&gt;"",Table1[[#This Row],[زمان رفع توقف]]-Table1[[#This Row],[زمان توقف]],"")/60),"")</f>
        <v>0.5</v>
      </c>
      <c r="AA69" s="3">
        <f>VLOOKUP(E69,Table4[],4,0)</f>
        <v>24</v>
      </c>
      <c r="AB69" s="3">
        <f>VLOOKUP(E69,Table4[],5,0)</f>
        <v>0.2</v>
      </c>
      <c r="AC69" s="3">
        <v>360</v>
      </c>
      <c r="AD69" s="3">
        <f>VLOOKUP(E69,Table4[],7,0)</f>
        <v>720</v>
      </c>
      <c r="AE69" s="83">
        <f>IF(Table1[[#This Row],[زمان آخرین رفع توقف قبل از توقف فعلی]]="","",(Table1[[#This Row],[زمان توقف]]-Table1[[#This Row],[زمان آخرین رفع توقف قبل از توقف فعلی]])/60)</f>
        <v>4122.8833333333332</v>
      </c>
      <c r="AF6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737739187</v>
      </c>
    </row>
    <row r="70" spans="1:32">
      <c r="A70" s="36">
        <v>71</v>
      </c>
      <c r="B70" s="36" t="s">
        <v>98</v>
      </c>
      <c r="C70" s="36" t="s">
        <v>881</v>
      </c>
      <c r="D70" s="36" t="s">
        <v>88</v>
      </c>
      <c r="E70" s="85" t="s">
        <v>91</v>
      </c>
      <c r="F70" s="36" t="s">
        <v>12</v>
      </c>
      <c r="G70" s="57" t="s">
        <v>885</v>
      </c>
      <c r="H70" s="53">
        <v>0.74722222222222223</v>
      </c>
      <c r="I70" s="6" t="str">
        <f>LEFT(Table1[[#This Row],[تاریخ توقف]],4)</f>
        <v>1404</v>
      </c>
      <c r="J70" s="6" t="str">
        <f>VLOOKUP(Table1[[#This Row],[ماه توقف]],Table2[],3,0)</f>
        <v>بهار</v>
      </c>
      <c r="K70" s="3">
        <f>_xlfn.NUMBERVALUE(RIGHT(LEFT(Table1[[#This Row],[تاریخ توقف]],7),2))</f>
        <v>2</v>
      </c>
      <c r="L70" s="3" t="str">
        <f>RIGHT(LEFT(Table1[[#This Row],[تاریخ توقف]],10),2)</f>
        <v>02</v>
      </c>
      <c r="M70" s="3">
        <f>HOUR(Table1[[#This Row],[زمان شروع توقف]])</f>
        <v>17</v>
      </c>
      <c r="N70" s="3">
        <f>MINUTE(Table1[[#This Row],[زمان شروع توقف]])</f>
        <v>56</v>
      </c>
      <c r="O70" s="3">
        <f>((Table1[[#This Row],[سال توقف]]*365+IF(Table1[[#This Row],[ماه توقف]]&lt;7,(Table1[[#This Row],[ماه توقف]]-1)*31,6*31+(Table1[[#This Row],[ماه توقف]]-6-1)*30)+(Table1[[#This Row],[روز توقف]])-1)*24+Table1[[#This Row],[ساعت توقف2]])*60+Table1[[#This Row],[دقیقه توقف]]</f>
        <v>737989556</v>
      </c>
      <c r="P70" s="56" t="s">
        <v>888</v>
      </c>
      <c r="Q70" s="53">
        <v>0.33680555555555558</v>
      </c>
      <c r="R70" s="3" t="str">
        <f>LEFT(Table1[[#This Row],[تاریخ پایان توقف]],4)</f>
        <v>1404</v>
      </c>
      <c r="S70" s="3" t="str">
        <f>_xlfn.IFNA(VLOOKUP(Table1[[#This Row],[ماه رفع توقف]],Table2[],3,0),"در حال تعمیر")</f>
        <v>بهار</v>
      </c>
      <c r="T70" s="3">
        <f>_xlfn.NUMBERVALUE(RIGHT(LEFT(Table1[[#This Row],[تاریخ پایان توقف]],7),2))</f>
        <v>2</v>
      </c>
      <c r="U70" s="3" t="str">
        <f>RIGHT(LEFT(Table1[[#This Row],[تاریخ پایان توقف]],10),2)</f>
        <v>03</v>
      </c>
      <c r="V70" s="3">
        <f>HOUR(Table1[[#This Row],[زمان پایان توقف]])</f>
        <v>8</v>
      </c>
      <c r="W70" s="3">
        <f>MINUTE(Table1[[#This Row],[زمان پایان توقف]])</f>
        <v>5</v>
      </c>
      <c r="X7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737990405</v>
      </c>
      <c r="Y70" s="42" t="s">
        <v>903</v>
      </c>
      <c r="Z70" s="83">
        <f>IFERROR((IF(Table1[[#This Row],[تاریخ پایان توقف]]&lt;&gt;"",Table1[[#This Row],[زمان رفع توقف]]-Table1[[#This Row],[زمان توقف]],"")/60),"")</f>
        <v>14.15</v>
      </c>
      <c r="AA70" s="3">
        <f>VLOOKUP(E70,Table4[],4,0)</f>
        <v>24</v>
      </c>
      <c r="AB70" s="3">
        <f>VLOOKUP(E70,Table4[],5,0)</f>
        <v>0.2</v>
      </c>
      <c r="AC70" s="3">
        <v>360</v>
      </c>
      <c r="AD70" s="3">
        <f>VLOOKUP(E70,Table4[],7,0)</f>
        <v>720</v>
      </c>
      <c r="AE70" s="83">
        <f>IF(Table1[[#This Row],[زمان آخرین رفع توقف قبل از توقف فعلی]]="","",(Table1[[#This Row],[زمان توقف]]-Table1[[#This Row],[زمان آخرین رفع توقف قبل از توقف فعلی]])/60)</f>
        <v>165.43333333333334</v>
      </c>
      <c r="AF7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737979630</v>
      </c>
    </row>
    <row r="71" spans="1:32">
      <c r="A71" s="36">
        <v>72</v>
      </c>
      <c r="B71" s="36" t="s">
        <v>98</v>
      </c>
      <c r="C71" s="36" t="s">
        <v>185</v>
      </c>
      <c r="D71" s="36" t="s">
        <v>106</v>
      </c>
      <c r="E71" s="85" t="s">
        <v>107</v>
      </c>
      <c r="F71" s="36" t="s">
        <v>12</v>
      </c>
      <c r="G71" s="56" t="s">
        <v>888</v>
      </c>
      <c r="H71" s="53">
        <v>0.90694444444444444</v>
      </c>
      <c r="I71" s="6" t="str">
        <f>LEFT(Table1[[#This Row],[تاریخ توقف]],4)</f>
        <v>1404</v>
      </c>
      <c r="J71" s="6" t="str">
        <f>VLOOKUP(Table1[[#This Row],[ماه توقف]],Table2[],3,0)</f>
        <v>بهار</v>
      </c>
      <c r="K71" s="3">
        <f>_xlfn.NUMBERVALUE(RIGHT(LEFT(Table1[[#This Row],[تاریخ توقف]],7),2))</f>
        <v>2</v>
      </c>
      <c r="L71" s="3" t="str">
        <f>RIGHT(LEFT(Table1[[#This Row],[تاریخ توقف]],10),2)</f>
        <v>03</v>
      </c>
      <c r="M71" s="3">
        <f>HOUR(Table1[[#This Row],[زمان شروع توقف]])</f>
        <v>21</v>
      </c>
      <c r="N71" s="3">
        <f>MINUTE(Table1[[#This Row],[زمان شروع توقف]])</f>
        <v>46</v>
      </c>
      <c r="O71" s="3">
        <f>((Table1[[#This Row],[سال توقف]]*365+IF(Table1[[#This Row],[ماه توقف]]&lt;7,(Table1[[#This Row],[ماه توقف]]-1)*31,6*31+(Table1[[#This Row],[ماه توقف]]-6-1)*30)+(Table1[[#This Row],[روز توقف]])-1)*24+Table1[[#This Row],[ساعت توقف2]])*60+Table1[[#This Row],[دقیقه توقف]]</f>
        <v>737991226</v>
      </c>
      <c r="P71" s="56" t="s">
        <v>907</v>
      </c>
      <c r="Q71" s="53">
        <v>0.78680555555555554</v>
      </c>
      <c r="R71" s="3" t="str">
        <f>LEFT(Table1[[#This Row],[تاریخ پایان توقف]],4)</f>
        <v>1404</v>
      </c>
      <c r="S71" s="3" t="str">
        <f>_xlfn.IFNA(VLOOKUP(Table1[[#This Row],[ماه رفع توقف]],Table2[],3,0),"در حال تعمیر")</f>
        <v>بهار</v>
      </c>
      <c r="T71" s="3">
        <f>_xlfn.NUMBERVALUE(RIGHT(LEFT(Table1[[#This Row],[تاریخ پایان توقف]],7),2))</f>
        <v>2</v>
      </c>
      <c r="U71" s="3" t="str">
        <f>RIGHT(LEFT(Table1[[#This Row],[تاریخ پایان توقف]],10),2)</f>
        <v>06</v>
      </c>
      <c r="V71" s="3">
        <f>HOUR(Table1[[#This Row],[زمان پایان توقف]])</f>
        <v>18</v>
      </c>
      <c r="W71" s="3">
        <f>MINUTE(Table1[[#This Row],[زمان پایان توقف]])</f>
        <v>53</v>
      </c>
      <c r="X7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737995373</v>
      </c>
      <c r="Y71" s="42" t="s">
        <v>920</v>
      </c>
      <c r="Z71" s="83">
        <f>IFERROR((IF(Table1[[#This Row],[تاریخ پایان توقف]]&lt;&gt;"",Table1[[#This Row],[زمان رفع توقف]]-Table1[[#This Row],[زمان توقف]],"")/60),"")</f>
        <v>69.11666666666666</v>
      </c>
      <c r="AA71" s="3">
        <f>VLOOKUP(E71,Table4[],4,0)</f>
        <v>24</v>
      </c>
      <c r="AB71" s="3">
        <f>VLOOKUP(E71,Table4[],5,0)</f>
        <v>0.2</v>
      </c>
      <c r="AC71" s="3">
        <v>360</v>
      </c>
      <c r="AD71" s="3">
        <f>VLOOKUP(E71,Table4[],7,0)</f>
        <v>720</v>
      </c>
      <c r="AE71" s="83">
        <f>IF(Table1[[#This Row],[زمان آخرین رفع توقف قبل از توقف فعلی]]="","",(Table1[[#This Row],[زمان توقف]]-Table1[[#This Row],[زمان آخرین رفع توقف قبل از توقف فعلی]])/60)</f>
        <v>29.633333333333333</v>
      </c>
      <c r="AF7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737989448</v>
      </c>
    </row>
    <row r="72" spans="1:32">
      <c r="A72" s="36">
        <v>73</v>
      </c>
      <c r="B72" s="36" t="s">
        <v>98</v>
      </c>
      <c r="C72" s="36" t="s">
        <v>121</v>
      </c>
      <c r="D72" s="62" t="s">
        <v>120</v>
      </c>
      <c r="E72" s="86" t="s">
        <v>122</v>
      </c>
      <c r="F72" s="36" t="s">
        <v>12</v>
      </c>
      <c r="G72" s="56" t="s">
        <v>907</v>
      </c>
      <c r="H72" s="53">
        <v>0.75</v>
      </c>
      <c r="I72" s="6" t="str">
        <f>LEFT(Table1[[#This Row],[تاریخ توقف]],4)</f>
        <v>1404</v>
      </c>
      <c r="J72" s="6" t="str">
        <f>VLOOKUP(Table1[[#This Row],[ماه توقف]],Table2[],3,0)</f>
        <v>بهار</v>
      </c>
      <c r="K72" s="3">
        <f>_xlfn.NUMBERVALUE(RIGHT(LEFT(Table1[[#This Row],[تاریخ توقف]],7),2))</f>
        <v>2</v>
      </c>
      <c r="L72" s="3" t="str">
        <f>RIGHT(LEFT(Table1[[#This Row],[تاریخ توقف]],10),2)</f>
        <v>06</v>
      </c>
      <c r="M72" s="3">
        <f>HOUR(Table1[[#This Row],[زمان شروع توقف]])</f>
        <v>18</v>
      </c>
      <c r="N72" s="3">
        <f>MINUTE(Table1[[#This Row],[زمان شروع توقف]])</f>
        <v>0</v>
      </c>
      <c r="O72" s="3">
        <f>((Table1[[#This Row],[سال توقف]]*365+IF(Table1[[#This Row],[ماه توقف]]&lt;7,(Table1[[#This Row],[ماه توقف]]-1)*31,6*31+(Table1[[#This Row],[ماه توقف]]-6-1)*30)+(Table1[[#This Row],[روز توقف]])-1)*24+Table1[[#This Row],[ساعت توقف2]])*60+Table1[[#This Row],[دقیقه توقف]]</f>
        <v>737995320</v>
      </c>
      <c r="P72" s="56" t="s">
        <v>919</v>
      </c>
      <c r="Q72" s="53">
        <v>0.89583333333333337</v>
      </c>
      <c r="R72" s="3" t="str">
        <f>LEFT(Table1[[#This Row],[تاریخ پایان توقف]],4)</f>
        <v>1404</v>
      </c>
      <c r="S72" s="3" t="str">
        <f>_xlfn.IFNA(VLOOKUP(Table1[[#This Row],[ماه رفع توقف]],Table2[],3,0),"در حال تعمیر")</f>
        <v>بهار</v>
      </c>
      <c r="T72" s="3">
        <f>_xlfn.NUMBERVALUE(RIGHT(LEFT(Table1[[#This Row],[تاریخ پایان توقف]],7),2))</f>
        <v>2</v>
      </c>
      <c r="U72" s="3" t="str">
        <f>RIGHT(LEFT(Table1[[#This Row],[تاریخ پایان توقف]],10),2)</f>
        <v>07</v>
      </c>
      <c r="V72" s="3">
        <f>HOUR(Table1[[#This Row],[زمان پایان توقف]])</f>
        <v>21</v>
      </c>
      <c r="W72" s="3">
        <f>MINUTE(Table1[[#This Row],[زمان پایان توقف]])</f>
        <v>30</v>
      </c>
      <c r="X7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737996970</v>
      </c>
      <c r="Y72" s="42" t="s">
        <v>921</v>
      </c>
      <c r="Z72" s="83">
        <f>IFERROR((IF(Table1[[#This Row],[تاریخ پایان توقف]]&lt;&gt;"",Table1[[#This Row],[زمان رفع توقف]]-Table1[[#This Row],[زمان توقف]],"")/60),"")</f>
        <v>27.5</v>
      </c>
      <c r="AA72" s="3">
        <f>VLOOKUP(E72,Table4[],4,0)</f>
        <v>24</v>
      </c>
      <c r="AB72" s="3">
        <f>VLOOKUP(E72,Table4[],5,0)</f>
        <v>0.2</v>
      </c>
      <c r="AC72" s="3">
        <v>360</v>
      </c>
      <c r="AD72" s="3">
        <f>VLOOKUP(E72,Table4[],7,0)</f>
        <v>720</v>
      </c>
      <c r="AE72" s="83">
        <f>IF(Table1[[#This Row],[زمان آخرین رفع توقف قبل از توقف فعلی]]="","",(Table1[[#This Row],[زمان توقف]]-Table1[[#This Row],[زمان آخرین رفع توقف قبل از توقف فعلی]])/60)</f>
        <v>121.01666666666667</v>
      </c>
      <c r="AF7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737988059</v>
      </c>
    </row>
    <row r="73" spans="1:32">
      <c r="A73" s="36">
        <v>74</v>
      </c>
      <c r="B73" s="36" t="s">
        <v>98</v>
      </c>
      <c r="C73" s="36" t="s">
        <v>116</v>
      </c>
      <c r="D73" s="36" t="s">
        <v>115</v>
      </c>
      <c r="E73" s="86" t="s">
        <v>117</v>
      </c>
      <c r="F73" s="36" t="s">
        <v>12</v>
      </c>
      <c r="G73" s="56" t="s">
        <v>908</v>
      </c>
      <c r="H73" s="53">
        <v>0.47222222222222227</v>
      </c>
      <c r="I73" s="6" t="str">
        <f>LEFT(Table1[[#This Row],[تاریخ توقف]],4)</f>
        <v>1404</v>
      </c>
      <c r="J73" s="6" t="str">
        <f>VLOOKUP(Table1[[#This Row],[ماه توقف]],Table2[],3,0)</f>
        <v>بهار</v>
      </c>
      <c r="K73" s="3">
        <f>_xlfn.NUMBERVALUE(RIGHT(LEFT(Table1[[#This Row],[تاریخ توقف]],7),2))</f>
        <v>2</v>
      </c>
      <c r="L73" s="3" t="str">
        <f>RIGHT(LEFT(Table1[[#This Row],[تاریخ توقف]],10),2)</f>
        <v>10</v>
      </c>
      <c r="M73" s="3">
        <f>HOUR(Table1[[#This Row],[زمان شروع توقف]])</f>
        <v>11</v>
      </c>
      <c r="N73" s="3">
        <f>MINUTE(Table1[[#This Row],[زمان شروع توقف]])</f>
        <v>20</v>
      </c>
      <c r="O73" s="3">
        <f>((Table1[[#This Row],[سال توقف]]*365+IF(Table1[[#This Row],[ماه توقف]]&lt;7,(Table1[[#This Row],[ماه توقف]]-1)*31,6*31+(Table1[[#This Row],[ماه توقف]]-6-1)*30)+(Table1[[#This Row],[روز توقف]])-1)*24+Table1[[#This Row],[ساعت توقف2]])*60+Table1[[#This Row],[دقیقه توقف]]</f>
        <v>738000680</v>
      </c>
      <c r="P73" s="56" t="s">
        <v>908</v>
      </c>
      <c r="Q73" s="53">
        <v>0.49861111111111112</v>
      </c>
      <c r="R73" s="3" t="str">
        <f>LEFT(Table1[[#This Row],[تاریخ پایان توقف]],4)</f>
        <v>1404</v>
      </c>
      <c r="S73" s="3" t="str">
        <f>_xlfn.IFNA(VLOOKUP(Table1[[#This Row],[ماه رفع توقف]],Table2[],3,0),"در حال تعمیر")</f>
        <v>بهار</v>
      </c>
      <c r="T73" s="3">
        <f>_xlfn.NUMBERVALUE(RIGHT(LEFT(Table1[[#This Row],[تاریخ پایان توقف]],7),2))</f>
        <v>2</v>
      </c>
      <c r="U73" s="3" t="str">
        <f>RIGHT(LEFT(Table1[[#This Row],[تاریخ پایان توقف]],10),2)</f>
        <v>10</v>
      </c>
      <c r="V73" s="3">
        <f>HOUR(Table1[[#This Row],[زمان پایان توقف]])</f>
        <v>11</v>
      </c>
      <c r="W73" s="3">
        <f>MINUTE(Table1[[#This Row],[زمان پایان توقف]])</f>
        <v>58</v>
      </c>
      <c r="X7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738000718</v>
      </c>
      <c r="Y73" s="42" t="s">
        <v>194</v>
      </c>
      <c r="Z73" s="83">
        <f>IFERROR((IF(Table1[[#This Row],[تاریخ پایان توقف]]&lt;&gt;"",Table1[[#This Row],[زمان رفع توقف]]-Table1[[#This Row],[زمان توقف]],"")/60),"")</f>
        <v>0.6333333333333333</v>
      </c>
      <c r="AA73" s="3">
        <f>VLOOKUP(E73,Table4[],4,0)</f>
        <v>24</v>
      </c>
      <c r="AB73" s="3">
        <f>VLOOKUP(E73,Table4[],5,0)</f>
        <v>0.2</v>
      </c>
      <c r="AC73" s="3">
        <v>360</v>
      </c>
      <c r="AD73" s="3">
        <f>VLOOKUP(E73,Table4[],7,0)</f>
        <v>720</v>
      </c>
      <c r="AE73" s="83">
        <f>IF(Table1[[#This Row],[زمان آخرین رفع توقف قبل از توقف فعلی]]="","",(Table1[[#This Row],[زمان توقف]]-Table1[[#This Row],[زمان آخرین رفع توقف قبل از توقف فعلی]])/60)</f>
        <v>572.11666666666667</v>
      </c>
      <c r="AF7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737966353</v>
      </c>
    </row>
    <row r="74" spans="1:32">
      <c r="A74" s="36">
        <v>75</v>
      </c>
      <c r="B74" s="36" t="s">
        <v>98</v>
      </c>
      <c r="C74" s="36" t="s">
        <v>116</v>
      </c>
      <c r="D74" s="36" t="s">
        <v>115</v>
      </c>
      <c r="E74" s="86" t="s">
        <v>117</v>
      </c>
      <c r="F74" s="36" t="s">
        <v>12</v>
      </c>
      <c r="G74" s="56" t="s">
        <v>908</v>
      </c>
      <c r="H74" s="53">
        <v>0.53472222222222221</v>
      </c>
      <c r="I74" s="6" t="str">
        <f>LEFT(Table1[[#This Row],[تاریخ توقف]],4)</f>
        <v>1404</v>
      </c>
      <c r="J74" s="6" t="str">
        <f>VLOOKUP(Table1[[#This Row],[ماه توقف]],Table2[],3,0)</f>
        <v>بهار</v>
      </c>
      <c r="K74" s="3">
        <f>_xlfn.NUMBERVALUE(RIGHT(LEFT(Table1[[#This Row],[تاریخ توقف]],7),2))</f>
        <v>2</v>
      </c>
      <c r="L74" s="3" t="str">
        <f>RIGHT(LEFT(Table1[[#This Row],[تاریخ توقف]],10),2)</f>
        <v>10</v>
      </c>
      <c r="M74" s="3">
        <f>HOUR(Table1[[#This Row],[زمان شروع توقف]])</f>
        <v>12</v>
      </c>
      <c r="N74" s="3">
        <f>MINUTE(Table1[[#This Row],[زمان شروع توقف]])</f>
        <v>50</v>
      </c>
      <c r="O74" s="3">
        <f>((Table1[[#This Row],[سال توقف]]*365+IF(Table1[[#This Row],[ماه توقف]]&lt;7,(Table1[[#This Row],[ماه توقف]]-1)*31,6*31+(Table1[[#This Row],[ماه توقف]]-6-1)*30)+(Table1[[#This Row],[روز توقف]])-1)*24+Table1[[#This Row],[ساعت توقف2]])*60+Table1[[#This Row],[دقیقه توقف]]</f>
        <v>738000770</v>
      </c>
      <c r="P74" s="56" t="s">
        <v>908</v>
      </c>
      <c r="Q74" s="53">
        <v>0.55555555555555558</v>
      </c>
      <c r="R74" s="3" t="str">
        <f>LEFT(Table1[[#This Row],[تاریخ پایان توقف]],4)</f>
        <v>1404</v>
      </c>
      <c r="S74" s="3" t="str">
        <f>_xlfn.IFNA(VLOOKUP(Table1[[#This Row],[ماه رفع توقف]],Table2[],3,0),"در حال تعمیر")</f>
        <v>بهار</v>
      </c>
      <c r="T74" s="3">
        <f>_xlfn.NUMBERVALUE(RIGHT(LEFT(Table1[[#This Row],[تاریخ پایان توقف]],7),2))</f>
        <v>2</v>
      </c>
      <c r="U74" s="3" t="str">
        <f>RIGHT(LEFT(Table1[[#This Row],[تاریخ پایان توقف]],10),2)</f>
        <v>10</v>
      </c>
      <c r="V74" s="3">
        <f>HOUR(Table1[[#This Row],[زمان پایان توقف]])</f>
        <v>13</v>
      </c>
      <c r="W74" s="3">
        <f>MINUTE(Table1[[#This Row],[زمان پایان توقف]])</f>
        <v>20</v>
      </c>
      <c r="X7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738000800</v>
      </c>
      <c r="Y74" s="42" t="s">
        <v>194</v>
      </c>
      <c r="Z74" s="83">
        <f>IFERROR((IF(Table1[[#This Row],[تاریخ پایان توقف]]&lt;&gt;"",Table1[[#This Row],[زمان رفع توقف]]-Table1[[#This Row],[زمان توقف]],"")/60),"")</f>
        <v>0.5</v>
      </c>
      <c r="AA74" s="3">
        <f>VLOOKUP(E74,Table4[],4,0)</f>
        <v>24</v>
      </c>
      <c r="AB74" s="3">
        <f>VLOOKUP(E74,Table4[],5,0)</f>
        <v>0.2</v>
      </c>
      <c r="AC74" s="3">
        <v>360</v>
      </c>
      <c r="AD74" s="3">
        <f>VLOOKUP(E74,Table4[],7,0)</f>
        <v>720</v>
      </c>
      <c r="AE74" s="83">
        <f>IF(Table1[[#This Row],[زمان آخرین رفع توقف قبل از توقف فعلی]]="","",(Table1[[#This Row],[زمان توقف]]-Table1[[#This Row],[زمان آخرین رفع توقف قبل از توقف فعلی]])/60)</f>
        <v>0.8666666666666667</v>
      </c>
      <c r="AF7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738000718</v>
      </c>
    </row>
    <row r="75" spans="1:32">
      <c r="A75" s="36">
        <v>76</v>
      </c>
      <c r="B75" s="36" t="s">
        <v>98</v>
      </c>
      <c r="C75" s="36" t="s">
        <v>116</v>
      </c>
      <c r="D75" s="36" t="s">
        <v>115</v>
      </c>
      <c r="E75" s="86" t="s">
        <v>117</v>
      </c>
      <c r="F75" s="36" t="s">
        <v>12</v>
      </c>
      <c r="G75" s="56" t="s">
        <v>908</v>
      </c>
      <c r="H75" s="53">
        <v>0.7993055555555556</v>
      </c>
      <c r="I75" s="6" t="str">
        <f>LEFT(Table1[[#This Row],[تاریخ توقف]],4)</f>
        <v>1404</v>
      </c>
      <c r="J75" s="6" t="str">
        <f>VLOOKUP(Table1[[#This Row],[ماه توقف]],Table2[],3,0)</f>
        <v>بهار</v>
      </c>
      <c r="K75" s="3">
        <f>_xlfn.NUMBERVALUE(RIGHT(LEFT(Table1[[#This Row],[تاریخ توقف]],7),2))</f>
        <v>2</v>
      </c>
      <c r="L75" s="3" t="str">
        <f>RIGHT(LEFT(Table1[[#This Row],[تاریخ توقف]],10),2)</f>
        <v>10</v>
      </c>
      <c r="M75" s="3">
        <f>HOUR(Table1[[#This Row],[زمان شروع توقف]])</f>
        <v>19</v>
      </c>
      <c r="N75" s="3">
        <f>MINUTE(Table1[[#This Row],[زمان شروع توقف]])</f>
        <v>11</v>
      </c>
      <c r="O75" s="3">
        <f>((Table1[[#This Row],[سال توقف]]*365+IF(Table1[[#This Row],[ماه توقف]]&lt;7,(Table1[[#This Row],[ماه توقف]]-1)*31,6*31+(Table1[[#This Row],[ماه توقف]]-6-1)*30)+(Table1[[#This Row],[روز توقف]])-1)*24+Table1[[#This Row],[ساعت توقف2]])*60+Table1[[#This Row],[دقیقه توقف]]</f>
        <v>738001151</v>
      </c>
      <c r="P75" s="56" t="s">
        <v>908</v>
      </c>
      <c r="Q75" s="53">
        <v>0.92152777777777783</v>
      </c>
      <c r="R75" s="3" t="str">
        <f>LEFT(Table1[[#This Row],[تاریخ پایان توقف]],4)</f>
        <v>1404</v>
      </c>
      <c r="S75" s="3" t="str">
        <f>_xlfn.IFNA(VLOOKUP(Table1[[#This Row],[ماه رفع توقف]],Table2[],3,0),"در حال تعمیر")</f>
        <v>بهار</v>
      </c>
      <c r="T75" s="3">
        <f>_xlfn.NUMBERVALUE(RIGHT(LEFT(Table1[[#This Row],[تاریخ پایان توقف]],7),2))</f>
        <v>2</v>
      </c>
      <c r="U75" s="3" t="str">
        <f>RIGHT(LEFT(Table1[[#This Row],[تاریخ پایان توقف]],10),2)</f>
        <v>10</v>
      </c>
      <c r="V75" s="3">
        <f>HOUR(Table1[[#This Row],[زمان پایان توقف]])</f>
        <v>22</v>
      </c>
      <c r="W75" s="3">
        <f>MINUTE(Table1[[#This Row],[زمان پایان توقف]])</f>
        <v>7</v>
      </c>
      <c r="X7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738001327</v>
      </c>
      <c r="Y75" s="42" t="s">
        <v>922</v>
      </c>
      <c r="Z75" s="83">
        <f>IFERROR((IF(Table1[[#This Row],[تاریخ پایان توقف]]&lt;&gt;"",Table1[[#This Row],[زمان رفع توقف]]-Table1[[#This Row],[زمان توقف]],"")/60),"")</f>
        <v>2.9333333333333331</v>
      </c>
      <c r="AA75" s="3">
        <f>VLOOKUP(E75,Table4[],4,0)</f>
        <v>24</v>
      </c>
      <c r="AB75" s="3">
        <f>VLOOKUP(E75,Table4[],5,0)</f>
        <v>0.2</v>
      </c>
      <c r="AC75" s="3">
        <v>360</v>
      </c>
      <c r="AD75" s="3">
        <f>VLOOKUP(E75,Table4[],7,0)</f>
        <v>720</v>
      </c>
      <c r="AE75" s="83">
        <f>IF(Table1[[#This Row],[زمان آخرین رفع توقف قبل از توقف فعلی]]="","",(Table1[[#This Row],[زمان توقف]]-Table1[[#This Row],[زمان آخرین رفع توقف قبل از توقف فعلی]])/60)</f>
        <v>5.85</v>
      </c>
      <c r="AF7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738000800</v>
      </c>
    </row>
    <row r="76" spans="1:32">
      <c r="A76" s="36">
        <v>77</v>
      </c>
      <c r="B76" s="36" t="s">
        <v>98</v>
      </c>
      <c r="C76" s="36" t="s">
        <v>881</v>
      </c>
      <c r="D76" s="36" t="s">
        <v>88</v>
      </c>
      <c r="E76" s="85" t="s">
        <v>91</v>
      </c>
      <c r="F76" s="36" t="s">
        <v>12</v>
      </c>
      <c r="G76" s="56" t="s">
        <v>909</v>
      </c>
      <c r="H76" s="53">
        <v>0.33333333333333331</v>
      </c>
      <c r="I76" s="6" t="str">
        <f>LEFT(Table1[[#This Row],[تاریخ توقف]],4)</f>
        <v>1404</v>
      </c>
      <c r="J76" s="6" t="str">
        <f>VLOOKUP(Table1[[#This Row],[ماه توقف]],Table2[],3,0)</f>
        <v>بهار</v>
      </c>
      <c r="K76" s="3">
        <f>_xlfn.NUMBERVALUE(RIGHT(LEFT(Table1[[#This Row],[تاریخ توقف]],7),2))</f>
        <v>2</v>
      </c>
      <c r="L76" s="3" t="str">
        <f>RIGHT(LEFT(Table1[[#This Row],[تاریخ توقف]],10),2)</f>
        <v>13</v>
      </c>
      <c r="M76" s="3">
        <f>HOUR(Table1[[#This Row],[زمان شروع توقف]])</f>
        <v>8</v>
      </c>
      <c r="N76" s="3">
        <f>MINUTE(Table1[[#This Row],[زمان شروع توقف]])</f>
        <v>0</v>
      </c>
      <c r="O76" s="3">
        <f>((Table1[[#This Row],[سال توقف]]*365+IF(Table1[[#This Row],[ماه توقف]]&lt;7,(Table1[[#This Row],[ماه توقف]]-1)*31,6*31+(Table1[[#This Row],[ماه توقف]]-6-1)*30)+(Table1[[#This Row],[روز توقف]])-1)*24+Table1[[#This Row],[ساعت توقف2]])*60+Table1[[#This Row],[دقیقه توقف]]</f>
        <v>738004800</v>
      </c>
      <c r="P76" s="56" t="s">
        <v>909</v>
      </c>
      <c r="Q76" s="53">
        <v>0.36319444444444443</v>
      </c>
      <c r="R76" s="3" t="str">
        <f>LEFT(Table1[[#This Row],[تاریخ پایان توقف]],4)</f>
        <v>1404</v>
      </c>
      <c r="S76" s="3" t="str">
        <f>_xlfn.IFNA(VLOOKUP(Table1[[#This Row],[ماه رفع توقف]],Table2[],3,0),"در حال تعمیر")</f>
        <v>بهار</v>
      </c>
      <c r="T76" s="3">
        <f>_xlfn.NUMBERVALUE(RIGHT(LEFT(Table1[[#This Row],[تاریخ پایان توقف]],7),2))</f>
        <v>2</v>
      </c>
      <c r="U76" s="3" t="str">
        <f>RIGHT(LEFT(Table1[[#This Row],[تاریخ پایان توقف]],10),2)</f>
        <v>13</v>
      </c>
      <c r="V76" s="3">
        <f>HOUR(Table1[[#This Row],[زمان پایان توقف]])</f>
        <v>8</v>
      </c>
      <c r="W76" s="3">
        <f>MINUTE(Table1[[#This Row],[زمان پایان توقف]])</f>
        <v>43</v>
      </c>
      <c r="X7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738004843</v>
      </c>
      <c r="Y76" s="42" t="s">
        <v>923</v>
      </c>
      <c r="Z76" s="83">
        <f>IFERROR((IF(Table1[[#This Row],[تاریخ پایان توقف]]&lt;&gt;"",Table1[[#This Row],[زمان رفع توقف]]-Table1[[#This Row],[زمان توقف]],"")/60),"")</f>
        <v>0.71666666666666667</v>
      </c>
      <c r="AA76" s="3">
        <f>VLOOKUP(E76,Table4[],4,0)</f>
        <v>24</v>
      </c>
      <c r="AB76" s="3">
        <f>VLOOKUP(E76,Table4[],5,0)</f>
        <v>0.2</v>
      </c>
      <c r="AC76" s="3">
        <v>360</v>
      </c>
      <c r="AD76" s="3">
        <f>VLOOKUP(E76,Table4[],7,0)</f>
        <v>720</v>
      </c>
      <c r="AE76" s="83">
        <f>IF(Table1[[#This Row],[زمان آخرین رفع توقف قبل از توقف فعلی]]="","",(Table1[[#This Row],[زمان توقف]]-Table1[[#This Row],[زمان آخرین رفع توقف قبل از توقف فعلی]])/60)</f>
        <v>239.91666666666666</v>
      </c>
      <c r="AF7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737990405</v>
      </c>
    </row>
    <row r="77" spans="1:32">
      <c r="A77" s="36">
        <v>78</v>
      </c>
      <c r="B77" s="36" t="s">
        <v>98</v>
      </c>
      <c r="C77" s="36" t="s">
        <v>50</v>
      </c>
      <c r="D77" s="36" t="s">
        <v>45</v>
      </c>
      <c r="E77" s="85" t="s">
        <v>74</v>
      </c>
      <c r="F77" s="36" t="s">
        <v>12</v>
      </c>
      <c r="G77" s="56" t="s">
        <v>910</v>
      </c>
      <c r="H77" s="53">
        <v>0.88541666666666663</v>
      </c>
      <c r="I77" s="6" t="str">
        <f>LEFT(Table1[[#This Row],[تاریخ توقف]],4)</f>
        <v>1404</v>
      </c>
      <c r="J77" s="6" t="str">
        <f>VLOOKUP(Table1[[#This Row],[ماه توقف]],Table2[],3,0)</f>
        <v>بهار</v>
      </c>
      <c r="K77" s="3">
        <f>_xlfn.NUMBERVALUE(RIGHT(LEFT(Table1[[#This Row],[تاریخ توقف]],7),2))</f>
        <v>2</v>
      </c>
      <c r="L77" s="3" t="str">
        <f>RIGHT(LEFT(Table1[[#This Row],[تاریخ توقف]],10),2)</f>
        <v>14</v>
      </c>
      <c r="M77" s="3">
        <f>HOUR(Table1[[#This Row],[زمان شروع توقف]])</f>
        <v>21</v>
      </c>
      <c r="N77" s="3">
        <f>MINUTE(Table1[[#This Row],[زمان شروع توقف]])</f>
        <v>15</v>
      </c>
      <c r="O77" s="3">
        <f>((Table1[[#This Row],[سال توقف]]*365+IF(Table1[[#This Row],[ماه توقف]]&lt;7,(Table1[[#This Row],[ماه توقف]]-1)*31,6*31+(Table1[[#This Row],[ماه توقف]]-6-1)*30)+(Table1[[#This Row],[روز توقف]])-1)*24+Table1[[#This Row],[ساعت توقف2]])*60+Table1[[#This Row],[دقیقه توقف]]</f>
        <v>738007035</v>
      </c>
      <c r="P77" s="56" t="s">
        <v>910</v>
      </c>
      <c r="Q77" s="53">
        <v>0.97916666666666663</v>
      </c>
      <c r="R77" s="3" t="str">
        <f>LEFT(Table1[[#This Row],[تاریخ پایان توقف]],4)</f>
        <v>1404</v>
      </c>
      <c r="S77" s="3" t="str">
        <f>_xlfn.IFNA(VLOOKUP(Table1[[#This Row],[ماه رفع توقف]],Table2[],3,0),"در حال تعمیر")</f>
        <v>بهار</v>
      </c>
      <c r="T77" s="3">
        <f>_xlfn.NUMBERVALUE(RIGHT(LEFT(Table1[[#This Row],[تاریخ پایان توقف]],7),2))</f>
        <v>2</v>
      </c>
      <c r="U77" s="3" t="str">
        <f>RIGHT(LEFT(Table1[[#This Row],[تاریخ پایان توقف]],10),2)</f>
        <v>14</v>
      </c>
      <c r="V77" s="3">
        <f>HOUR(Table1[[#This Row],[زمان پایان توقف]])</f>
        <v>23</v>
      </c>
      <c r="W77" s="3">
        <f>MINUTE(Table1[[#This Row],[زمان پایان توقف]])</f>
        <v>30</v>
      </c>
      <c r="X7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738007170</v>
      </c>
      <c r="Y77" s="42" t="s">
        <v>924</v>
      </c>
      <c r="Z77" s="83">
        <f>IFERROR((IF(Table1[[#This Row],[تاریخ پایان توقف]]&lt;&gt;"",Table1[[#This Row],[زمان رفع توقف]]-Table1[[#This Row],[زمان توقف]],"")/60),"")</f>
        <v>2.25</v>
      </c>
      <c r="AA77" s="3">
        <f>VLOOKUP(E77,Table4[],4,0)</f>
        <v>24</v>
      </c>
      <c r="AB77" s="3">
        <f>VLOOKUP(E77,Table4[],5,0)</f>
        <v>0.2</v>
      </c>
      <c r="AC77" s="3">
        <v>360</v>
      </c>
      <c r="AD77" s="3">
        <f>VLOOKUP(E77,Table4[],7,0)</f>
        <v>720</v>
      </c>
      <c r="AE77" s="83">
        <f>IF(Table1[[#This Row],[زمان آخرین رفع توقف قبل از توقف فعلی]]="","",(Table1[[#This Row],[زمان توقف]]-Table1[[#This Row],[زمان آخرین رفع توقف قبل از توقف فعلی]])/60)</f>
        <v>588.26666666666665</v>
      </c>
      <c r="AF7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737971739</v>
      </c>
    </row>
    <row r="78" spans="1:32">
      <c r="A78" s="36">
        <v>79</v>
      </c>
      <c r="B78" s="36" t="s">
        <v>1289</v>
      </c>
      <c r="C78" s="36" t="s">
        <v>540</v>
      </c>
      <c r="D78" s="36"/>
      <c r="E78" s="85" t="s">
        <v>434</v>
      </c>
      <c r="F78" s="36" t="s">
        <v>12</v>
      </c>
      <c r="G78" s="56" t="s">
        <v>911</v>
      </c>
      <c r="H78" s="53">
        <v>3.472222222222222E-3</v>
      </c>
      <c r="I78" s="6" t="str">
        <f>LEFT(Table1[[#This Row],[تاریخ توقف]],4)</f>
        <v>1404</v>
      </c>
      <c r="J78" s="6" t="str">
        <f>VLOOKUP(Table1[[#This Row],[ماه توقف]],Table2[],3,0)</f>
        <v>بهار</v>
      </c>
      <c r="K78" s="3">
        <f>_xlfn.NUMBERVALUE(RIGHT(LEFT(Table1[[#This Row],[تاریخ توقف]],7),2))</f>
        <v>2</v>
      </c>
      <c r="L78" s="3" t="str">
        <f>RIGHT(LEFT(Table1[[#This Row],[تاریخ توقف]],10),2)</f>
        <v>15</v>
      </c>
      <c r="M78" s="3">
        <f>HOUR(Table1[[#This Row],[زمان شروع توقف]])</f>
        <v>0</v>
      </c>
      <c r="N78" s="3">
        <f>MINUTE(Table1[[#This Row],[زمان شروع توقف]])</f>
        <v>5</v>
      </c>
      <c r="O78" s="3">
        <f>((Table1[[#This Row],[سال توقف]]*365+IF(Table1[[#This Row],[ماه توقف]]&lt;7,(Table1[[#This Row],[ماه توقف]]-1)*31,6*31+(Table1[[#This Row],[ماه توقف]]-6-1)*30)+(Table1[[#This Row],[روز توقف]])-1)*24+Table1[[#This Row],[ساعت توقف2]])*60+Table1[[#This Row],[دقیقه توقف]]</f>
        <v>738007205</v>
      </c>
      <c r="P78" s="56" t="s">
        <v>911</v>
      </c>
      <c r="Q78" s="53">
        <v>2.2916666666666669E-2</v>
      </c>
      <c r="R78" s="3" t="str">
        <f>LEFT(Table1[[#This Row],[تاریخ پایان توقف]],4)</f>
        <v>1404</v>
      </c>
      <c r="S78" s="3" t="str">
        <f>_xlfn.IFNA(VLOOKUP(Table1[[#This Row],[ماه رفع توقف]],Table2[],3,0),"در حال تعمیر")</f>
        <v>بهار</v>
      </c>
      <c r="T78" s="3">
        <f>_xlfn.NUMBERVALUE(RIGHT(LEFT(Table1[[#This Row],[تاریخ پایان توقف]],7),2))</f>
        <v>2</v>
      </c>
      <c r="U78" s="3" t="str">
        <f>RIGHT(LEFT(Table1[[#This Row],[تاریخ پایان توقف]],10),2)</f>
        <v>15</v>
      </c>
      <c r="V78" s="3">
        <f>HOUR(Table1[[#This Row],[زمان پایان توقف]])</f>
        <v>0</v>
      </c>
      <c r="W78" s="3">
        <f>MINUTE(Table1[[#This Row],[زمان پایان توقف]])</f>
        <v>33</v>
      </c>
      <c r="X7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738007233</v>
      </c>
      <c r="Y78" s="42" t="s">
        <v>925</v>
      </c>
      <c r="Z78" s="83">
        <f>IFERROR((IF(Table1[[#This Row],[تاریخ پایان توقف]]&lt;&gt;"",Table1[[#This Row],[زمان رفع توقف]]-Table1[[#This Row],[زمان توقف]],"")/60),"")</f>
        <v>0.46666666666666667</v>
      </c>
      <c r="AA78" s="3">
        <f>VLOOKUP(E78,Table4[],4,0)</f>
        <v>24</v>
      </c>
      <c r="AB78" s="3">
        <f>VLOOKUP(E78,Table4[],5,0)</f>
        <v>0.2</v>
      </c>
      <c r="AC78" s="3">
        <v>360</v>
      </c>
      <c r="AD78" s="3">
        <f>VLOOKUP(E78,Table4[],7,0)</f>
        <v>720</v>
      </c>
      <c r="AE78" s="83" t="str">
        <f>IF(Table1[[#This Row],[زمان آخرین رفع توقف قبل از توقف فعلی]]="","",(Table1[[#This Row],[زمان توقف]]-Table1[[#This Row],[زمان آخرین رفع توقف قبل از توقف فعلی]])/60)</f>
        <v/>
      </c>
      <c r="AF78"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79" spans="1:32">
      <c r="A79" s="36">
        <v>80</v>
      </c>
      <c r="B79" s="36" t="s">
        <v>98</v>
      </c>
      <c r="C79" s="36" t="s">
        <v>881</v>
      </c>
      <c r="D79" s="36" t="s">
        <v>905</v>
      </c>
      <c r="E79" s="85" t="s">
        <v>91</v>
      </c>
      <c r="F79" s="36" t="s">
        <v>12</v>
      </c>
      <c r="G79" s="56" t="s">
        <v>912</v>
      </c>
      <c r="H79" s="53">
        <v>0.36319444444444443</v>
      </c>
      <c r="I79" s="6" t="str">
        <f>LEFT(Table1[[#This Row],[تاریخ توقف]],4)</f>
        <v>1404</v>
      </c>
      <c r="J79" s="6" t="str">
        <f>VLOOKUP(Table1[[#This Row],[ماه توقف]],Table2[],3,0)</f>
        <v>بهار</v>
      </c>
      <c r="K79" s="3">
        <f>_xlfn.NUMBERVALUE(RIGHT(LEFT(Table1[[#This Row],[تاریخ توقف]],7),2))</f>
        <v>2</v>
      </c>
      <c r="L79" s="3" t="str">
        <f>RIGHT(LEFT(Table1[[#This Row],[تاریخ توقف]],10),2)</f>
        <v>16</v>
      </c>
      <c r="M79" s="3">
        <f>HOUR(Table1[[#This Row],[زمان شروع توقف]])</f>
        <v>8</v>
      </c>
      <c r="N79" s="3">
        <f>MINUTE(Table1[[#This Row],[زمان شروع توقف]])</f>
        <v>43</v>
      </c>
      <c r="O79" s="3">
        <f>((Table1[[#This Row],[سال توقف]]*365+IF(Table1[[#This Row],[ماه توقف]]&lt;7,(Table1[[#This Row],[ماه توقف]]-1)*31,6*31+(Table1[[#This Row],[ماه توقف]]-6-1)*30)+(Table1[[#This Row],[روز توقف]])-1)*24+Table1[[#This Row],[ساعت توقف2]])*60+Table1[[#This Row],[دقیقه توقف]]</f>
        <v>738009163</v>
      </c>
      <c r="P79" s="56" t="s">
        <v>912</v>
      </c>
      <c r="Q79" s="53">
        <v>0.38055555555555554</v>
      </c>
      <c r="R79" s="3" t="str">
        <f>LEFT(Table1[[#This Row],[تاریخ پایان توقف]],4)</f>
        <v>1404</v>
      </c>
      <c r="S79" s="3" t="str">
        <f>_xlfn.IFNA(VLOOKUP(Table1[[#This Row],[ماه رفع توقف]],Table2[],3,0),"در حال تعمیر")</f>
        <v>بهار</v>
      </c>
      <c r="T79" s="3">
        <f>_xlfn.NUMBERVALUE(RIGHT(LEFT(Table1[[#This Row],[تاریخ پایان توقف]],7),2))</f>
        <v>2</v>
      </c>
      <c r="U79" s="3" t="str">
        <f>RIGHT(LEFT(Table1[[#This Row],[تاریخ پایان توقف]],10),2)</f>
        <v>16</v>
      </c>
      <c r="V79" s="3">
        <f>HOUR(Table1[[#This Row],[زمان پایان توقف]])</f>
        <v>9</v>
      </c>
      <c r="W79" s="3">
        <f>MINUTE(Table1[[#This Row],[زمان پایان توقف]])</f>
        <v>8</v>
      </c>
      <c r="X7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738009188</v>
      </c>
      <c r="Y79" s="42" t="s">
        <v>926</v>
      </c>
      <c r="Z79" s="83">
        <f>IFERROR((IF(Table1[[#This Row],[تاریخ پایان توقف]]&lt;&gt;"",Table1[[#This Row],[زمان رفع توقف]]-Table1[[#This Row],[زمان توقف]],"")/60),"")</f>
        <v>0.41666666666666669</v>
      </c>
      <c r="AA79" s="3">
        <f>VLOOKUP(E79,Table4[],4,0)</f>
        <v>24</v>
      </c>
      <c r="AB79" s="3">
        <f>VLOOKUP(E79,Table4[],5,0)</f>
        <v>0.2</v>
      </c>
      <c r="AC79" s="3">
        <v>360</v>
      </c>
      <c r="AD79" s="3">
        <f>VLOOKUP(E79,Table4[],7,0)</f>
        <v>720</v>
      </c>
      <c r="AE79" s="83">
        <f>IF(Table1[[#This Row],[زمان آخرین رفع توقف قبل از توقف فعلی]]="","",(Table1[[#This Row],[زمان توقف]]-Table1[[#This Row],[زمان آخرین رفع توقف قبل از توقف فعلی]])/60)</f>
        <v>72</v>
      </c>
      <c r="AF7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738004843</v>
      </c>
    </row>
    <row r="80" spans="1:32">
      <c r="A80" s="36">
        <v>81</v>
      </c>
      <c r="B80" s="36" t="s">
        <v>75</v>
      </c>
      <c r="C80" s="36" t="s">
        <v>711</v>
      </c>
      <c r="D80" s="36" t="s">
        <v>906</v>
      </c>
      <c r="E80" s="88" t="s">
        <v>367</v>
      </c>
      <c r="F80" s="36" t="s">
        <v>12</v>
      </c>
      <c r="G80" s="56" t="s">
        <v>912</v>
      </c>
      <c r="H80" s="53">
        <v>0.59722222222222221</v>
      </c>
      <c r="I80" s="6" t="str">
        <f>LEFT(Table1[[#This Row],[تاریخ توقف]],4)</f>
        <v>1404</v>
      </c>
      <c r="J80" s="6" t="str">
        <f>VLOOKUP(Table1[[#This Row],[ماه توقف]],Table2[],3,0)</f>
        <v>بهار</v>
      </c>
      <c r="K80" s="3">
        <f>_xlfn.NUMBERVALUE(RIGHT(LEFT(Table1[[#This Row],[تاریخ توقف]],7),2))</f>
        <v>2</v>
      </c>
      <c r="L80" s="3" t="str">
        <f>RIGHT(LEFT(Table1[[#This Row],[تاریخ توقف]],10),2)</f>
        <v>16</v>
      </c>
      <c r="M80" s="3">
        <f>HOUR(Table1[[#This Row],[زمان شروع توقف]])</f>
        <v>14</v>
      </c>
      <c r="N80" s="3">
        <f>MINUTE(Table1[[#This Row],[زمان شروع توقف]])</f>
        <v>20</v>
      </c>
      <c r="O80" s="3">
        <f>((Table1[[#This Row],[سال توقف]]*365+IF(Table1[[#This Row],[ماه توقف]]&lt;7,(Table1[[#This Row],[ماه توقف]]-1)*31,6*31+(Table1[[#This Row],[ماه توقف]]-6-1)*30)+(Table1[[#This Row],[روز توقف]])-1)*24+Table1[[#This Row],[ساعت توقف2]])*60+Table1[[#This Row],[دقیقه توقف]]</f>
        <v>738009500</v>
      </c>
      <c r="P80" s="56" t="s">
        <v>912</v>
      </c>
      <c r="Q80" s="53">
        <v>0.60416666666666663</v>
      </c>
      <c r="R80" s="3" t="str">
        <f>LEFT(Table1[[#This Row],[تاریخ پایان توقف]],4)</f>
        <v>1404</v>
      </c>
      <c r="S80" s="3" t="str">
        <f>_xlfn.IFNA(VLOOKUP(Table1[[#This Row],[ماه رفع توقف]],Table2[],3,0),"در حال تعمیر")</f>
        <v>بهار</v>
      </c>
      <c r="T80" s="3">
        <f>_xlfn.NUMBERVALUE(RIGHT(LEFT(Table1[[#This Row],[تاریخ پایان توقف]],7),2))</f>
        <v>2</v>
      </c>
      <c r="U80" s="3" t="str">
        <f>RIGHT(LEFT(Table1[[#This Row],[تاریخ پایان توقف]],10),2)</f>
        <v>16</v>
      </c>
      <c r="V80" s="3">
        <f>HOUR(Table1[[#This Row],[زمان پایان توقف]])</f>
        <v>14</v>
      </c>
      <c r="W80" s="3">
        <f>MINUTE(Table1[[#This Row],[زمان پایان توقف]])</f>
        <v>30</v>
      </c>
      <c r="X8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738009510</v>
      </c>
      <c r="Y80" s="42" t="s">
        <v>927</v>
      </c>
      <c r="Z80" s="83">
        <f>IFERROR((IF(Table1[[#This Row],[تاریخ پایان توقف]]&lt;&gt;"",Table1[[#This Row],[زمان رفع توقف]]-Table1[[#This Row],[زمان توقف]],"")/60),"")</f>
        <v>0.16666666666666666</v>
      </c>
      <c r="AA80" s="3">
        <f>VLOOKUP(E80,Table4[],4,0)</f>
        <v>24</v>
      </c>
      <c r="AB80" s="3">
        <f>VLOOKUP(E80,Table4[],5,0)</f>
        <v>0.2</v>
      </c>
      <c r="AC80" s="3">
        <v>360</v>
      </c>
      <c r="AD80" s="3">
        <f>VLOOKUP(E80,Table4[],7,0)</f>
        <v>720</v>
      </c>
      <c r="AE80" s="83" t="str">
        <f>IF(Table1[[#This Row],[زمان آخرین رفع توقف قبل از توقف فعلی]]="","",(Table1[[#This Row],[زمان توقف]]-Table1[[#This Row],[زمان آخرین رفع توقف قبل از توقف فعلی]])/60)</f>
        <v/>
      </c>
      <c r="AF80"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81" spans="1:32">
      <c r="A81" s="36">
        <v>82</v>
      </c>
      <c r="B81" s="36" t="s">
        <v>98</v>
      </c>
      <c r="C81" s="36" t="s">
        <v>50</v>
      </c>
      <c r="D81" s="36" t="s">
        <v>45</v>
      </c>
      <c r="E81" s="85" t="s">
        <v>74</v>
      </c>
      <c r="F81" s="36" t="s">
        <v>12</v>
      </c>
      <c r="G81" s="56" t="s">
        <v>913</v>
      </c>
      <c r="H81" s="53">
        <v>0.37152777777777773</v>
      </c>
      <c r="I81" s="6" t="str">
        <f>LEFT(Table1[[#This Row],[تاریخ توقف]],4)</f>
        <v>1404</v>
      </c>
      <c r="J81" s="6" t="str">
        <f>VLOOKUP(Table1[[#This Row],[ماه توقف]],Table2[],3,0)</f>
        <v>بهار</v>
      </c>
      <c r="K81" s="3">
        <f>_xlfn.NUMBERVALUE(RIGHT(LEFT(Table1[[#This Row],[تاریخ توقف]],7),2))</f>
        <v>2</v>
      </c>
      <c r="L81" s="3" t="str">
        <f>RIGHT(LEFT(Table1[[#This Row],[تاریخ توقف]],10),2)</f>
        <v>19</v>
      </c>
      <c r="M81" s="3">
        <f>HOUR(Table1[[#This Row],[زمان شروع توقف]])</f>
        <v>8</v>
      </c>
      <c r="N81" s="3">
        <f>MINUTE(Table1[[#This Row],[زمان شروع توقف]])</f>
        <v>55</v>
      </c>
      <c r="O81" s="3">
        <f>((Table1[[#This Row],[سال توقف]]*365+IF(Table1[[#This Row],[ماه توقف]]&lt;7,(Table1[[#This Row],[ماه توقف]]-1)*31,6*31+(Table1[[#This Row],[ماه توقف]]-6-1)*30)+(Table1[[#This Row],[روز توقف]])-1)*24+Table1[[#This Row],[ساعت توقف2]])*60+Table1[[#This Row],[دقیقه توقف]]</f>
        <v>738013495</v>
      </c>
      <c r="P81" s="56" t="s">
        <v>913</v>
      </c>
      <c r="Q81" s="53">
        <v>0.43263888888888885</v>
      </c>
      <c r="R81" s="3" t="str">
        <f>LEFT(Table1[[#This Row],[تاریخ پایان توقف]],4)</f>
        <v>1404</v>
      </c>
      <c r="S81" s="3" t="str">
        <f>_xlfn.IFNA(VLOOKUP(Table1[[#This Row],[ماه رفع توقف]],Table2[],3,0),"در حال تعمیر")</f>
        <v>بهار</v>
      </c>
      <c r="T81" s="3">
        <f>_xlfn.NUMBERVALUE(RIGHT(LEFT(Table1[[#This Row],[تاریخ پایان توقف]],7),2))</f>
        <v>2</v>
      </c>
      <c r="U81" s="3" t="str">
        <f>RIGHT(LEFT(Table1[[#This Row],[تاریخ پایان توقف]],10),2)</f>
        <v>19</v>
      </c>
      <c r="V81" s="3">
        <f>HOUR(Table1[[#This Row],[زمان پایان توقف]])</f>
        <v>10</v>
      </c>
      <c r="W81" s="3">
        <f>MINUTE(Table1[[#This Row],[زمان پایان توقف]])</f>
        <v>23</v>
      </c>
      <c r="X8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738013583</v>
      </c>
      <c r="Y81" s="42" t="s">
        <v>928</v>
      </c>
      <c r="Z81" s="83">
        <f>IFERROR((IF(Table1[[#This Row],[تاریخ پایان توقف]]&lt;&gt;"",Table1[[#This Row],[زمان رفع توقف]]-Table1[[#This Row],[زمان توقف]],"")/60),"")</f>
        <v>1.4666666666666666</v>
      </c>
      <c r="AA81" s="3">
        <f>VLOOKUP(E81,Table4[],4,0)</f>
        <v>24</v>
      </c>
      <c r="AB81" s="3">
        <f>VLOOKUP(E81,Table4[],5,0)</f>
        <v>0.2</v>
      </c>
      <c r="AC81" s="3">
        <v>360</v>
      </c>
      <c r="AD81" s="3">
        <f>VLOOKUP(E81,Table4[],7,0)</f>
        <v>720</v>
      </c>
      <c r="AE81" s="83">
        <f>IF(Table1[[#This Row],[زمان آخرین رفع توقف قبل از توقف فعلی]]="","",(Table1[[#This Row],[زمان توقف]]-Table1[[#This Row],[زمان آخرین رفع توقف قبل از توقف فعلی]])/60)</f>
        <v>105.41666666666667</v>
      </c>
      <c r="AF8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738007170</v>
      </c>
    </row>
    <row r="82" spans="1:32">
      <c r="A82" s="36">
        <v>83</v>
      </c>
      <c r="B82" s="36" t="s">
        <v>98</v>
      </c>
      <c r="C82" s="36" t="s">
        <v>185</v>
      </c>
      <c r="D82" s="36" t="s">
        <v>106</v>
      </c>
      <c r="E82" s="85" t="s">
        <v>107</v>
      </c>
      <c r="F82" s="36" t="s">
        <v>12</v>
      </c>
      <c r="G82" s="56" t="s">
        <v>914</v>
      </c>
      <c r="H82" s="53">
        <v>0.33333333333333331</v>
      </c>
      <c r="I82" s="6" t="str">
        <f>LEFT(Table1[[#This Row],[تاریخ توقف]],4)</f>
        <v>1404</v>
      </c>
      <c r="J82" s="6" t="str">
        <f>VLOOKUP(Table1[[#This Row],[ماه توقف]],Table2[],3,0)</f>
        <v>بهار</v>
      </c>
      <c r="K82" s="3">
        <f>_xlfn.NUMBERVALUE(RIGHT(LEFT(Table1[[#This Row],[تاریخ توقف]],7),2))</f>
        <v>2</v>
      </c>
      <c r="L82" s="3" t="str">
        <f>RIGHT(LEFT(Table1[[#This Row],[تاریخ توقف]],10),2)</f>
        <v>20</v>
      </c>
      <c r="M82" s="3">
        <f>HOUR(Table1[[#This Row],[زمان شروع توقف]])</f>
        <v>8</v>
      </c>
      <c r="N82" s="3">
        <f>MINUTE(Table1[[#This Row],[زمان شروع توقف]])</f>
        <v>0</v>
      </c>
      <c r="O82" s="3">
        <f>((Table1[[#This Row],[سال توقف]]*365+IF(Table1[[#This Row],[ماه توقف]]&lt;7,(Table1[[#This Row],[ماه توقف]]-1)*31,6*31+(Table1[[#This Row],[ماه توقف]]-6-1)*30)+(Table1[[#This Row],[روز توقف]])-1)*24+Table1[[#This Row],[ساعت توقف2]])*60+Table1[[#This Row],[دقیقه توقف]]</f>
        <v>738014880</v>
      </c>
      <c r="P82" s="56" t="s">
        <v>914</v>
      </c>
      <c r="Q82" s="53">
        <v>0.47638888888888892</v>
      </c>
      <c r="R82" s="3" t="str">
        <f>LEFT(Table1[[#This Row],[تاریخ پایان توقف]],4)</f>
        <v>1404</v>
      </c>
      <c r="S82" s="3" t="str">
        <f>_xlfn.IFNA(VLOOKUP(Table1[[#This Row],[ماه رفع توقف]],Table2[],3,0),"در حال تعمیر")</f>
        <v>بهار</v>
      </c>
      <c r="T82" s="3">
        <f>_xlfn.NUMBERVALUE(RIGHT(LEFT(Table1[[#This Row],[تاریخ پایان توقف]],7),2))</f>
        <v>2</v>
      </c>
      <c r="U82" s="3" t="str">
        <f>RIGHT(LEFT(Table1[[#This Row],[تاریخ پایان توقف]],10),2)</f>
        <v>20</v>
      </c>
      <c r="V82" s="3">
        <f>HOUR(Table1[[#This Row],[زمان پایان توقف]])</f>
        <v>11</v>
      </c>
      <c r="W82" s="3">
        <f>MINUTE(Table1[[#This Row],[زمان پایان توقف]])</f>
        <v>26</v>
      </c>
      <c r="X8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738015086</v>
      </c>
      <c r="Y82" s="42" t="s">
        <v>929</v>
      </c>
      <c r="Z82" s="83">
        <f>IFERROR((IF(Table1[[#This Row],[تاریخ پایان توقف]]&lt;&gt;"",Table1[[#This Row],[زمان رفع توقف]]-Table1[[#This Row],[زمان توقف]],"")/60),"")</f>
        <v>3.4333333333333331</v>
      </c>
      <c r="AA82" s="3">
        <f>VLOOKUP(E82,Table4[],4,0)</f>
        <v>24</v>
      </c>
      <c r="AB82" s="3">
        <f>VLOOKUP(E82,Table4[],5,0)</f>
        <v>0.2</v>
      </c>
      <c r="AC82" s="3">
        <v>360</v>
      </c>
      <c r="AD82" s="3">
        <f>VLOOKUP(E82,Table4[],7,0)</f>
        <v>720</v>
      </c>
      <c r="AE82" s="83">
        <f>IF(Table1[[#This Row],[زمان آخرین رفع توقف قبل از توقف فعلی]]="","",(Table1[[#This Row],[زمان توقف]]-Table1[[#This Row],[زمان آخرین رفع توقف قبل از توقف فعلی]])/60)</f>
        <v>325.11666666666667</v>
      </c>
      <c r="AF8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737995373</v>
      </c>
    </row>
    <row r="83" spans="1:32">
      <c r="A83" s="36">
        <v>84</v>
      </c>
      <c r="B83" s="36" t="s">
        <v>98</v>
      </c>
      <c r="C83" s="36" t="s">
        <v>116</v>
      </c>
      <c r="D83" s="36" t="s">
        <v>115</v>
      </c>
      <c r="E83" s="86" t="s">
        <v>117</v>
      </c>
      <c r="F83" s="36" t="s">
        <v>12</v>
      </c>
      <c r="G83" s="56" t="s">
        <v>915</v>
      </c>
      <c r="H83" s="53">
        <v>0.34722222222222227</v>
      </c>
      <c r="I83" s="6" t="str">
        <f>LEFT(Table1[[#This Row],[تاریخ توقف]],4)</f>
        <v>1404</v>
      </c>
      <c r="J83" s="6" t="str">
        <f>VLOOKUP(Table1[[#This Row],[ماه توقف]],Table2[],3,0)</f>
        <v>بهار</v>
      </c>
      <c r="K83" s="3">
        <f>_xlfn.NUMBERVALUE(RIGHT(LEFT(Table1[[#This Row],[تاریخ توقف]],7),2))</f>
        <v>2</v>
      </c>
      <c r="L83" s="3" t="str">
        <f>RIGHT(LEFT(Table1[[#This Row],[تاریخ توقف]],10),2)</f>
        <v>21</v>
      </c>
      <c r="M83" s="3">
        <f>HOUR(Table1[[#This Row],[زمان شروع توقف]])</f>
        <v>8</v>
      </c>
      <c r="N83" s="3">
        <f>MINUTE(Table1[[#This Row],[زمان شروع توقف]])</f>
        <v>20</v>
      </c>
      <c r="O83" s="3">
        <f>((Table1[[#This Row],[سال توقف]]*365+IF(Table1[[#This Row],[ماه توقف]]&lt;7,(Table1[[#This Row],[ماه توقف]]-1)*31,6*31+(Table1[[#This Row],[ماه توقف]]-6-1)*30)+(Table1[[#This Row],[روز توقف]])-1)*24+Table1[[#This Row],[ساعت توقف2]])*60+Table1[[#This Row],[دقیقه توقف]]</f>
        <v>738016340</v>
      </c>
      <c r="P83" s="56" t="s">
        <v>915</v>
      </c>
      <c r="Q83" s="53">
        <v>0.36527777777777781</v>
      </c>
      <c r="R83" s="3" t="str">
        <f>LEFT(Table1[[#This Row],[تاریخ پایان توقف]],4)</f>
        <v>1404</v>
      </c>
      <c r="S83" s="3" t="str">
        <f>_xlfn.IFNA(VLOOKUP(Table1[[#This Row],[ماه رفع توقف]],Table2[],3,0),"در حال تعمیر")</f>
        <v>بهار</v>
      </c>
      <c r="T83" s="3">
        <f>_xlfn.NUMBERVALUE(RIGHT(LEFT(Table1[[#This Row],[تاریخ پایان توقف]],7),2))</f>
        <v>2</v>
      </c>
      <c r="U83" s="3" t="str">
        <f>RIGHT(LEFT(Table1[[#This Row],[تاریخ پایان توقف]],10),2)</f>
        <v>21</v>
      </c>
      <c r="V83" s="3">
        <f>HOUR(Table1[[#This Row],[زمان پایان توقف]])</f>
        <v>8</v>
      </c>
      <c r="W83" s="3">
        <f>MINUTE(Table1[[#This Row],[زمان پایان توقف]])</f>
        <v>46</v>
      </c>
      <c r="X8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738016366</v>
      </c>
      <c r="Y83" s="42" t="s">
        <v>930</v>
      </c>
      <c r="Z83" s="83">
        <f>IFERROR((IF(Table1[[#This Row],[تاریخ پایان توقف]]&lt;&gt;"",Table1[[#This Row],[زمان رفع توقف]]-Table1[[#This Row],[زمان توقف]],"")/60),"")</f>
        <v>0.43333333333333335</v>
      </c>
      <c r="AA83" s="3">
        <f>VLOOKUP(E83,Table4[],4,0)</f>
        <v>24</v>
      </c>
      <c r="AB83" s="3">
        <f>VLOOKUP(E83,Table4[],5,0)</f>
        <v>0.2</v>
      </c>
      <c r="AC83" s="3">
        <v>360</v>
      </c>
      <c r="AD83" s="3">
        <f>VLOOKUP(E83,Table4[],7,0)</f>
        <v>720</v>
      </c>
      <c r="AE83" s="83">
        <f>IF(Table1[[#This Row],[زمان آخرین رفع توقف قبل از توقف فعلی]]="","",(Table1[[#This Row],[زمان توقف]]-Table1[[#This Row],[زمان آخرین رفع توقف قبل از توقف فعلی]])/60)</f>
        <v>250.21666666666667</v>
      </c>
      <c r="AF8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738001327</v>
      </c>
    </row>
    <row r="84" spans="1:32">
      <c r="A84" s="36">
        <v>85</v>
      </c>
      <c r="B84" s="36" t="s">
        <v>98</v>
      </c>
      <c r="C84" s="36" t="s">
        <v>881</v>
      </c>
      <c r="D84" s="36" t="s">
        <v>88</v>
      </c>
      <c r="E84" s="85" t="s">
        <v>91</v>
      </c>
      <c r="F84" s="36" t="s">
        <v>12</v>
      </c>
      <c r="G84" s="56" t="s">
        <v>915</v>
      </c>
      <c r="H84" s="53">
        <v>0.72569444444444453</v>
      </c>
      <c r="I84" s="6" t="str">
        <f>LEFT(Table1[[#This Row],[تاریخ توقف]],4)</f>
        <v>1404</v>
      </c>
      <c r="J84" s="6" t="str">
        <f>VLOOKUP(Table1[[#This Row],[ماه توقف]],Table2[],3,0)</f>
        <v>بهار</v>
      </c>
      <c r="K84" s="3">
        <f>_xlfn.NUMBERVALUE(RIGHT(LEFT(Table1[[#This Row],[تاریخ توقف]],7),2))</f>
        <v>2</v>
      </c>
      <c r="L84" s="3" t="str">
        <f>RIGHT(LEFT(Table1[[#This Row],[تاریخ توقف]],10),2)</f>
        <v>21</v>
      </c>
      <c r="M84" s="3">
        <f>HOUR(Table1[[#This Row],[زمان شروع توقف]])</f>
        <v>17</v>
      </c>
      <c r="N84" s="3">
        <f>MINUTE(Table1[[#This Row],[زمان شروع توقف]])</f>
        <v>25</v>
      </c>
      <c r="O84" s="3">
        <f>((Table1[[#This Row],[سال توقف]]*365+IF(Table1[[#This Row],[ماه توقف]]&lt;7,(Table1[[#This Row],[ماه توقف]]-1)*31,6*31+(Table1[[#This Row],[ماه توقف]]-6-1)*30)+(Table1[[#This Row],[روز توقف]])-1)*24+Table1[[#This Row],[ساعت توقف2]])*60+Table1[[#This Row],[دقیقه توقف]]</f>
        <v>738016885</v>
      </c>
      <c r="P84" s="56" t="s">
        <v>915</v>
      </c>
      <c r="Q84" s="53">
        <v>0.74444444444444446</v>
      </c>
      <c r="R84" s="3" t="str">
        <f>LEFT(Table1[[#This Row],[تاریخ پایان توقف]],4)</f>
        <v>1404</v>
      </c>
      <c r="S84" s="3" t="str">
        <f>_xlfn.IFNA(VLOOKUP(Table1[[#This Row],[ماه رفع توقف]],Table2[],3,0),"در حال تعمیر")</f>
        <v>بهار</v>
      </c>
      <c r="T84" s="3">
        <f>_xlfn.NUMBERVALUE(RIGHT(LEFT(Table1[[#This Row],[تاریخ پایان توقف]],7),2))</f>
        <v>2</v>
      </c>
      <c r="U84" s="3" t="str">
        <f>RIGHT(LEFT(Table1[[#This Row],[تاریخ پایان توقف]],10),2)</f>
        <v>21</v>
      </c>
      <c r="V84" s="3">
        <f>HOUR(Table1[[#This Row],[زمان پایان توقف]])</f>
        <v>17</v>
      </c>
      <c r="W84" s="3">
        <f>MINUTE(Table1[[#This Row],[زمان پایان توقف]])</f>
        <v>52</v>
      </c>
      <c r="X8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738016912</v>
      </c>
      <c r="Y84" s="42" t="s">
        <v>931</v>
      </c>
      <c r="Z84" s="83">
        <f>IFERROR((IF(Table1[[#This Row],[تاریخ پایان توقف]]&lt;&gt;"",Table1[[#This Row],[زمان رفع توقف]]-Table1[[#This Row],[زمان توقف]],"")/60),"")</f>
        <v>0.45</v>
      </c>
      <c r="AA84" s="3">
        <f>VLOOKUP(E84,Table4[],4,0)</f>
        <v>24</v>
      </c>
      <c r="AB84" s="3">
        <f>VLOOKUP(E84,Table4[],5,0)</f>
        <v>0.2</v>
      </c>
      <c r="AC84" s="3">
        <v>360</v>
      </c>
      <c r="AD84" s="3">
        <f>VLOOKUP(E84,Table4[],7,0)</f>
        <v>720</v>
      </c>
      <c r="AE84" s="83">
        <f>IF(Table1[[#This Row],[زمان آخرین رفع توقف قبل از توقف فعلی]]="","",(Table1[[#This Row],[زمان توقف]]-Table1[[#This Row],[زمان آخرین رفع توقف قبل از توقف فعلی]])/60)</f>
        <v>128.28333333333333</v>
      </c>
      <c r="AF8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738009188</v>
      </c>
    </row>
    <row r="85" spans="1:32">
      <c r="A85" s="36">
        <v>86</v>
      </c>
      <c r="B85" s="36" t="s">
        <v>98</v>
      </c>
      <c r="C85" s="36" t="s">
        <v>121</v>
      </c>
      <c r="D85" s="36" t="s">
        <v>120</v>
      </c>
      <c r="E85" s="85" t="s">
        <v>122</v>
      </c>
      <c r="F85" s="36" t="s">
        <v>12</v>
      </c>
      <c r="G85" s="56" t="s">
        <v>915</v>
      </c>
      <c r="H85" s="53">
        <v>0.82777777777777783</v>
      </c>
      <c r="I85" s="6" t="str">
        <f>LEFT(Table1[[#This Row],[تاریخ توقف]],4)</f>
        <v>1404</v>
      </c>
      <c r="J85" s="6" t="str">
        <f>VLOOKUP(Table1[[#This Row],[ماه توقف]],Table2[],3,0)</f>
        <v>بهار</v>
      </c>
      <c r="K85" s="3">
        <f>_xlfn.NUMBERVALUE(RIGHT(LEFT(Table1[[#This Row],[تاریخ توقف]],7),2))</f>
        <v>2</v>
      </c>
      <c r="L85" s="3" t="str">
        <f>RIGHT(LEFT(Table1[[#This Row],[تاریخ توقف]],10),2)</f>
        <v>21</v>
      </c>
      <c r="M85" s="3">
        <f>HOUR(Table1[[#This Row],[زمان شروع توقف]])</f>
        <v>19</v>
      </c>
      <c r="N85" s="3">
        <f>MINUTE(Table1[[#This Row],[زمان شروع توقف]])</f>
        <v>52</v>
      </c>
      <c r="O85" s="3">
        <f>((Table1[[#This Row],[سال توقف]]*365+IF(Table1[[#This Row],[ماه توقف]]&lt;7,(Table1[[#This Row],[ماه توقف]]-1)*31,6*31+(Table1[[#This Row],[ماه توقف]]-6-1)*30)+(Table1[[#This Row],[روز توقف]])-1)*24+Table1[[#This Row],[ساعت توقف2]])*60+Table1[[#This Row],[دقیقه توقف]]</f>
        <v>738017032</v>
      </c>
      <c r="P85" s="56" t="s">
        <v>915</v>
      </c>
      <c r="Q85" s="53">
        <v>0.83750000000000002</v>
      </c>
      <c r="R85" s="3" t="str">
        <f>LEFT(Table1[[#This Row],[تاریخ پایان توقف]],4)</f>
        <v>1404</v>
      </c>
      <c r="S85" s="3" t="str">
        <f>_xlfn.IFNA(VLOOKUP(Table1[[#This Row],[ماه رفع توقف]],Table2[],3,0),"در حال تعمیر")</f>
        <v>بهار</v>
      </c>
      <c r="T85" s="3">
        <f>_xlfn.NUMBERVALUE(RIGHT(LEFT(Table1[[#This Row],[تاریخ پایان توقف]],7),2))</f>
        <v>2</v>
      </c>
      <c r="U85" s="3" t="str">
        <f>RIGHT(LEFT(Table1[[#This Row],[تاریخ پایان توقف]],10),2)</f>
        <v>21</v>
      </c>
      <c r="V85" s="3">
        <f>HOUR(Table1[[#This Row],[زمان پایان توقف]])</f>
        <v>20</v>
      </c>
      <c r="W85" s="3">
        <f>MINUTE(Table1[[#This Row],[زمان پایان توقف]])</f>
        <v>6</v>
      </c>
      <c r="X8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738017046</v>
      </c>
      <c r="Y85" s="42" t="s">
        <v>932</v>
      </c>
      <c r="Z85" s="83">
        <f>IFERROR((IF(Table1[[#This Row],[تاریخ پایان توقف]]&lt;&gt;"",Table1[[#This Row],[زمان رفع توقف]]-Table1[[#This Row],[زمان توقف]],"")/60),"")</f>
        <v>0.23333333333333334</v>
      </c>
      <c r="AA85" s="3">
        <f>VLOOKUP(E85,Table4[],4,0)</f>
        <v>24</v>
      </c>
      <c r="AB85" s="3">
        <f>VLOOKUP(E85,Table4[],5,0)</f>
        <v>0.2</v>
      </c>
      <c r="AC85" s="3">
        <v>360</v>
      </c>
      <c r="AD85" s="3">
        <f>VLOOKUP(E85,Table4[],7,0)</f>
        <v>720</v>
      </c>
      <c r="AE85" s="83">
        <f>IF(Table1[[#This Row],[زمان آخرین رفع توقف قبل از توقف فعلی]]="","",(Table1[[#This Row],[زمان توقف]]-Table1[[#This Row],[زمان آخرین رفع توقف قبل از توقف فعلی]])/60)</f>
        <v>334.36666666666667</v>
      </c>
      <c r="AF8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737996970</v>
      </c>
    </row>
    <row r="86" spans="1:32">
      <c r="A86" s="36">
        <v>87</v>
      </c>
      <c r="B86" s="36" t="s">
        <v>98</v>
      </c>
      <c r="C86" s="36" t="s">
        <v>881</v>
      </c>
      <c r="D86" s="36" t="s">
        <v>88</v>
      </c>
      <c r="E86" s="85" t="s">
        <v>91</v>
      </c>
      <c r="F86" s="36" t="s">
        <v>12</v>
      </c>
      <c r="G86" s="56" t="s">
        <v>916</v>
      </c>
      <c r="H86" s="53">
        <v>0.97430555555555554</v>
      </c>
      <c r="I86" s="6" t="str">
        <f>LEFT(Table1[[#This Row],[تاریخ توقف]],4)</f>
        <v>1404</v>
      </c>
      <c r="J86" s="6" t="str">
        <f>VLOOKUP(Table1[[#This Row],[ماه توقف]],Table2[],3,0)</f>
        <v>بهار</v>
      </c>
      <c r="K86" s="3">
        <f>_xlfn.NUMBERVALUE(RIGHT(LEFT(Table1[[#This Row],[تاریخ توقف]],7),2))</f>
        <v>2</v>
      </c>
      <c r="L86" s="3" t="str">
        <f>RIGHT(LEFT(Table1[[#This Row],[تاریخ توقف]],10),2)</f>
        <v>22</v>
      </c>
      <c r="M86" s="3">
        <f>HOUR(Table1[[#This Row],[زمان شروع توقف]])</f>
        <v>23</v>
      </c>
      <c r="N86" s="3">
        <f>MINUTE(Table1[[#This Row],[زمان شروع توقف]])</f>
        <v>23</v>
      </c>
      <c r="O86" s="3">
        <f>((Table1[[#This Row],[سال توقف]]*365+IF(Table1[[#This Row],[ماه توقف]]&lt;7,(Table1[[#This Row],[ماه توقف]]-1)*31,6*31+(Table1[[#This Row],[ماه توقف]]-6-1)*30)+(Table1[[#This Row],[روز توقف]])-1)*24+Table1[[#This Row],[ساعت توقف2]])*60+Table1[[#This Row],[دقیقه توقف]]</f>
        <v>738018683</v>
      </c>
      <c r="P86" s="56" t="s">
        <v>916</v>
      </c>
      <c r="Q86" s="53">
        <v>0.99444444444444446</v>
      </c>
      <c r="R86" s="3" t="str">
        <f>LEFT(Table1[[#This Row],[تاریخ پایان توقف]],4)</f>
        <v>1404</v>
      </c>
      <c r="S86" s="3" t="str">
        <f>_xlfn.IFNA(VLOOKUP(Table1[[#This Row],[ماه رفع توقف]],Table2[],3,0),"در حال تعمیر")</f>
        <v>بهار</v>
      </c>
      <c r="T86" s="3">
        <f>_xlfn.NUMBERVALUE(RIGHT(LEFT(Table1[[#This Row],[تاریخ پایان توقف]],7),2))</f>
        <v>2</v>
      </c>
      <c r="U86" s="3" t="str">
        <f>RIGHT(LEFT(Table1[[#This Row],[تاریخ پایان توقف]],10),2)</f>
        <v>22</v>
      </c>
      <c r="V86" s="3">
        <f>HOUR(Table1[[#This Row],[زمان پایان توقف]])</f>
        <v>23</v>
      </c>
      <c r="W86" s="3">
        <f>MINUTE(Table1[[#This Row],[زمان پایان توقف]])</f>
        <v>52</v>
      </c>
      <c r="X8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738018712</v>
      </c>
      <c r="Y86" s="42" t="s">
        <v>933</v>
      </c>
      <c r="Z86" s="83">
        <f>IFERROR((IF(Table1[[#This Row],[تاریخ پایان توقف]]&lt;&gt;"",Table1[[#This Row],[زمان رفع توقف]]-Table1[[#This Row],[زمان توقف]],"")/60),"")</f>
        <v>0.48333333333333334</v>
      </c>
      <c r="AA86" s="3">
        <f>VLOOKUP(E86,Table4[],4,0)</f>
        <v>24</v>
      </c>
      <c r="AB86" s="3">
        <f>VLOOKUP(E86,Table4[],5,0)</f>
        <v>0.2</v>
      </c>
      <c r="AC86" s="3">
        <v>360</v>
      </c>
      <c r="AD86" s="3">
        <f>VLOOKUP(E86,Table4[],7,0)</f>
        <v>720</v>
      </c>
      <c r="AE86" s="83">
        <f>IF(Table1[[#This Row],[زمان آخرین رفع توقف قبل از توقف فعلی]]="","",(Table1[[#This Row],[زمان توقف]]-Table1[[#This Row],[زمان آخرین رفع توقف قبل از توقف فعلی]])/60)</f>
        <v>29.516666666666666</v>
      </c>
      <c r="AF8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738016912</v>
      </c>
    </row>
    <row r="87" spans="1:32">
      <c r="A87" s="36">
        <v>88</v>
      </c>
      <c r="B87" s="36" t="s">
        <v>98</v>
      </c>
      <c r="C87" s="36" t="s">
        <v>1047</v>
      </c>
      <c r="D87" s="36" t="s">
        <v>583</v>
      </c>
      <c r="E87" s="85" t="s">
        <v>73</v>
      </c>
      <c r="F87" s="36" t="s">
        <v>12</v>
      </c>
      <c r="G87" s="56" t="s">
        <v>917</v>
      </c>
      <c r="H87" s="53">
        <v>0.64583333333333337</v>
      </c>
      <c r="I87" s="6" t="str">
        <f>LEFT(Table1[[#This Row],[تاریخ توقف]],4)</f>
        <v>1404</v>
      </c>
      <c r="J87" s="6" t="str">
        <f>VLOOKUP(Table1[[#This Row],[ماه توقف]],Table2[],3,0)</f>
        <v>بهار</v>
      </c>
      <c r="K87" s="3">
        <f>_xlfn.NUMBERVALUE(RIGHT(LEFT(Table1[[#This Row],[تاریخ توقف]],7),2))</f>
        <v>2</v>
      </c>
      <c r="L87" s="3" t="str">
        <f>RIGHT(LEFT(Table1[[#This Row],[تاریخ توقف]],10),2)</f>
        <v>23</v>
      </c>
      <c r="M87" s="3">
        <f>HOUR(Table1[[#This Row],[زمان شروع توقف]])</f>
        <v>15</v>
      </c>
      <c r="N87" s="3">
        <f>MINUTE(Table1[[#This Row],[زمان شروع توقف]])</f>
        <v>30</v>
      </c>
      <c r="O87" s="3">
        <f>((Table1[[#This Row],[سال توقف]]*365+IF(Table1[[#This Row],[ماه توقف]]&lt;7,(Table1[[#This Row],[ماه توقف]]-1)*31,6*31+(Table1[[#This Row],[ماه توقف]]-6-1)*30)+(Table1[[#This Row],[روز توقف]])-1)*24+Table1[[#This Row],[ساعت توقف2]])*60+Table1[[#This Row],[دقیقه توقف]]</f>
        <v>738019650</v>
      </c>
      <c r="P87" s="56" t="s">
        <v>917</v>
      </c>
      <c r="Q87" s="53">
        <v>0.67708333333333337</v>
      </c>
      <c r="R87" s="3" t="str">
        <f>LEFT(Table1[[#This Row],[تاریخ پایان توقف]],4)</f>
        <v>1404</v>
      </c>
      <c r="S87" s="3" t="str">
        <f>_xlfn.IFNA(VLOOKUP(Table1[[#This Row],[ماه رفع توقف]],Table2[],3,0),"در حال تعمیر")</f>
        <v>بهار</v>
      </c>
      <c r="T87" s="3">
        <f>_xlfn.NUMBERVALUE(RIGHT(LEFT(Table1[[#This Row],[تاریخ پایان توقف]],7),2))</f>
        <v>2</v>
      </c>
      <c r="U87" s="3" t="str">
        <f>RIGHT(LEFT(Table1[[#This Row],[تاریخ پایان توقف]],10),2)</f>
        <v>23</v>
      </c>
      <c r="V87" s="3">
        <f>HOUR(Table1[[#This Row],[زمان پایان توقف]])</f>
        <v>16</v>
      </c>
      <c r="W87" s="3">
        <f>MINUTE(Table1[[#This Row],[زمان پایان توقف]])</f>
        <v>15</v>
      </c>
      <c r="X8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738019695</v>
      </c>
      <c r="Y87" s="42" t="s">
        <v>934</v>
      </c>
      <c r="Z87" s="83">
        <f>IFERROR((IF(Table1[[#This Row],[تاریخ پایان توقف]]&lt;&gt;"",Table1[[#This Row],[زمان رفع توقف]]-Table1[[#This Row],[زمان توقف]],"")/60),"")</f>
        <v>0.75</v>
      </c>
      <c r="AA87" s="3">
        <f>VLOOKUP(E87,Table4[],4,0)</f>
        <v>24</v>
      </c>
      <c r="AB87" s="3">
        <f>VLOOKUP(E87,Table4[],5,0)</f>
        <v>0.2</v>
      </c>
      <c r="AC87" s="3">
        <v>360</v>
      </c>
      <c r="AD87" s="3">
        <f>VLOOKUP(E87,Table4[],7,0)</f>
        <v>720</v>
      </c>
      <c r="AE87" s="83">
        <f>IF(Table1[[#This Row],[زمان آخرین رفع توقف قبل از توقف فعلی]]="","",(Table1[[#This Row],[زمان توقف]]-Table1[[#This Row],[زمان آخرین رفع توقف قبل از توقف فعلی]])/60)</f>
        <v>1872.5</v>
      </c>
      <c r="AF8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737907300</v>
      </c>
    </row>
    <row r="88" spans="1:32">
      <c r="A88" s="36">
        <v>89</v>
      </c>
      <c r="B88" s="36" t="s">
        <v>98</v>
      </c>
      <c r="C88" s="36" t="s">
        <v>121</v>
      </c>
      <c r="D88" s="36" t="s">
        <v>120</v>
      </c>
      <c r="E88" s="85" t="s">
        <v>122</v>
      </c>
      <c r="F88" s="36" t="s">
        <v>12</v>
      </c>
      <c r="G88" s="56" t="s">
        <v>917</v>
      </c>
      <c r="H88" s="53">
        <v>0.75902777777777775</v>
      </c>
      <c r="I88" s="6" t="str">
        <f>LEFT(Table1[[#This Row],[تاریخ توقف]],4)</f>
        <v>1404</v>
      </c>
      <c r="J88" s="6" t="str">
        <f>VLOOKUP(Table1[[#This Row],[ماه توقف]],Table2[],3,0)</f>
        <v>بهار</v>
      </c>
      <c r="K88" s="3">
        <f>_xlfn.NUMBERVALUE(RIGHT(LEFT(Table1[[#This Row],[تاریخ توقف]],7),2))</f>
        <v>2</v>
      </c>
      <c r="L88" s="3" t="str">
        <f>RIGHT(LEFT(Table1[[#This Row],[تاریخ توقف]],10),2)</f>
        <v>23</v>
      </c>
      <c r="M88" s="3">
        <f>HOUR(Table1[[#This Row],[زمان شروع توقف]])</f>
        <v>18</v>
      </c>
      <c r="N88" s="3">
        <f>MINUTE(Table1[[#This Row],[زمان شروع توقف]])</f>
        <v>13</v>
      </c>
      <c r="O88" s="3">
        <f>((Table1[[#This Row],[سال توقف]]*365+IF(Table1[[#This Row],[ماه توقف]]&lt;7,(Table1[[#This Row],[ماه توقف]]-1)*31,6*31+(Table1[[#This Row],[ماه توقف]]-6-1)*30)+(Table1[[#This Row],[روز توقف]])-1)*24+Table1[[#This Row],[ساعت توقف2]])*60+Table1[[#This Row],[دقیقه توقف]]</f>
        <v>738019813</v>
      </c>
      <c r="P88" s="56" t="s">
        <v>917</v>
      </c>
      <c r="Q88" s="53">
        <v>0.79513888888888884</v>
      </c>
      <c r="R88" s="3" t="str">
        <f>LEFT(Table1[[#This Row],[تاریخ پایان توقف]],4)</f>
        <v>1404</v>
      </c>
      <c r="S88" s="3" t="str">
        <f>_xlfn.IFNA(VLOOKUP(Table1[[#This Row],[ماه رفع توقف]],Table2[],3,0),"در حال تعمیر")</f>
        <v>بهار</v>
      </c>
      <c r="T88" s="3">
        <f>_xlfn.NUMBERVALUE(RIGHT(LEFT(Table1[[#This Row],[تاریخ پایان توقف]],7),2))</f>
        <v>2</v>
      </c>
      <c r="U88" s="3" t="str">
        <f>RIGHT(LEFT(Table1[[#This Row],[تاریخ پایان توقف]],10),2)</f>
        <v>23</v>
      </c>
      <c r="V88" s="3">
        <f>HOUR(Table1[[#This Row],[زمان پایان توقف]])</f>
        <v>19</v>
      </c>
      <c r="W88" s="3">
        <f>MINUTE(Table1[[#This Row],[زمان پایان توقف]])</f>
        <v>5</v>
      </c>
      <c r="X8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738019865</v>
      </c>
      <c r="Y88" s="42" t="s">
        <v>935</v>
      </c>
      <c r="Z88" s="83">
        <f>IFERROR((IF(Table1[[#This Row],[تاریخ پایان توقف]]&lt;&gt;"",Table1[[#This Row],[زمان رفع توقف]]-Table1[[#This Row],[زمان توقف]],"")/60),"")</f>
        <v>0.8666666666666667</v>
      </c>
      <c r="AA88" s="3">
        <f>VLOOKUP(E88,Table4[],4,0)</f>
        <v>24</v>
      </c>
      <c r="AB88" s="3">
        <f>VLOOKUP(E88,Table4[],5,0)</f>
        <v>0.2</v>
      </c>
      <c r="AC88" s="3">
        <v>360</v>
      </c>
      <c r="AD88" s="3">
        <f>VLOOKUP(E88,Table4[],7,0)</f>
        <v>720</v>
      </c>
      <c r="AE88" s="83">
        <f>IF(Table1[[#This Row],[زمان آخرین رفع توقف قبل از توقف فعلی]]="","",(Table1[[#This Row],[زمان توقف]]-Table1[[#This Row],[زمان آخرین رفع توقف قبل از توقف فعلی]])/60)</f>
        <v>46.116666666666667</v>
      </c>
      <c r="AF8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738017046</v>
      </c>
    </row>
    <row r="89" spans="1:32">
      <c r="A89" s="36">
        <v>90</v>
      </c>
      <c r="B89" s="36" t="s">
        <v>98</v>
      </c>
      <c r="C89" s="36" t="s">
        <v>116</v>
      </c>
      <c r="D89" s="36" t="s">
        <v>115</v>
      </c>
      <c r="E89" s="89" t="s">
        <v>117</v>
      </c>
      <c r="F89" s="36" t="s">
        <v>12</v>
      </c>
      <c r="G89" s="56" t="s">
        <v>918</v>
      </c>
      <c r="H89" s="53">
        <v>0.50555555555555554</v>
      </c>
      <c r="I89" s="6" t="str">
        <f>LEFT(Table1[[#This Row],[تاریخ توقف]],4)</f>
        <v>1404</v>
      </c>
      <c r="J89" s="6" t="str">
        <f>VLOOKUP(Table1[[#This Row],[ماه توقف]],Table2[],3,0)</f>
        <v>بهار</v>
      </c>
      <c r="K89" s="3">
        <f>_xlfn.NUMBERVALUE(RIGHT(LEFT(Table1[[#This Row],[تاریخ توقف]],7),2))</f>
        <v>2</v>
      </c>
      <c r="L89" s="3" t="str">
        <f>RIGHT(LEFT(Table1[[#This Row],[تاریخ توقف]],10),2)</f>
        <v>24</v>
      </c>
      <c r="M89" s="3">
        <f>HOUR(Table1[[#This Row],[زمان شروع توقف]])</f>
        <v>12</v>
      </c>
      <c r="N89" s="3">
        <f>MINUTE(Table1[[#This Row],[زمان شروع توقف]])</f>
        <v>8</v>
      </c>
      <c r="O89" s="3">
        <f>((Table1[[#This Row],[سال توقف]]*365+IF(Table1[[#This Row],[ماه توقف]]&lt;7,(Table1[[#This Row],[ماه توقف]]-1)*31,6*31+(Table1[[#This Row],[ماه توقف]]-6-1)*30)+(Table1[[#This Row],[روز توقف]])-1)*24+Table1[[#This Row],[ساعت توقف2]])*60+Table1[[#This Row],[دقیقه توقف]]</f>
        <v>738020888</v>
      </c>
      <c r="P89" s="56" t="s">
        <v>918</v>
      </c>
      <c r="Q89" s="53">
        <v>0.53125</v>
      </c>
      <c r="R89" s="3" t="str">
        <f>LEFT(Table1[[#This Row],[تاریخ پایان توقف]],4)</f>
        <v>1404</v>
      </c>
      <c r="S89" s="3" t="str">
        <f>_xlfn.IFNA(VLOOKUP(Table1[[#This Row],[ماه رفع توقف]],Table2[],3,0),"در حال تعمیر")</f>
        <v>بهار</v>
      </c>
      <c r="T89" s="3">
        <f>_xlfn.NUMBERVALUE(RIGHT(LEFT(Table1[[#This Row],[تاریخ پایان توقف]],7),2))</f>
        <v>2</v>
      </c>
      <c r="U89" s="3" t="str">
        <f>RIGHT(LEFT(Table1[[#This Row],[تاریخ پایان توقف]],10),2)</f>
        <v>24</v>
      </c>
      <c r="V89" s="3">
        <f>HOUR(Table1[[#This Row],[زمان پایان توقف]])</f>
        <v>12</v>
      </c>
      <c r="W89" s="3">
        <f>MINUTE(Table1[[#This Row],[زمان پایان توقف]])</f>
        <v>45</v>
      </c>
      <c r="X8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738020925</v>
      </c>
      <c r="Y89" s="42" t="s">
        <v>936</v>
      </c>
      <c r="Z89" s="83">
        <f>IFERROR((IF(Table1[[#This Row],[تاریخ پایان توقف]]&lt;&gt;"",Table1[[#This Row],[زمان رفع توقف]]-Table1[[#This Row],[زمان توقف]],"")/60),"")</f>
        <v>0.6166666666666667</v>
      </c>
      <c r="AA89" s="3">
        <f>VLOOKUP(E89,Table4[],4,0)</f>
        <v>24</v>
      </c>
      <c r="AB89" s="3">
        <f>VLOOKUP(E89,Table4[],5,0)</f>
        <v>0.2</v>
      </c>
      <c r="AC89" s="3">
        <v>360</v>
      </c>
      <c r="AD89" s="3">
        <f>VLOOKUP(E89,Table4[],7,0)</f>
        <v>720</v>
      </c>
      <c r="AE89" s="83">
        <f>IF(Table1[[#This Row],[زمان آخرین رفع توقف قبل از توقف فعلی]]="","",(Table1[[#This Row],[زمان توقف]]-Table1[[#This Row],[زمان آخرین رفع توقف قبل از توقف فعلی]])/60)</f>
        <v>75.36666666666666</v>
      </c>
      <c r="AF8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738016366</v>
      </c>
    </row>
    <row r="90" spans="1:32">
      <c r="A90" s="36">
        <v>91</v>
      </c>
      <c r="B90" s="36" t="s">
        <v>98</v>
      </c>
      <c r="C90" s="36" t="s">
        <v>121</v>
      </c>
      <c r="D90" s="36" t="s">
        <v>120</v>
      </c>
      <c r="E90" s="86" t="s">
        <v>122</v>
      </c>
      <c r="F90" s="36" t="s">
        <v>12</v>
      </c>
      <c r="G90" s="56" t="s">
        <v>943</v>
      </c>
      <c r="H90" s="53">
        <v>0.73958333333333337</v>
      </c>
      <c r="I90" s="6" t="str">
        <f>LEFT(Table1[[#This Row],[تاریخ توقف]],4)</f>
        <v>1404</v>
      </c>
      <c r="J90" s="6" t="str">
        <f>VLOOKUP(Table1[[#This Row],[ماه توقف]],Table2[],3,0)</f>
        <v>بهار</v>
      </c>
      <c r="K90" s="3">
        <f>_xlfn.NUMBERVALUE(RIGHT(LEFT(Table1[[#This Row],[تاریخ توقف]],7),2))</f>
        <v>2</v>
      </c>
      <c r="L90" s="3" t="str">
        <f>RIGHT(LEFT(Table1[[#This Row],[تاریخ توقف]],10),2)</f>
        <v>27</v>
      </c>
      <c r="M90" s="3">
        <f>HOUR(Table1[[#This Row],[زمان شروع توقف]])</f>
        <v>17</v>
      </c>
      <c r="N90" s="3">
        <f>MINUTE(Table1[[#This Row],[زمان شروع توقف]])</f>
        <v>45</v>
      </c>
      <c r="O90" s="3">
        <f>((Table1[[#This Row],[سال توقف]]*365+IF(Table1[[#This Row],[ماه توقف]]&lt;7,(Table1[[#This Row],[ماه توقف]]-1)*31,6*31+(Table1[[#This Row],[ماه توقف]]-6-1)*30)+(Table1[[#This Row],[روز توقف]])-1)*24+Table1[[#This Row],[ساعت توقف2]])*60+Table1[[#This Row],[دقیقه توقف]]</f>
        <v>738025545</v>
      </c>
      <c r="P90" s="56" t="s">
        <v>943</v>
      </c>
      <c r="Q90" s="53">
        <v>0.76944444444444438</v>
      </c>
      <c r="R90" s="3" t="str">
        <f>LEFT(Table1[[#This Row],[تاریخ پایان توقف]],4)</f>
        <v>1404</v>
      </c>
      <c r="S90" s="3" t="str">
        <f>_xlfn.IFNA(VLOOKUP(Table1[[#This Row],[ماه رفع توقف]],Table2[],3,0),"در حال تعمیر")</f>
        <v>بهار</v>
      </c>
      <c r="T90" s="3">
        <f>_xlfn.NUMBERVALUE(RIGHT(LEFT(Table1[[#This Row],[تاریخ پایان توقف]],7),2))</f>
        <v>2</v>
      </c>
      <c r="U90" s="3" t="str">
        <f>RIGHT(LEFT(Table1[[#This Row],[تاریخ پایان توقف]],10),2)</f>
        <v>27</v>
      </c>
      <c r="V90" s="3">
        <f>HOUR(Table1[[#This Row],[زمان پایان توقف]])</f>
        <v>18</v>
      </c>
      <c r="W90" s="3">
        <f>MINUTE(Table1[[#This Row],[زمان پایان توقف]])</f>
        <v>28</v>
      </c>
      <c r="X9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738025588</v>
      </c>
      <c r="Y90" s="42" t="s">
        <v>954</v>
      </c>
      <c r="Z90" s="83">
        <f>IFERROR((IF(Table1[[#This Row],[تاریخ پایان توقف]]&lt;&gt;"",Table1[[#This Row],[زمان رفع توقف]]-Table1[[#This Row],[زمان توقف]],"")/60),"")</f>
        <v>0.71666666666666667</v>
      </c>
      <c r="AA90" s="3">
        <f>VLOOKUP(E90,Table4[],4,0)</f>
        <v>24</v>
      </c>
      <c r="AB90" s="3">
        <f>VLOOKUP(E90,Table4[],5,0)</f>
        <v>0.2</v>
      </c>
      <c r="AC90" s="3">
        <v>360</v>
      </c>
      <c r="AD90" s="3">
        <f>VLOOKUP(E90,Table4[],7,0)</f>
        <v>720</v>
      </c>
      <c r="AE90" s="83">
        <f>IF(Table1[[#This Row],[زمان آخرین رفع توقف قبل از توقف فعلی]]="","",(Table1[[#This Row],[زمان توقف]]-Table1[[#This Row],[زمان آخرین رفع توقف قبل از توقف فعلی]])/60)</f>
        <v>94.666666666666671</v>
      </c>
      <c r="AF9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738019865</v>
      </c>
    </row>
    <row r="91" spans="1:32">
      <c r="A91" s="36">
        <v>92</v>
      </c>
      <c r="B91" s="36" t="s">
        <v>98</v>
      </c>
      <c r="C91" s="36" t="s">
        <v>937</v>
      </c>
      <c r="D91" s="62" t="s">
        <v>938</v>
      </c>
      <c r="E91" s="85" t="s">
        <v>73</v>
      </c>
      <c r="F91" s="36" t="s">
        <v>12</v>
      </c>
      <c r="G91" s="56" t="s">
        <v>944</v>
      </c>
      <c r="H91" s="53">
        <v>0.34652777777777777</v>
      </c>
      <c r="I91" s="6" t="str">
        <f>LEFT(Table1[[#This Row],[تاریخ توقف]],4)</f>
        <v>1404</v>
      </c>
      <c r="J91" s="6" t="str">
        <f>VLOOKUP(Table1[[#This Row],[ماه توقف]],Table2[],3,0)</f>
        <v>بهار</v>
      </c>
      <c r="K91" s="3">
        <f>_xlfn.NUMBERVALUE(RIGHT(LEFT(Table1[[#This Row],[تاریخ توقف]],7),2))</f>
        <v>2</v>
      </c>
      <c r="L91" s="3" t="str">
        <f>RIGHT(LEFT(Table1[[#This Row],[تاریخ توقف]],10),2)</f>
        <v>30</v>
      </c>
      <c r="M91" s="3">
        <f>HOUR(Table1[[#This Row],[زمان شروع توقف]])</f>
        <v>8</v>
      </c>
      <c r="N91" s="3">
        <f>MINUTE(Table1[[#This Row],[زمان شروع توقف]])</f>
        <v>19</v>
      </c>
      <c r="O91" s="3">
        <f>((Table1[[#This Row],[سال توقف]]*365+IF(Table1[[#This Row],[ماه توقف]]&lt;7,(Table1[[#This Row],[ماه توقف]]-1)*31,6*31+(Table1[[#This Row],[ماه توقف]]-6-1)*30)+(Table1[[#This Row],[روز توقف]])-1)*24+Table1[[#This Row],[ساعت توقف2]])*60+Table1[[#This Row],[دقیقه توقف]]</f>
        <v>738029299</v>
      </c>
      <c r="P91" s="56" t="s">
        <v>944</v>
      </c>
      <c r="Q91" s="53">
        <v>0.40625</v>
      </c>
      <c r="R91" s="3" t="str">
        <f>LEFT(Table1[[#This Row],[تاریخ پایان توقف]],4)</f>
        <v>1404</v>
      </c>
      <c r="S91" s="3" t="str">
        <f>_xlfn.IFNA(VLOOKUP(Table1[[#This Row],[ماه رفع توقف]],Table2[],3,0),"در حال تعمیر")</f>
        <v>بهار</v>
      </c>
      <c r="T91" s="3">
        <f>_xlfn.NUMBERVALUE(RIGHT(LEFT(Table1[[#This Row],[تاریخ پایان توقف]],7),2))</f>
        <v>2</v>
      </c>
      <c r="U91" s="3" t="str">
        <f>RIGHT(LEFT(Table1[[#This Row],[تاریخ پایان توقف]],10),2)</f>
        <v>30</v>
      </c>
      <c r="V91" s="3">
        <f>HOUR(Table1[[#This Row],[زمان پایان توقف]])</f>
        <v>9</v>
      </c>
      <c r="W91" s="3">
        <f>MINUTE(Table1[[#This Row],[زمان پایان توقف]])</f>
        <v>45</v>
      </c>
      <c r="X9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738029385</v>
      </c>
      <c r="Y91" s="42" t="s">
        <v>955</v>
      </c>
      <c r="Z91" s="83">
        <f>IFERROR((IF(Table1[[#This Row],[تاریخ پایان توقف]]&lt;&gt;"",Table1[[#This Row],[زمان رفع توقف]]-Table1[[#This Row],[زمان توقف]],"")/60),"")</f>
        <v>1.4333333333333333</v>
      </c>
      <c r="AA91" s="3">
        <f>VLOOKUP(E91,Table4[],4,0)</f>
        <v>24</v>
      </c>
      <c r="AB91" s="3">
        <f>VLOOKUP(E91,Table4[],5,0)</f>
        <v>0.2</v>
      </c>
      <c r="AC91" s="3">
        <v>360</v>
      </c>
      <c r="AD91" s="3">
        <f>VLOOKUP(E91,Table4[],7,0)</f>
        <v>720</v>
      </c>
      <c r="AE91" s="83">
        <f>IF(Table1[[#This Row],[زمان آخرین رفع توقف قبل از توقف فعلی]]="","",(Table1[[#This Row],[زمان توقف]]-Table1[[#This Row],[زمان آخرین رفع توقف قبل از توقف فعلی]])/60)</f>
        <v>160.06666666666666</v>
      </c>
      <c r="AF9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738019695</v>
      </c>
    </row>
    <row r="92" spans="1:32">
      <c r="A92" s="36">
        <v>93</v>
      </c>
      <c r="B92" s="36" t="s">
        <v>97</v>
      </c>
      <c r="C92" s="36" t="s">
        <v>638</v>
      </c>
      <c r="D92" s="36" t="s">
        <v>939</v>
      </c>
      <c r="E92" s="86" t="s">
        <v>63</v>
      </c>
      <c r="F92" s="36" t="s">
        <v>12</v>
      </c>
      <c r="G92" s="58" t="s">
        <v>945</v>
      </c>
      <c r="H92" s="54">
        <v>0.75</v>
      </c>
      <c r="I92" s="6" t="str">
        <f>LEFT(Table1[[#This Row],[تاریخ توقف]],4)</f>
        <v>1404</v>
      </c>
      <c r="J92" s="6" t="str">
        <f>VLOOKUP(Table1[[#This Row],[ماه توقف]],Table2[],3,0)</f>
        <v>بهار</v>
      </c>
      <c r="K92" s="3">
        <f>_xlfn.NUMBERVALUE(RIGHT(LEFT(Table1[[#This Row],[تاریخ توقف]],7),2))</f>
        <v>2</v>
      </c>
      <c r="L92" s="3" t="str">
        <f>RIGHT(LEFT(Table1[[#This Row],[تاریخ توقف]],10),2)</f>
        <v>31</v>
      </c>
      <c r="M92" s="3">
        <f>HOUR(Table1[[#This Row],[زمان شروع توقف]])</f>
        <v>18</v>
      </c>
      <c r="N92" s="3">
        <f>MINUTE(Table1[[#This Row],[زمان شروع توقف]])</f>
        <v>0</v>
      </c>
      <c r="O92" s="3">
        <f>((Table1[[#This Row],[سال توقف]]*365+IF(Table1[[#This Row],[ماه توقف]]&lt;7,(Table1[[#This Row],[ماه توقف]]-1)*31,6*31+(Table1[[#This Row],[ماه توقف]]-6-1)*30)+(Table1[[#This Row],[روز توقف]])-1)*24+Table1[[#This Row],[ساعت توقف2]])*60+Table1[[#This Row],[دقیقه توقف]]</f>
        <v>738031320</v>
      </c>
      <c r="P92" s="56" t="s">
        <v>952</v>
      </c>
      <c r="Q92" s="54">
        <v>0.35486111111111113</v>
      </c>
      <c r="R92" s="3" t="str">
        <f>LEFT(Table1[[#This Row],[تاریخ پایان توقف]],4)</f>
        <v>1404</v>
      </c>
      <c r="S92" s="3" t="str">
        <f>_xlfn.IFNA(VLOOKUP(Table1[[#This Row],[ماه رفع توقف]],Table2[],3,0),"در حال تعمیر")</f>
        <v>بهار</v>
      </c>
      <c r="T92" s="3">
        <f>_xlfn.NUMBERVALUE(RIGHT(LEFT(Table1[[#This Row],[تاریخ پایان توقف]],7),2))</f>
        <v>3</v>
      </c>
      <c r="U92" s="3" t="str">
        <f>RIGHT(LEFT(Table1[[#This Row],[تاریخ پایان توقف]],10),2)</f>
        <v>01</v>
      </c>
      <c r="V92" s="3">
        <f>HOUR(Table1[[#This Row],[زمان پایان توقف]])</f>
        <v>8</v>
      </c>
      <c r="W92" s="3">
        <f>MINUTE(Table1[[#This Row],[زمان پایان توقف]])</f>
        <v>31</v>
      </c>
      <c r="X9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738032191</v>
      </c>
      <c r="Y92" s="47" t="s">
        <v>956</v>
      </c>
      <c r="Z92" s="83">
        <f>IFERROR((IF(Table1[[#This Row],[تاریخ پایان توقف]]&lt;&gt;"",Table1[[#This Row],[زمان رفع توقف]]-Table1[[#This Row],[زمان توقف]],"")/60),"")</f>
        <v>14.516666666666667</v>
      </c>
      <c r="AA92" s="3">
        <f>VLOOKUP(E92,Table4[],4,0)</f>
        <v>24</v>
      </c>
      <c r="AB92" s="3">
        <f>VLOOKUP(E92,Table4[],5,0)</f>
        <v>0.2</v>
      </c>
      <c r="AC92" s="3">
        <v>360</v>
      </c>
      <c r="AD92" s="3">
        <f>VLOOKUP(E92,Table4[],7,0)</f>
        <v>720</v>
      </c>
      <c r="AE92" s="83" t="str">
        <f>IF(Table1[[#This Row],[زمان آخرین رفع توقف قبل از توقف فعلی]]="","",(Table1[[#This Row],[زمان توقف]]-Table1[[#This Row],[زمان آخرین رفع توقف قبل از توقف فعلی]])/60)</f>
        <v/>
      </c>
      <c r="AF92"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93" spans="1:32">
      <c r="A93" s="36">
        <v>94</v>
      </c>
      <c r="B93" s="36" t="s">
        <v>97</v>
      </c>
      <c r="C93" s="36" t="s">
        <v>940</v>
      </c>
      <c r="D93" s="64" t="s">
        <v>38</v>
      </c>
      <c r="E93" s="85" t="s">
        <v>68</v>
      </c>
      <c r="F93" s="36" t="s">
        <v>12</v>
      </c>
      <c r="G93" s="56" t="s">
        <v>945</v>
      </c>
      <c r="H93" s="53">
        <v>0.75</v>
      </c>
      <c r="I93" s="6" t="str">
        <f>LEFT(Table1[[#This Row],[تاریخ توقف]],4)</f>
        <v>1404</v>
      </c>
      <c r="J93" s="6" t="str">
        <f>VLOOKUP(Table1[[#This Row],[ماه توقف]],Table2[],3,0)</f>
        <v>بهار</v>
      </c>
      <c r="K93" s="3">
        <f>_xlfn.NUMBERVALUE(RIGHT(LEFT(Table1[[#This Row],[تاریخ توقف]],7),2))</f>
        <v>2</v>
      </c>
      <c r="L93" s="3" t="str">
        <f>RIGHT(LEFT(Table1[[#This Row],[تاریخ توقف]],10),2)</f>
        <v>31</v>
      </c>
      <c r="M93" s="3">
        <f>HOUR(Table1[[#This Row],[زمان شروع توقف]])</f>
        <v>18</v>
      </c>
      <c r="N93" s="3">
        <f>MINUTE(Table1[[#This Row],[زمان شروع توقف]])</f>
        <v>0</v>
      </c>
      <c r="O93" s="3">
        <f>((Table1[[#This Row],[سال توقف]]*365+IF(Table1[[#This Row],[ماه توقف]]&lt;7,(Table1[[#This Row],[ماه توقف]]-1)*31,6*31+(Table1[[#This Row],[ماه توقف]]-6-1)*30)+(Table1[[#This Row],[روز توقف]])-1)*24+Table1[[#This Row],[ساعت توقف2]])*60+Table1[[#This Row],[دقیقه توقف]]</f>
        <v>738031320</v>
      </c>
      <c r="P93" s="56" t="s">
        <v>945</v>
      </c>
      <c r="Q93" s="53">
        <v>0.89583333333333337</v>
      </c>
      <c r="R93" s="3" t="str">
        <f>LEFT(Table1[[#This Row],[تاریخ پایان توقف]],4)</f>
        <v>1404</v>
      </c>
      <c r="S93" s="3" t="str">
        <f>_xlfn.IFNA(VLOOKUP(Table1[[#This Row],[ماه رفع توقف]],Table2[],3,0),"در حال تعمیر")</f>
        <v>بهار</v>
      </c>
      <c r="T93" s="3">
        <f>_xlfn.NUMBERVALUE(RIGHT(LEFT(Table1[[#This Row],[تاریخ پایان توقف]],7),2))</f>
        <v>2</v>
      </c>
      <c r="U93" s="3" t="str">
        <f>RIGHT(LEFT(Table1[[#This Row],[تاریخ پایان توقف]],10),2)</f>
        <v>31</v>
      </c>
      <c r="V93" s="3">
        <f>HOUR(Table1[[#This Row],[زمان پایان توقف]])</f>
        <v>21</v>
      </c>
      <c r="W93" s="3">
        <f>MINUTE(Table1[[#This Row],[زمان پایان توقف]])</f>
        <v>30</v>
      </c>
      <c r="X9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738031530</v>
      </c>
      <c r="Y93" s="42" t="s">
        <v>957</v>
      </c>
      <c r="Z93" s="83">
        <f>IFERROR((IF(Table1[[#This Row],[تاریخ پایان توقف]]&lt;&gt;"",Table1[[#This Row],[زمان رفع توقف]]-Table1[[#This Row],[زمان توقف]],"")/60),"")</f>
        <v>3.5</v>
      </c>
      <c r="AA93" s="3">
        <f>VLOOKUP(E93,Table4[],4,0)</f>
        <v>24</v>
      </c>
      <c r="AB93" s="3">
        <f>VLOOKUP(E93,Table4[],5,0)</f>
        <v>0.2</v>
      </c>
      <c r="AC93" s="3">
        <v>360</v>
      </c>
      <c r="AD93" s="3">
        <f>VLOOKUP(E93,Table4[],7,0)</f>
        <v>720</v>
      </c>
      <c r="AE93" s="83" t="str">
        <f>IF(Table1[[#This Row],[زمان آخرین رفع توقف قبل از توقف فعلی]]="","",(Table1[[#This Row],[زمان توقف]]-Table1[[#This Row],[زمان آخرین رفع توقف قبل از توقف فعلی]])/60)</f>
        <v/>
      </c>
      <c r="AF93"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94" spans="1:32">
      <c r="A94" s="36">
        <v>95</v>
      </c>
      <c r="B94" s="36" t="s">
        <v>98</v>
      </c>
      <c r="C94" s="36" t="s">
        <v>937</v>
      </c>
      <c r="D94" s="62" t="s">
        <v>938</v>
      </c>
      <c r="E94" s="85" t="s">
        <v>73</v>
      </c>
      <c r="F94" s="36" t="s">
        <v>12</v>
      </c>
      <c r="G94" s="56" t="s">
        <v>952</v>
      </c>
      <c r="H94" s="53">
        <v>0.38541666666666669</v>
      </c>
      <c r="I94" s="6" t="str">
        <f>LEFT(Table1[[#This Row],[تاریخ توقف]],4)</f>
        <v>1404</v>
      </c>
      <c r="J94" s="6" t="str">
        <f>VLOOKUP(Table1[[#This Row],[ماه توقف]],Table2[],3,0)</f>
        <v>بهار</v>
      </c>
      <c r="K94" s="3">
        <f>_xlfn.NUMBERVALUE(RIGHT(LEFT(Table1[[#This Row],[تاریخ توقف]],7),2))</f>
        <v>3</v>
      </c>
      <c r="L94" s="3" t="str">
        <f>RIGHT(LEFT(Table1[[#This Row],[تاریخ توقف]],10),2)</f>
        <v>01</v>
      </c>
      <c r="M94" s="3">
        <f>HOUR(Table1[[#This Row],[زمان شروع توقف]])</f>
        <v>9</v>
      </c>
      <c r="N94" s="3">
        <f>MINUTE(Table1[[#This Row],[زمان شروع توقف]])</f>
        <v>15</v>
      </c>
      <c r="O94" s="3">
        <f>((Table1[[#This Row],[سال توقف]]*365+IF(Table1[[#This Row],[ماه توقف]]&lt;7,(Table1[[#This Row],[ماه توقف]]-1)*31,6*31+(Table1[[#This Row],[ماه توقف]]-6-1)*30)+(Table1[[#This Row],[روز توقف]])-1)*24+Table1[[#This Row],[ساعت توقف2]])*60+Table1[[#This Row],[دقیقه توقف]]</f>
        <v>738032235</v>
      </c>
      <c r="P94" s="56" t="s">
        <v>952</v>
      </c>
      <c r="Q94" s="53">
        <v>0.4236111111111111</v>
      </c>
      <c r="R94" s="3" t="str">
        <f>LEFT(Table1[[#This Row],[تاریخ پایان توقف]],4)</f>
        <v>1404</v>
      </c>
      <c r="S94" s="3" t="str">
        <f>_xlfn.IFNA(VLOOKUP(Table1[[#This Row],[ماه رفع توقف]],Table2[],3,0),"در حال تعمیر")</f>
        <v>بهار</v>
      </c>
      <c r="T94" s="3">
        <f>_xlfn.NUMBERVALUE(RIGHT(LEFT(Table1[[#This Row],[تاریخ پایان توقف]],7),2))</f>
        <v>3</v>
      </c>
      <c r="U94" s="3" t="str">
        <f>RIGHT(LEFT(Table1[[#This Row],[تاریخ پایان توقف]],10),2)</f>
        <v>01</v>
      </c>
      <c r="V94" s="3">
        <f>HOUR(Table1[[#This Row],[زمان پایان توقف]])</f>
        <v>10</v>
      </c>
      <c r="W94" s="3">
        <f>MINUTE(Table1[[#This Row],[زمان پایان توقف]])</f>
        <v>10</v>
      </c>
      <c r="X9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738032290</v>
      </c>
      <c r="Y94" s="42" t="s">
        <v>958</v>
      </c>
      <c r="Z94" s="83">
        <f>IFERROR((IF(Table1[[#This Row],[تاریخ پایان توقف]]&lt;&gt;"",Table1[[#This Row],[زمان رفع توقف]]-Table1[[#This Row],[زمان توقف]],"")/60),"")</f>
        <v>0.91666666666666663</v>
      </c>
      <c r="AA94" s="3">
        <f>VLOOKUP(E94,Table4[],4,0)</f>
        <v>24</v>
      </c>
      <c r="AB94" s="3">
        <f>VLOOKUP(E94,Table4[],5,0)</f>
        <v>0.2</v>
      </c>
      <c r="AC94" s="3">
        <v>360</v>
      </c>
      <c r="AD94" s="3">
        <f>VLOOKUP(E94,Table4[],7,0)</f>
        <v>720</v>
      </c>
      <c r="AE94" s="83">
        <f>IF(Table1[[#This Row],[زمان آخرین رفع توقف قبل از توقف فعلی]]="","",(Table1[[#This Row],[زمان توقف]]-Table1[[#This Row],[زمان آخرین رفع توقف قبل از توقف فعلی]])/60)</f>
        <v>47.5</v>
      </c>
      <c r="AF9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738029385</v>
      </c>
    </row>
    <row r="95" spans="1:32">
      <c r="A95" s="36">
        <v>96</v>
      </c>
      <c r="B95" s="36" t="s">
        <v>98</v>
      </c>
      <c r="C95" s="36" t="s">
        <v>129</v>
      </c>
      <c r="D95" s="36" t="s">
        <v>120</v>
      </c>
      <c r="E95" s="86" t="s">
        <v>130</v>
      </c>
      <c r="F95" s="36" t="s">
        <v>12</v>
      </c>
      <c r="G95" s="58" t="s">
        <v>953</v>
      </c>
      <c r="H95" s="54">
        <v>0.74583333333333324</v>
      </c>
      <c r="I95" s="6" t="str">
        <f>LEFT(Table1[[#This Row],[تاریخ توقف]],4)</f>
        <v>1404</v>
      </c>
      <c r="J95" s="6" t="str">
        <f>VLOOKUP(Table1[[#This Row],[ماه توقف]],Table2[],3,0)</f>
        <v>بهار</v>
      </c>
      <c r="K95" s="3">
        <f>_xlfn.NUMBERVALUE(RIGHT(LEFT(Table1[[#This Row],[تاریخ توقف]],7),2))</f>
        <v>3</v>
      </c>
      <c r="L95" s="3" t="str">
        <f>RIGHT(LEFT(Table1[[#This Row],[تاریخ توقف]],10),2)</f>
        <v>02</v>
      </c>
      <c r="M95" s="3">
        <f>HOUR(Table1[[#This Row],[زمان شروع توقف]])</f>
        <v>17</v>
      </c>
      <c r="N95" s="3">
        <f>MINUTE(Table1[[#This Row],[زمان شروع توقف]])</f>
        <v>54</v>
      </c>
      <c r="O95" s="3">
        <f>((Table1[[#This Row],[سال توقف]]*365+IF(Table1[[#This Row],[ماه توقف]]&lt;7,(Table1[[#This Row],[ماه توقف]]-1)*31,6*31+(Table1[[#This Row],[ماه توقف]]-6-1)*30)+(Table1[[#This Row],[روز توقف]])-1)*24+Table1[[#This Row],[ساعت توقف2]])*60+Table1[[#This Row],[دقیقه توقف]]</f>
        <v>738034194</v>
      </c>
      <c r="P95" s="58" t="s">
        <v>946</v>
      </c>
      <c r="Q95" s="54">
        <v>1.1111111111111112E-2</v>
      </c>
      <c r="R95" s="3" t="str">
        <f>LEFT(Table1[[#This Row],[تاریخ پایان توقف]],4)</f>
        <v>1404</v>
      </c>
      <c r="S95" s="3" t="str">
        <f>_xlfn.IFNA(VLOOKUP(Table1[[#This Row],[ماه رفع توقف]],Table2[],3,0),"در حال تعمیر")</f>
        <v>بهار</v>
      </c>
      <c r="T95" s="3">
        <f>_xlfn.NUMBERVALUE(RIGHT(LEFT(Table1[[#This Row],[تاریخ پایان توقف]],7),2))</f>
        <v>3</v>
      </c>
      <c r="U95" s="3" t="str">
        <f>RIGHT(LEFT(Table1[[#This Row],[تاریخ پایان توقف]],10),2)</f>
        <v>05</v>
      </c>
      <c r="V95" s="3">
        <f>HOUR(Table1[[#This Row],[زمان پایان توقف]])</f>
        <v>0</v>
      </c>
      <c r="W95" s="3">
        <f>MINUTE(Table1[[#This Row],[زمان پایان توقف]])</f>
        <v>16</v>
      </c>
      <c r="X9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738037456</v>
      </c>
      <c r="Y95" s="47" t="s">
        <v>959</v>
      </c>
      <c r="Z95" s="83">
        <f>IFERROR((IF(Table1[[#This Row],[تاریخ پایان توقف]]&lt;&gt;"",Table1[[#This Row],[زمان رفع توقف]]-Table1[[#This Row],[زمان توقف]],"")/60),"")</f>
        <v>54.366666666666667</v>
      </c>
      <c r="AA95" s="3">
        <f>VLOOKUP(E95,Table4[],4,0)</f>
        <v>24</v>
      </c>
      <c r="AB95" s="3">
        <f>VLOOKUP(E95,Table4[],5,0)</f>
        <v>0.2</v>
      </c>
      <c r="AC95" s="3">
        <v>360</v>
      </c>
      <c r="AD95" s="3">
        <f>VLOOKUP(E95,Table4[],7,0)</f>
        <v>720</v>
      </c>
      <c r="AE95" s="83">
        <f>IF(Table1[[#This Row],[زمان آخرین رفع توقف قبل از توقف فعلی]]="","",(Table1[[#This Row],[زمان توقف]]-Table1[[#This Row],[زمان آخرین رفع توقف قبل از توقف فعلی]])/60)</f>
        <v>745.73333333333335</v>
      </c>
      <c r="AF9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737989450</v>
      </c>
    </row>
    <row r="96" spans="1:32">
      <c r="A96" s="36">
        <v>97</v>
      </c>
      <c r="B96" s="36" t="s">
        <v>98</v>
      </c>
      <c r="C96" s="36" t="s">
        <v>49</v>
      </c>
      <c r="D96" s="36" t="s">
        <v>941</v>
      </c>
      <c r="E96" s="85" t="s">
        <v>73</v>
      </c>
      <c r="F96" s="36" t="s">
        <v>12</v>
      </c>
      <c r="G96" s="58" t="s">
        <v>946</v>
      </c>
      <c r="H96" s="54">
        <v>0.74791666666666667</v>
      </c>
      <c r="I96" s="6" t="str">
        <f>LEFT(Table1[[#This Row],[تاریخ توقف]],4)</f>
        <v>1404</v>
      </c>
      <c r="J96" s="6" t="str">
        <f>VLOOKUP(Table1[[#This Row],[ماه توقف]],Table2[],3,0)</f>
        <v>بهار</v>
      </c>
      <c r="K96" s="3">
        <f>_xlfn.NUMBERVALUE(RIGHT(LEFT(Table1[[#This Row],[تاریخ توقف]],7),2))</f>
        <v>3</v>
      </c>
      <c r="L96" s="3" t="str">
        <f>RIGHT(LEFT(Table1[[#This Row],[تاریخ توقف]],10),2)</f>
        <v>05</v>
      </c>
      <c r="M96" s="3">
        <f>HOUR(Table1[[#This Row],[زمان شروع توقف]])</f>
        <v>17</v>
      </c>
      <c r="N96" s="3">
        <f>MINUTE(Table1[[#This Row],[زمان شروع توقف]])</f>
        <v>57</v>
      </c>
      <c r="O96" s="3">
        <f>((Table1[[#This Row],[سال توقف]]*365+IF(Table1[[#This Row],[ماه توقف]]&lt;7,(Table1[[#This Row],[ماه توقف]]-1)*31,6*31+(Table1[[#This Row],[ماه توقف]]-6-1)*30)+(Table1[[#This Row],[روز توقف]])-1)*24+Table1[[#This Row],[ساعت توقف2]])*60+Table1[[#This Row],[دقیقه توقف]]</f>
        <v>738038517</v>
      </c>
      <c r="P96" s="58" t="s">
        <v>947</v>
      </c>
      <c r="Q96" s="54">
        <v>0.35416666666666669</v>
      </c>
      <c r="R96" s="3" t="str">
        <f>LEFT(Table1[[#This Row],[تاریخ پایان توقف]],4)</f>
        <v>1404</v>
      </c>
      <c r="S96" s="3" t="str">
        <f>_xlfn.IFNA(VLOOKUP(Table1[[#This Row],[ماه رفع توقف]],Table2[],3,0),"در حال تعمیر")</f>
        <v>بهار</v>
      </c>
      <c r="T96" s="3">
        <f>_xlfn.NUMBERVALUE(RIGHT(LEFT(Table1[[#This Row],[تاریخ پایان توقف]],7),2))</f>
        <v>3</v>
      </c>
      <c r="U96" s="3" t="str">
        <f>RIGHT(LEFT(Table1[[#This Row],[تاریخ پایان توقف]],10),2)</f>
        <v>06</v>
      </c>
      <c r="V96" s="3">
        <f>HOUR(Table1[[#This Row],[زمان پایان توقف]])</f>
        <v>8</v>
      </c>
      <c r="W96" s="3">
        <f>MINUTE(Table1[[#This Row],[زمان پایان توقف]])</f>
        <v>30</v>
      </c>
      <c r="X9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738039390</v>
      </c>
      <c r="Y96" s="48" t="s">
        <v>960</v>
      </c>
      <c r="Z96" s="83">
        <f>IFERROR((IF(Table1[[#This Row],[تاریخ پایان توقف]]&lt;&gt;"",Table1[[#This Row],[زمان رفع توقف]]-Table1[[#This Row],[زمان توقف]],"")/60),"")</f>
        <v>14.55</v>
      </c>
      <c r="AA96" s="3">
        <f>VLOOKUP(E96,Table4[],4,0)</f>
        <v>24</v>
      </c>
      <c r="AB96" s="3">
        <f>VLOOKUP(E96,Table4[],5,0)</f>
        <v>0.2</v>
      </c>
      <c r="AC96" s="3">
        <v>360</v>
      </c>
      <c r="AD96" s="3">
        <f>VLOOKUP(E96,Table4[],7,0)</f>
        <v>720</v>
      </c>
      <c r="AE96" s="83">
        <f>IF(Table1[[#This Row],[زمان آخرین رفع توقف قبل از توقف فعلی]]="","",(Table1[[#This Row],[زمان توقف]]-Table1[[#This Row],[زمان آخرین رفع توقف قبل از توقف فعلی]])/60)</f>
        <v>103.78333333333333</v>
      </c>
      <c r="AF9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738032290</v>
      </c>
    </row>
    <row r="97" spans="1:32">
      <c r="A97" s="36">
        <v>98</v>
      </c>
      <c r="B97" s="36" t="s">
        <v>98</v>
      </c>
      <c r="C97" s="36" t="s">
        <v>573</v>
      </c>
      <c r="D97" s="36" t="s">
        <v>882</v>
      </c>
      <c r="E97" s="85" t="s">
        <v>222</v>
      </c>
      <c r="F97" s="36" t="s">
        <v>12</v>
      </c>
      <c r="G97" s="56" t="s">
        <v>947</v>
      </c>
      <c r="H97" s="53">
        <v>0.4513888888888889</v>
      </c>
      <c r="I97" s="6" t="str">
        <f>LEFT(Table1[[#This Row],[تاریخ توقف]],4)</f>
        <v>1404</v>
      </c>
      <c r="J97" s="6" t="str">
        <f>VLOOKUP(Table1[[#This Row],[ماه توقف]],Table2[],3,0)</f>
        <v>بهار</v>
      </c>
      <c r="K97" s="3">
        <f>_xlfn.NUMBERVALUE(RIGHT(LEFT(Table1[[#This Row],[تاریخ توقف]],7),2))</f>
        <v>3</v>
      </c>
      <c r="L97" s="3" t="str">
        <f>RIGHT(LEFT(Table1[[#This Row],[تاریخ توقف]],10),2)</f>
        <v>06</v>
      </c>
      <c r="M97" s="3">
        <f>HOUR(Table1[[#This Row],[زمان شروع توقف]])</f>
        <v>10</v>
      </c>
      <c r="N97" s="3">
        <f>MINUTE(Table1[[#This Row],[زمان شروع توقف]])</f>
        <v>50</v>
      </c>
      <c r="O97" s="3">
        <f>((Table1[[#This Row],[سال توقف]]*365+IF(Table1[[#This Row],[ماه توقف]]&lt;7,(Table1[[#This Row],[ماه توقف]]-1)*31,6*31+(Table1[[#This Row],[ماه توقف]]-6-1)*30)+(Table1[[#This Row],[روز توقف]])-1)*24+Table1[[#This Row],[ساعت توقف2]])*60+Table1[[#This Row],[دقیقه توقف]]</f>
        <v>738039530</v>
      </c>
      <c r="P97" s="56" t="s">
        <v>947</v>
      </c>
      <c r="Q97" s="53">
        <v>0.625</v>
      </c>
      <c r="R97" s="3" t="str">
        <f>LEFT(Table1[[#This Row],[تاریخ پایان توقف]],4)</f>
        <v>1404</v>
      </c>
      <c r="S97" s="3" t="str">
        <f>_xlfn.IFNA(VLOOKUP(Table1[[#This Row],[ماه رفع توقف]],Table2[],3,0),"در حال تعمیر")</f>
        <v>بهار</v>
      </c>
      <c r="T97" s="3">
        <f>_xlfn.NUMBERVALUE(RIGHT(LEFT(Table1[[#This Row],[تاریخ پایان توقف]],7),2))</f>
        <v>3</v>
      </c>
      <c r="U97" s="3" t="str">
        <f>RIGHT(LEFT(Table1[[#This Row],[تاریخ پایان توقف]],10),2)</f>
        <v>06</v>
      </c>
      <c r="V97" s="3">
        <f>HOUR(Table1[[#This Row],[زمان پایان توقف]])</f>
        <v>15</v>
      </c>
      <c r="W97" s="3">
        <f>MINUTE(Table1[[#This Row],[زمان پایان توقف]])</f>
        <v>0</v>
      </c>
      <c r="X9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738039780</v>
      </c>
      <c r="Y97" s="44" t="s">
        <v>961</v>
      </c>
      <c r="Z97" s="83">
        <f>IFERROR((IF(Table1[[#This Row],[تاریخ پایان توقف]]&lt;&gt;"",Table1[[#This Row],[زمان رفع توقف]]-Table1[[#This Row],[زمان توقف]],"")/60),"")</f>
        <v>4.166666666666667</v>
      </c>
      <c r="AA97" s="3">
        <f>VLOOKUP(E97,Table4[],4,0)</f>
        <v>24</v>
      </c>
      <c r="AB97" s="3">
        <f>VLOOKUP(E97,Table4[],5,0)</f>
        <v>0.2</v>
      </c>
      <c r="AC97" s="3">
        <v>360</v>
      </c>
      <c r="AD97" s="3">
        <f>VLOOKUP(E97,Table4[],7,0)</f>
        <v>720</v>
      </c>
      <c r="AE97" s="83">
        <f>IF(Table1[[#This Row],[زمان آخرین رفع توقف قبل از توقف فعلی]]="","",(Table1[[#This Row],[زمان توقف]]-Table1[[#This Row],[زمان آخرین رفع توقف قبل از توقف فعلی]])/60)</f>
        <v>983.58333333333337</v>
      </c>
      <c r="AF9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737980515</v>
      </c>
    </row>
    <row r="98" spans="1:32">
      <c r="A98" s="36">
        <v>99</v>
      </c>
      <c r="B98" s="36" t="s">
        <v>98</v>
      </c>
      <c r="C98" s="36" t="s">
        <v>881</v>
      </c>
      <c r="D98" s="36" t="s">
        <v>905</v>
      </c>
      <c r="E98" s="85" t="s">
        <v>91</v>
      </c>
      <c r="F98" s="36" t="s">
        <v>12</v>
      </c>
      <c r="G98" s="56" t="s">
        <v>947</v>
      </c>
      <c r="H98" s="53">
        <v>0.56944444444444442</v>
      </c>
      <c r="I98" s="6" t="str">
        <f>LEFT(Table1[[#This Row],[تاریخ توقف]],4)</f>
        <v>1404</v>
      </c>
      <c r="J98" s="6" t="str">
        <f>VLOOKUP(Table1[[#This Row],[ماه توقف]],Table2[],3,0)</f>
        <v>بهار</v>
      </c>
      <c r="K98" s="3">
        <f>_xlfn.NUMBERVALUE(RIGHT(LEFT(Table1[[#This Row],[تاریخ توقف]],7),2))</f>
        <v>3</v>
      </c>
      <c r="L98" s="3" t="str">
        <f>RIGHT(LEFT(Table1[[#This Row],[تاریخ توقف]],10),2)</f>
        <v>06</v>
      </c>
      <c r="M98" s="3">
        <f>HOUR(Table1[[#This Row],[زمان شروع توقف]])</f>
        <v>13</v>
      </c>
      <c r="N98" s="3">
        <f>MINUTE(Table1[[#This Row],[زمان شروع توقف]])</f>
        <v>40</v>
      </c>
      <c r="O98" s="3">
        <f>((Table1[[#This Row],[سال توقف]]*365+IF(Table1[[#This Row],[ماه توقف]]&lt;7,(Table1[[#This Row],[ماه توقف]]-1)*31,6*31+(Table1[[#This Row],[ماه توقف]]-6-1)*30)+(Table1[[#This Row],[روز توقف]])-1)*24+Table1[[#This Row],[ساعت توقف2]])*60+Table1[[#This Row],[دقیقه توقف]]</f>
        <v>738039700</v>
      </c>
      <c r="P98" s="56" t="s">
        <v>947</v>
      </c>
      <c r="Q98" s="53">
        <v>0.78333333333333333</v>
      </c>
      <c r="R98" s="3" t="str">
        <f>LEFT(Table1[[#This Row],[تاریخ پایان توقف]],4)</f>
        <v>1404</v>
      </c>
      <c r="S98" s="3" t="str">
        <f>_xlfn.IFNA(VLOOKUP(Table1[[#This Row],[ماه رفع توقف]],Table2[],3,0),"در حال تعمیر")</f>
        <v>بهار</v>
      </c>
      <c r="T98" s="3">
        <f>_xlfn.NUMBERVALUE(RIGHT(LEFT(Table1[[#This Row],[تاریخ پایان توقف]],7),2))</f>
        <v>3</v>
      </c>
      <c r="U98" s="3" t="str">
        <f>RIGHT(LEFT(Table1[[#This Row],[تاریخ پایان توقف]],10),2)</f>
        <v>06</v>
      </c>
      <c r="V98" s="3">
        <f>HOUR(Table1[[#This Row],[زمان پایان توقف]])</f>
        <v>18</v>
      </c>
      <c r="W98" s="3">
        <f>MINUTE(Table1[[#This Row],[زمان پایان توقف]])</f>
        <v>48</v>
      </c>
      <c r="X9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738040008</v>
      </c>
      <c r="Y98" s="44" t="s">
        <v>962</v>
      </c>
      <c r="Z98" s="83">
        <f>IFERROR((IF(Table1[[#This Row],[تاریخ پایان توقف]]&lt;&gt;"",Table1[[#This Row],[زمان رفع توقف]]-Table1[[#This Row],[زمان توقف]],"")/60),"")</f>
        <v>5.1333333333333337</v>
      </c>
      <c r="AA98" s="3">
        <f>VLOOKUP(E98,Table4[],4,0)</f>
        <v>24</v>
      </c>
      <c r="AB98" s="3">
        <f>VLOOKUP(E98,Table4[],5,0)</f>
        <v>0.2</v>
      </c>
      <c r="AC98" s="3">
        <v>360</v>
      </c>
      <c r="AD98" s="3">
        <f>VLOOKUP(E98,Table4[],7,0)</f>
        <v>720</v>
      </c>
      <c r="AE98" s="83">
        <f>IF(Table1[[#This Row],[زمان آخرین رفع توقف قبل از توقف فعلی]]="","",(Table1[[#This Row],[زمان توقف]]-Table1[[#This Row],[زمان آخرین رفع توقف قبل از توقف فعلی]])/60)</f>
        <v>349.8</v>
      </c>
      <c r="AF9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738018712</v>
      </c>
    </row>
    <row r="99" spans="1:32">
      <c r="A99" s="36">
        <v>100</v>
      </c>
      <c r="B99" s="36" t="s">
        <v>98</v>
      </c>
      <c r="C99" s="36" t="s">
        <v>185</v>
      </c>
      <c r="D99" s="36" t="s">
        <v>106</v>
      </c>
      <c r="E99" s="86" t="s">
        <v>107</v>
      </c>
      <c r="F99" s="36" t="s">
        <v>12</v>
      </c>
      <c r="G99" s="56" t="s">
        <v>947</v>
      </c>
      <c r="H99" s="53">
        <v>0.48055555555555557</v>
      </c>
      <c r="I99" s="6" t="str">
        <f>LEFT(Table1[[#This Row],[تاریخ توقف]],4)</f>
        <v>1404</v>
      </c>
      <c r="J99" s="6" t="str">
        <f>VLOOKUP(Table1[[#This Row],[ماه توقف]],Table2[],3,0)</f>
        <v>بهار</v>
      </c>
      <c r="K99" s="3">
        <f>_xlfn.NUMBERVALUE(RIGHT(LEFT(Table1[[#This Row],[تاریخ توقف]],7),2))</f>
        <v>3</v>
      </c>
      <c r="L99" s="3" t="str">
        <f>RIGHT(LEFT(Table1[[#This Row],[تاریخ توقف]],10),2)</f>
        <v>06</v>
      </c>
      <c r="M99" s="3">
        <f>HOUR(Table1[[#This Row],[زمان شروع توقف]])</f>
        <v>11</v>
      </c>
      <c r="N99" s="3">
        <f>MINUTE(Table1[[#This Row],[زمان شروع توقف]])</f>
        <v>32</v>
      </c>
      <c r="O99" s="3">
        <f>((Table1[[#This Row],[سال توقف]]*365+IF(Table1[[#This Row],[ماه توقف]]&lt;7,(Table1[[#This Row],[ماه توقف]]-1)*31,6*31+(Table1[[#This Row],[ماه توقف]]-6-1)*30)+(Table1[[#This Row],[روز توقف]])-1)*24+Table1[[#This Row],[ساعت توقف2]])*60+Table1[[#This Row],[دقیقه توقف]]</f>
        <v>738039572</v>
      </c>
      <c r="P99" s="56" t="s">
        <v>948</v>
      </c>
      <c r="Q99" s="53">
        <v>0.78541666666666676</v>
      </c>
      <c r="R99" s="3" t="str">
        <f>LEFT(Table1[[#This Row],[تاریخ پایان توقف]],4)</f>
        <v>1404</v>
      </c>
      <c r="S99" s="3" t="str">
        <f>_xlfn.IFNA(VLOOKUP(Table1[[#This Row],[ماه رفع توقف]],Table2[],3,0),"در حال تعمیر")</f>
        <v>بهار</v>
      </c>
      <c r="T99" s="3">
        <f>_xlfn.NUMBERVALUE(RIGHT(LEFT(Table1[[#This Row],[تاریخ پایان توقف]],7),2))</f>
        <v>3</v>
      </c>
      <c r="U99" s="3" t="str">
        <f>RIGHT(LEFT(Table1[[#This Row],[تاریخ پایان توقف]],10),2)</f>
        <v>07</v>
      </c>
      <c r="V99" s="3">
        <f>HOUR(Table1[[#This Row],[زمان پایان توقف]])</f>
        <v>18</v>
      </c>
      <c r="W99" s="3">
        <f>MINUTE(Table1[[#This Row],[زمان پایان توقف]])</f>
        <v>51</v>
      </c>
      <c r="X9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738041451</v>
      </c>
      <c r="Y99" s="44" t="s">
        <v>963</v>
      </c>
      <c r="Z99" s="83">
        <f>IFERROR((IF(Table1[[#This Row],[تاریخ پایان توقف]]&lt;&gt;"",Table1[[#This Row],[زمان رفع توقف]]-Table1[[#This Row],[زمان توقف]],"")/60),"")</f>
        <v>31.316666666666666</v>
      </c>
      <c r="AA99" s="3">
        <f>VLOOKUP(E99,Table4[],4,0)</f>
        <v>24</v>
      </c>
      <c r="AB99" s="3">
        <f>VLOOKUP(E99,Table4[],5,0)</f>
        <v>0.2</v>
      </c>
      <c r="AC99" s="3">
        <v>360</v>
      </c>
      <c r="AD99" s="3">
        <f>VLOOKUP(E99,Table4[],7,0)</f>
        <v>720</v>
      </c>
      <c r="AE99" s="83">
        <f>IF(Table1[[#This Row],[زمان آخرین رفع توقف قبل از توقف فعلی]]="","",(Table1[[#This Row],[زمان توقف]]-Table1[[#This Row],[زمان آخرین رفع توقف قبل از توقف فعلی]])/60)</f>
        <v>408.1</v>
      </c>
      <c r="AF9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738015086</v>
      </c>
    </row>
    <row r="100" spans="1:32">
      <c r="A100" s="36">
        <v>101</v>
      </c>
      <c r="B100" s="36" t="s">
        <v>98</v>
      </c>
      <c r="C100" s="36" t="s">
        <v>116</v>
      </c>
      <c r="D100" s="36" t="s">
        <v>115</v>
      </c>
      <c r="E100" s="86" t="s">
        <v>117</v>
      </c>
      <c r="F100" s="36" t="s">
        <v>12</v>
      </c>
      <c r="G100" s="56" t="s">
        <v>948</v>
      </c>
      <c r="H100" s="53">
        <v>0.59722222222222221</v>
      </c>
      <c r="I100" s="6" t="str">
        <f>LEFT(Table1[[#This Row],[تاریخ توقف]],4)</f>
        <v>1404</v>
      </c>
      <c r="J100" s="6" t="str">
        <f>VLOOKUP(Table1[[#This Row],[ماه توقف]],Table2[],3,0)</f>
        <v>بهار</v>
      </c>
      <c r="K100" s="3">
        <f>_xlfn.NUMBERVALUE(RIGHT(LEFT(Table1[[#This Row],[تاریخ توقف]],7),2))</f>
        <v>3</v>
      </c>
      <c r="L100" s="3" t="str">
        <f>RIGHT(LEFT(Table1[[#This Row],[تاریخ توقف]],10),2)</f>
        <v>07</v>
      </c>
      <c r="M100" s="3">
        <f>HOUR(Table1[[#This Row],[زمان شروع توقف]])</f>
        <v>14</v>
      </c>
      <c r="N100" s="3">
        <f>MINUTE(Table1[[#This Row],[زمان شروع توقف]])</f>
        <v>20</v>
      </c>
      <c r="O100" s="3">
        <f>((Table1[[#This Row],[سال توقف]]*365+IF(Table1[[#This Row],[ماه توقف]]&lt;7,(Table1[[#This Row],[ماه توقف]]-1)*31,6*31+(Table1[[#This Row],[ماه توقف]]-6-1)*30)+(Table1[[#This Row],[روز توقف]])-1)*24+Table1[[#This Row],[ساعت توقف2]])*60+Table1[[#This Row],[دقیقه توقف]]</f>
        <v>738041180</v>
      </c>
      <c r="P100" s="56" t="s">
        <v>948</v>
      </c>
      <c r="Q100" s="53">
        <v>0.65625</v>
      </c>
      <c r="R100" s="3" t="str">
        <f>LEFT(Table1[[#This Row],[تاریخ پایان توقف]],4)</f>
        <v>1404</v>
      </c>
      <c r="S100" s="3" t="str">
        <f>_xlfn.IFNA(VLOOKUP(Table1[[#This Row],[ماه رفع توقف]],Table2[],3,0),"در حال تعمیر")</f>
        <v>بهار</v>
      </c>
      <c r="T100" s="3">
        <f>_xlfn.NUMBERVALUE(RIGHT(LEFT(Table1[[#This Row],[تاریخ پایان توقف]],7),2))</f>
        <v>3</v>
      </c>
      <c r="U100" s="3" t="str">
        <f>RIGHT(LEFT(Table1[[#This Row],[تاریخ پایان توقف]],10),2)</f>
        <v>07</v>
      </c>
      <c r="V100" s="3">
        <f>HOUR(Table1[[#This Row],[زمان پایان توقف]])</f>
        <v>15</v>
      </c>
      <c r="W100" s="3">
        <f>MINUTE(Table1[[#This Row],[زمان پایان توقف]])</f>
        <v>45</v>
      </c>
      <c r="X10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738041265</v>
      </c>
      <c r="Y100" s="44" t="s">
        <v>964</v>
      </c>
      <c r="Z100" s="83">
        <f>IFERROR((IF(Table1[[#This Row],[تاریخ پایان توقف]]&lt;&gt;"",Table1[[#This Row],[زمان رفع توقف]]-Table1[[#This Row],[زمان توقف]],"")/60),"")</f>
        <v>1.4166666666666667</v>
      </c>
      <c r="AA100" s="3">
        <f>VLOOKUP(E100,Table4[],4,0)</f>
        <v>24</v>
      </c>
      <c r="AB100" s="3">
        <f>VLOOKUP(E100,Table4[],5,0)</f>
        <v>0.2</v>
      </c>
      <c r="AC100" s="3">
        <v>360</v>
      </c>
      <c r="AD100" s="3">
        <f>VLOOKUP(E100,Table4[],7,0)</f>
        <v>720</v>
      </c>
      <c r="AE100" s="83">
        <f>IF(Table1[[#This Row],[زمان آخرین رفع توقف قبل از توقف فعلی]]="","",(Table1[[#This Row],[زمان توقف]]-Table1[[#This Row],[زمان آخرین رفع توقف قبل از توقف فعلی]])/60)</f>
        <v>337.58333333333331</v>
      </c>
      <c r="AF10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738020925</v>
      </c>
    </row>
    <row r="101" spans="1:32">
      <c r="A101" s="36">
        <v>102</v>
      </c>
      <c r="B101" s="36" t="s">
        <v>98</v>
      </c>
      <c r="C101" s="36" t="s">
        <v>129</v>
      </c>
      <c r="D101" s="36" t="s">
        <v>128</v>
      </c>
      <c r="E101" s="86" t="s">
        <v>130</v>
      </c>
      <c r="F101" s="36" t="s">
        <v>12</v>
      </c>
      <c r="G101" s="56" t="s">
        <v>948</v>
      </c>
      <c r="H101" s="53">
        <v>0.77916666666666667</v>
      </c>
      <c r="I101" s="6" t="str">
        <f>LEFT(Table1[[#This Row],[تاریخ توقف]],4)</f>
        <v>1404</v>
      </c>
      <c r="J101" s="6" t="str">
        <f>VLOOKUP(Table1[[#This Row],[ماه توقف]],Table2[],3,0)</f>
        <v>بهار</v>
      </c>
      <c r="K101" s="3">
        <f>_xlfn.NUMBERVALUE(RIGHT(LEFT(Table1[[#This Row],[تاریخ توقف]],7),2))</f>
        <v>3</v>
      </c>
      <c r="L101" s="3" t="str">
        <f>RIGHT(LEFT(Table1[[#This Row],[تاریخ توقف]],10),2)</f>
        <v>07</v>
      </c>
      <c r="M101" s="3">
        <f>HOUR(Table1[[#This Row],[زمان شروع توقف]])</f>
        <v>18</v>
      </c>
      <c r="N101" s="3">
        <f>MINUTE(Table1[[#This Row],[زمان شروع توقف]])</f>
        <v>42</v>
      </c>
      <c r="O101" s="3">
        <f>((Table1[[#This Row],[سال توقف]]*365+IF(Table1[[#This Row],[ماه توقف]]&lt;7,(Table1[[#This Row],[ماه توقف]]-1)*31,6*31+(Table1[[#This Row],[ماه توقف]]-6-1)*30)+(Table1[[#This Row],[روز توقف]])-1)*24+Table1[[#This Row],[ساعت توقف2]])*60+Table1[[#This Row],[دقیقه توقف]]</f>
        <v>738041442</v>
      </c>
      <c r="P101" s="56" t="s">
        <v>949</v>
      </c>
      <c r="Q101" s="53">
        <v>0.77777777777777779</v>
      </c>
      <c r="R101" s="3" t="str">
        <f>LEFT(Table1[[#This Row],[تاریخ پایان توقف]],4)</f>
        <v>1404</v>
      </c>
      <c r="S101" s="3" t="str">
        <f>_xlfn.IFNA(VLOOKUP(Table1[[#This Row],[ماه رفع توقف]],Table2[],3,0),"در حال تعمیر")</f>
        <v>بهار</v>
      </c>
      <c r="T101" s="3">
        <f>_xlfn.NUMBERVALUE(RIGHT(LEFT(Table1[[#This Row],[تاریخ پایان توقف]],7),2))</f>
        <v>3</v>
      </c>
      <c r="U101" s="3" t="str">
        <f>RIGHT(LEFT(Table1[[#This Row],[تاریخ پایان توقف]],10),2)</f>
        <v>08</v>
      </c>
      <c r="V101" s="3">
        <f>HOUR(Table1[[#This Row],[زمان پایان توقف]])</f>
        <v>18</v>
      </c>
      <c r="W101" s="3">
        <f>MINUTE(Table1[[#This Row],[زمان پایان توقف]])</f>
        <v>40</v>
      </c>
      <c r="X10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738042880</v>
      </c>
      <c r="Y101" s="44" t="s">
        <v>965</v>
      </c>
      <c r="Z101" s="83">
        <f>IFERROR((IF(Table1[[#This Row],[تاریخ پایان توقف]]&lt;&gt;"",Table1[[#This Row],[زمان رفع توقف]]-Table1[[#This Row],[زمان توقف]],"")/60),"")</f>
        <v>23.966666666666665</v>
      </c>
      <c r="AA101" s="3">
        <f>VLOOKUP(E101,Table4[],4,0)</f>
        <v>24</v>
      </c>
      <c r="AB101" s="3">
        <f>VLOOKUP(E101,Table4[],5,0)</f>
        <v>0.2</v>
      </c>
      <c r="AC101" s="3">
        <v>360</v>
      </c>
      <c r="AD101" s="3">
        <f>VLOOKUP(E101,Table4[],7,0)</f>
        <v>720</v>
      </c>
      <c r="AE101" s="83">
        <f>IF(Table1[[#This Row],[زمان آخرین رفع توقف قبل از توقف فعلی]]="","",(Table1[[#This Row],[زمان توقف]]-Table1[[#This Row],[زمان آخرین رفع توقف قبل از توقف فعلی]])/60)</f>
        <v>66.433333333333337</v>
      </c>
      <c r="AF10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738037456</v>
      </c>
    </row>
    <row r="102" spans="1:32" ht="30">
      <c r="A102" s="36">
        <v>103</v>
      </c>
      <c r="B102" s="36" t="s">
        <v>97</v>
      </c>
      <c r="C102" s="36" t="s">
        <v>113</v>
      </c>
      <c r="D102" s="36" t="s">
        <v>41</v>
      </c>
      <c r="E102" s="85" t="s">
        <v>64</v>
      </c>
      <c r="F102" s="36" t="s">
        <v>12</v>
      </c>
      <c r="G102" s="58" t="s">
        <v>949</v>
      </c>
      <c r="H102" s="54">
        <v>0.31666666666666665</v>
      </c>
      <c r="I102" s="6" t="str">
        <f>LEFT(Table1[[#This Row],[تاریخ توقف]],4)</f>
        <v>1404</v>
      </c>
      <c r="J102" s="6" t="str">
        <f>VLOOKUP(Table1[[#This Row],[ماه توقف]],Table2[],3,0)</f>
        <v>بهار</v>
      </c>
      <c r="K102" s="3">
        <f>_xlfn.NUMBERVALUE(RIGHT(LEFT(Table1[[#This Row],[تاریخ توقف]],7),2))</f>
        <v>3</v>
      </c>
      <c r="L102" s="3" t="str">
        <f>RIGHT(LEFT(Table1[[#This Row],[تاریخ توقف]],10),2)</f>
        <v>08</v>
      </c>
      <c r="M102" s="3">
        <f>HOUR(Table1[[#This Row],[زمان شروع توقف]])</f>
        <v>7</v>
      </c>
      <c r="N102" s="3">
        <f>MINUTE(Table1[[#This Row],[زمان شروع توقف]])</f>
        <v>36</v>
      </c>
      <c r="O102" s="3">
        <f>((Table1[[#This Row],[سال توقف]]*365+IF(Table1[[#This Row],[ماه توقف]]&lt;7,(Table1[[#This Row],[ماه توقف]]-1)*31,6*31+(Table1[[#This Row],[ماه توقف]]-6-1)*30)+(Table1[[#This Row],[روز توقف]])-1)*24+Table1[[#This Row],[ساعت توقف2]])*60+Table1[[#This Row],[دقیقه توقف]]</f>
        <v>738042216</v>
      </c>
      <c r="P102" s="58" t="s">
        <v>949</v>
      </c>
      <c r="Q102" s="54">
        <v>0.4201388888888889</v>
      </c>
      <c r="R102" s="3" t="str">
        <f>LEFT(Table1[[#This Row],[تاریخ پایان توقف]],4)</f>
        <v>1404</v>
      </c>
      <c r="S102" s="3" t="str">
        <f>_xlfn.IFNA(VLOOKUP(Table1[[#This Row],[ماه رفع توقف]],Table2[],3,0),"در حال تعمیر")</f>
        <v>بهار</v>
      </c>
      <c r="T102" s="3">
        <f>_xlfn.NUMBERVALUE(RIGHT(LEFT(Table1[[#This Row],[تاریخ پایان توقف]],7),2))</f>
        <v>3</v>
      </c>
      <c r="U102" s="3" t="str">
        <f>RIGHT(LEFT(Table1[[#This Row],[تاریخ پایان توقف]],10),2)</f>
        <v>08</v>
      </c>
      <c r="V102" s="3">
        <f>HOUR(Table1[[#This Row],[زمان پایان توقف]])</f>
        <v>10</v>
      </c>
      <c r="W102" s="3">
        <f>MINUTE(Table1[[#This Row],[زمان پایان توقف]])</f>
        <v>5</v>
      </c>
      <c r="X10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738042365</v>
      </c>
      <c r="Y102" s="49" t="s">
        <v>966</v>
      </c>
      <c r="Z102" s="83">
        <f>IFERROR((IF(Table1[[#This Row],[تاریخ پایان توقف]]&lt;&gt;"",Table1[[#This Row],[زمان رفع توقف]]-Table1[[#This Row],[زمان توقف]],"")/60),"")</f>
        <v>2.4833333333333334</v>
      </c>
      <c r="AA102" s="3">
        <f>VLOOKUP(E102,Table4[],4,0)</f>
        <v>24</v>
      </c>
      <c r="AB102" s="3">
        <f>VLOOKUP(E102,Table4[],5,0)</f>
        <v>0.2</v>
      </c>
      <c r="AC102" s="3">
        <v>360</v>
      </c>
      <c r="AD102" s="3">
        <f>VLOOKUP(E102,Table4[],7,0)</f>
        <v>720</v>
      </c>
      <c r="AE102" s="83">
        <f>IF(Table1[[#This Row],[زمان آخرین رفع توقف قبل از توقف فعلی]]="","",(Table1[[#This Row],[زمان توقف]]-Table1[[#This Row],[زمان آخرین رفع توقف قبل از توقف فعلی]])/60)</f>
        <v>4124.5166666666664</v>
      </c>
      <c r="AF10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737794745</v>
      </c>
    </row>
    <row r="103" spans="1:32">
      <c r="A103" s="36">
        <v>104</v>
      </c>
      <c r="B103" s="36" t="s">
        <v>97</v>
      </c>
      <c r="C103" s="36" t="s">
        <v>942</v>
      </c>
      <c r="D103" s="36" t="s">
        <v>38</v>
      </c>
      <c r="E103" s="85" t="s">
        <v>60</v>
      </c>
      <c r="F103" s="36" t="s">
        <v>12</v>
      </c>
      <c r="G103" s="56" t="s">
        <v>949</v>
      </c>
      <c r="H103" s="53">
        <v>0.31736111111111115</v>
      </c>
      <c r="I103" s="6" t="str">
        <f>LEFT(Table1[[#This Row],[تاریخ توقف]],4)</f>
        <v>1404</v>
      </c>
      <c r="J103" s="6" t="str">
        <f>VLOOKUP(Table1[[#This Row],[ماه توقف]],Table2[],3,0)</f>
        <v>بهار</v>
      </c>
      <c r="K103" s="3">
        <f>_xlfn.NUMBERVALUE(RIGHT(LEFT(Table1[[#This Row],[تاریخ توقف]],7),2))</f>
        <v>3</v>
      </c>
      <c r="L103" s="3" t="str">
        <f>RIGHT(LEFT(Table1[[#This Row],[تاریخ توقف]],10),2)</f>
        <v>08</v>
      </c>
      <c r="M103" s="3">
        <f>HOUR(Table1[[#This Row],[زمان شروع توقف]])</f>
        <v>7</v>
      </c>
      <c r="N103" s="3">
        <f>MINUTE(Table1[[#This Row],[زمان شروع توقف]])</f>
        <v>37</v>
      </c>
      <c r="O103" s="3">
        <f>((Table1[[#This Row],[سال توقف]]*365+IF(Table1[[#This Row],[ماه توقف]]&lt;7,(Table1[[#This Row],[ماه توقف]]-1)*31,6*31+(Table1[[#This Row],[ماه توقف]]-6-1)*30)+(Table1[[#This Row],[روز توقف]])-1)*24+Table1[[#This Row],[ساعت توقف2]])*60+Table1[[#This Row],[دقیقه توقف]]</f>
        <v>738042217</v>
      </c>
      <c r="P103" s="56" t="s">
        <v>949</v>
      </c>
      <c r="Q103" s="53">
        <v>0.35138888888888892</v>
      </c>
      <c r="R103" s="3" t="str">
        <f>LEFT(Table1[[#This Row],[تاریخ پایان توقف]],4)</f>
        <v>1404</v>
      </c>
      <c r="S103" s="3" t="str">
        <f>_xlfn.IFNA(VLOOKUP(Table1[[#This Row],[ماه رفع توقف]],Table2[],3,0),"در حال تعمیر")</f>
        <v>بهار</v>
      </c>
      <c r="T103" s="3">
        <f>_xlfn.NUMBERVALUE(RIGHT(LEFT(Table1[[#This Row],[تاریخ پایان توقف]],7),2))</f>
        <v>3</v>
      </c>
      <c r="U103" s="3" t="str">
        <f>RIGHT(LEFT(Table1[[#This Row],[تاریخ پایان توقف]],10),2)</f>
        <v>08</v>
      </c>
      <c r="V103" s="3">
        <f>HOUR(Table1[[#This Row],[زمان پایان توقف]])</f>
        <v>8</v>
      </c>
      <c r="W103" s="3">
        <f>MINUTE(Table1[[#This Row],[زمان پایان توقف]])</f>
        <v>26</v>
      </c>
      <c r="X10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738042266</v>
      </c>
      <c r="Y103" s="44" t="s">
        <v>967</v>
      </c>
      <c r="Z103" s="83">
        <f>IFERROR((IF(Table1[[#This Row],[تاریخ پایان توقف]]&lt;&gt;"",Table1[[#This Row],[زمان رفع توقف]]-Table1[[#This Row],[زمان توقف]],"")/60),"")</f>
        <v>0.81666666666666665</v>
      </c>
      <c r="AA103" s="3">
        <f>VLOOKUP(E103,Table4[],4,0)</f>
        <v>24</v>
      </c>
      <c r="AB103" s="3">
        <f>VLOOKUP(E103,Table4[],5,0)</f>
        <v>0.2</v>
      </c>
      <c r="AC103" s="3">
        <v>360</v>
      </c>
      <c r="AD103" s="3">
        <f>VLOOKUP(E103,Table4[],7,0)</f>
        <v>720</v>
      </c>
      <c r="AE103" s="83" t="str">
        <f>IF(Table1[[#This Row],[زمان آخرین رفع توقف قبل از توقف فعلی]]="","",(Table1[[#This Row],[زمان توقف]]-Table1[[#This Row],[زمان آخرین رفع توقف قبل از توقف فعلی]])/60)</f>
        <v/>
      </c>
      <c r="AF103"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04" spans="1:32">
      <c r="A104" s="36">
        <v>105</v>
      </c>
      <c r="B104" s="36" t="s">
        <v>98</v>
      </c>
      <c r="C104" s="36" t="s">
        <v>121</v>
      </c>
      <c r="D104" s="36" t="s">
        <v>120</v>
      </c>
      <c r="E104" s="86" t="s">
        <v>122</v>
      </c>
      <c r="F104" s="36" t="s">
        <v>12</v>
      </c>
      <c r="G104" s="56" t="s">
        <v>950</v>
      </c>
      <c r="H104" s="53">
        <v>6.2499999999999995E-3</v>
      </c>
      <c r="I104" s="6" t="str">
        <f>LEFT(Table1[[#This Row],[تاریخ توقف]],4)</f>
        <v>1404</v>
      </c>
      <c r="J104" s="6" t="str">
        <f>VLOOKUP(Table1[[#This Row],[ماه توقف]],Table2[],3,0)</f>
        <v>بهار</v>
      </c>
      <c r="K104" s="3">
        <f>_xlfn.NUMBERVALUE(RIGHT(LEFT(Table1[[#This Row],[تاریخ توقف]],7),2))</f>
        <v>3</v>
      </c>
      <c r="L104" s="3" t="str">
        <f>RIGHT(LEFT(Table1[[#This Row],[تاریخ توقف]],10),2)</f>
        <v>09</v>
      </c>
      <c r="M104" s="3">
        <f>HOUR(Table1[[#This Row],[زمان شروع توقف]])</f>
        <v>0</v>
      </c>
      <c r="N104" s="3">
        <f>MINUTE(Table1[[#This Row],[زمان شروع توقف]])</f>
        <v>9</v>
      </c>
      <c r="O104" s="3">
        <f>((Table1[[#This Row],[سال توقف]]*365+IF(Table1[[#This Row],[ماه توقف]]&lt;7,(Table1[[#This Row],[ماه توقف]]-1)*31,6*31+(Table1[[#This Row],[ماه توقف]]-6-1)*30)+(Table1[[#This Row],[روز توقف]])-1)*24+Table1[[#This Row],[ساعت توقف2]])*60+Table1[[#This Row],[دقیقه توقف]]</f>
        <v>738043209</v>
      </c>
      <c r="P104" s="56" t="s">
        <v>951</v>
      </c>
      <c r="Q104" s="53">
        <v>0.4375</v>
      </c>
      <c r="R104" s="3" t="str">
        <f>LEFT(Table1[[#This Row],[تاریخ پایان توقف]],4)</f>
        <v>1404</v>
      </c>
      <c r="S104" s="3" t="str">
        <f>_xlfn.IFNA(VLOOKUP(Table1[[#This Row],[ماه رفع توقف]],Table2[],3,0),"در حال تعمیر")</f>
        <v>بهار</v>
      </c>
      <c r="T104" s="3">
        <f>_xlfn.NUMBERVALUE(RIGHT(LEFT(Table1[[#This Row],[تاریخ پایان توقف]],7),2))</f>
        <v>3</v>
      </c>
      <c r="U104" s="3" t="str">
        <f>RIGHT(LEFT(Table1[[#This Row],[تاریخ پایان توقف]],10),2)</f>
        <v>10</v>
      </c>
      <c r="V104" s="3">
        <f>HOUR(Table1[[#This Row],[زمان پایان توقف]])</f>
        <v>10</v>
      </c>
      <c r="W104" s="3">
        <f>MINUTE(Table1[[#This Row],[زمان پایان توقف]])</f>
        <v>30</v>
      </c>
      <c r="X10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738045270</v>
      </c>
      <c r="Y104" s="44" t="s">
        <v>968</v>
      </c>
      <c r="Z104" s="83">
        <f>IFERROR((IF(Table1[[#This Row],[تاریخ پایان توقف]]&lt;&gt;"",Table1[[#This Row],[زمان رفع توقف]]-Table1[[#This Row],[زمان توقف]],"")/60),"")</f>
        <v>34.35</v>
      </c>
      <c r="AA104" s="3">
        <f>VLOOKUP(E104,Table4[],4,0)</f>
        <v>24</v>
      </c>
      <c r="AB104" s="3">
        <f>VLOOKUP(E104,Table4[],5,0)</f>
        <v>0.2</v>
      </c>
      <c r="AC104" s="3">
        <v>360</v>
      </c>
      <c r="AD104" s="3">
        <f>VLOOKUP(E104,Table4[],7,0)</f>
        <v>720</v>
      </c>
      <c r="AE104" s="83">
        <f>IF(Table1[[#This Row],[زمان آخرین رفع توقف قبل از توقف فعلی]]="","",(Table1[[#This Row],[زمان توقف]]-Table1[[#This Row],[زمان آخرین رفع توقف قبل از توقف فعلی]])/60)</f>
        <v>293.68333333333334</v>
      </c>
      <c r="AF10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738025588</v>
      </c>
    </row>
    <row r="105" spans="1:32">
      <c r="A105" s="36">
        <v>106</v>
      </c>
      <c r="B105" s="36" t="s">
        <v>98</v>
      </c>
      <c r="C105" s="36" t="s">
        <v>185</v>
      </c>
      <c r="D105" s="36" t="s">
        <v>106</v>
      </c>
      <c r="E105" s="86" t="s">
        <v>107</v>
      </c>
      <c r="F105" s="36" t="s">
        <v>12</v>
      </c>
      <c r="G105" s="56" t="s">
        <v>951</v>
      </c>
      <c r="H105" s="53">
        <v>0.47916666666666669</v>
      </c>
      <c r="I105" s="6" t="str">
        <f>LEFT(Table1[[#This Row],[تاریخ توقف]],4)</f>
        <v>1404</v>
      </c>
      <c r="J105" s="6" t="str">
        <f>VLOOKUP(Table1[[#This Row],[ماه توقف]],Table2[],3,0)</f>
        <v>بهار</v>
      </c>
      <c r="K105" s="3">
        <f>_xlfn.NUMBERVALUE(RIGHT(LEFT(Table1[[#This Row],[تاریخ توقف]],7),2))</f>
        <v>3</v>
      </c>
      <c r="L105" s="3" t="str">
        <f>RIGHT(LEFT(Table1[[#This Row],[تاریخ توقف]],10),2)</f>
        <v>10</v>
      </c>
      <c r="M105" s="3">
        <f>HOUR(Table1[[#This Row],[زمان شروع توقف]])</f>
        <v>11</v>
      </c>
      <c r="N105" s="3">
        <f>MINUTE(Table1[[#This Row],[زمان شروع توقف]])</f>
        <v>30</v>
      </c>
      <c r="O105" s="3">
        <f>((Table1[[#This Row],[سال توقف]]*365+IF(Table1[[#This Row],[ماه توقف]]&lt;7,(Table1[[#This Row],[ماه توقف]]-1)*31,6*31+(Table1[[#This Row],[ماه توقف]]-6-1)*30)+(Table1[[#This Row],[روز توقف]])-1)*24+Table1[[#This Row],[ساعت توقف2]])*60+Table1[[#This Row],[دقیقه توقف]]</f>
        <v>738045330</v>
      </c>
      <c r="P105" s="56" t="s">
        <v>951</v>
      </c>
      <c r="Q105" s="53">
        <v>0.48888888888888887</v>
      </c>
      <c r="R105" s="3" t="str">
        <f>LEFT(Table1[[#This Row],[تاریخ پایان توقف]],4)</f>
        <v>1404</v>
      </c>
      <c r="S105" s="3" t="str">
        <f>_xlfn.IFNA(VLOOKUP(Table1[[#This Row],[ماه رفع توقف]],Table2[],3,0),"در حال تعمیر")</f>
        <v>بهار</v>
      </c>
      <c r="T105" s="3">
        <f>_xlfn.NUMBERVALUE(RIGHT(LEFT(Table1[[#This Row],[تاریخ پایان توقف]],7),2))</f>
        <v>3</v>
      </c>
      <c r="U105" s="3" t="str">
        <f>RIGHT(LEFT(Table1[[#This Row],[تاریخ پایان توقف]],10),2)</f>
        <v>10</v>
      </c>
      <c r="V105" s="3">
        <f>HOUR(Table1[[#This Row],[زمان پایان توقف]])</f>
        <v>11</v>
      </c>
      <c r="W105" s="3">
        <f>MINUTE(Table1[[#This Row],[زمان پایان توقف]])</f>
        <v>44</v>
      </c>
      <c r="X10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738045344</v>
      </c>
      <c r="Y105" s="44" t="s">
        <v>969</v>
      </c>
      <c r="Z105" s="83">
        <f>IFERROR((IF(Table1[[#This Row],[تاریخ پایان توقف]]&lt;&gt;"",Table1[[#This Row],[زمان رفع توقف]]-Table1[[#This Row],[زمان توقف]],"")/60),"")</f>
        <v>0.23333333333333334</v>
      </c>
      <c r="AA105" s="3">
        <f>VLOOKUP(E105,Table4[],4,0)</f>
        <v>24</v>
      </c>
      <c r="AB105" s="3">
        <f>VLOOKUP(E105,Table4[],5,0)</f>
        <v>0.2</v>
      </c>
      <c r="AC105" s="3">
        <v>360</v>
      </c>
      <c r="AD105" s="3">
        <f>VLOOKUP(E105,Table4[],7,0)</f>
        <v>720</v>
      </c>
      <c r="AE105" s="83">
        <f>IF(Table1[[#This Row],[زمان آخرین رفع توقف قبل از توقف فعلی]]="","",(Table1[[#This Row],[زمان توقف]]-Table1[[#This Row],[زمان آخرین رفع توقف قبل از توقف فعلی]])/60)</f>
        <v>64.650000000000006</v>
      </c>
      <c r="AF10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738041451</v>
      </c>
    </row>
    <row r="106" spans="1:32">
      <c r="A106" s="36">
        <v>107</v>
      </c>
      <c r="B106" s="36" t="s">
        <v>98</v>
      </c>
      <c r="C106" s="36" t="s">
        <v>116</v>
      </c>
      <c r="D106" s="36" t="s">
        <v>115</v>
      </c>
      <c r="E106" s="86" t="s">
        <v>117</v>
      </c>
      <c r="F106" s="36" t="s">
        <v>12</v>
      </c>
      <c r="G106" s="56" t="s">
        <v>951</v>
      </c>
      <c r="H106" s="53">
        <v>0.49861111111111112</v>
      </c>
      <c r="I106" s="6" t="str">
        <f>LEFT(Table1[[#This Row],[تاریخ توقف]],4)</f>
        <v>1404</v>
      </c>
      <c r="J106" s="6" t="str">
        <f>VLOOKUP(Table1[[#This Row],[ماه توقف]],Table2[],3,0)</f>
        <v>بهار</v>
      </c>
      <c r="K106" s="3">
        <f>_xlfn.NUMBERVALUE(RIGHT(LEFT(Table1[[#This Row],[تاریخ توقف]],7),2))</f>
        <v>3</v>
      </c>
      <c r="L106" s="3" t="str">
        <f>RIGHT(LEFT(Table1[[#This Row],[تاریخ توقف]],10),2)</f>
        <v>10</v>
      </c>
      <c r="M106" s="3">
        <f>HOUR(Table1[[#This Row],[زمان شروع توقف]])</f>
        <v>11</v>
      </c>
      <c r="N106" s="3">
        <f>MINUTE(Table1[[#This Row],[زمان شروع توقف]])</f>
        <v>58</v>
      </c>
      <c r="O106" s="3">
        <f>((Table1[[#This Row],[سال توقف]]*365+IF(Table1[[#This Row],[ماه توقف]]&lt;7,(Table1[[#This Row],[ماه توقف]]-1)*31,6*31+(Table1[[#This Row],[ماه توقف]]-6-1)*30)+(Table1[[#This Row],[روز توقف]])-1)*24+Table1[[#This Row],[ساعت توقف2]])*60+Table1[[#This Row],[دقیقه توقف]]</f>
        <v>738045358</v>
      </c>
      <c r="P106" s="56" t="s">
        <v>951</v>
      </c>
      <c r="Q106" s="53">
        <v>0.50277777777777777</v>
      </c>
      <c r="R106" s="3" t="str">
        <f>LEFT(Table1[[#This Row],[تاریخ پایان توقف]],4)</f>
        <v>1404</v>
      </c>
      <c r="S106" s="3" t="str">
        <f>_xlfn.IFNA(VLOOKUP(Table1[[#This Row],[ماه رفع توقف]],Table2[],3,0),"در حال تعمیر")</f>
        <v>بهار</v>
      </c>
      <c r="T106" s="3">
        <f>_xlfn.NUMBERVALUE(RIGHT(LEFT(Table1[[#This Row],[تاریخ پایان توقف]],7),2))</f>
        <v>3</v>
      </c>
      <c r="U106" s="3" t="str">
        <f>RIGHT(LEFT(Table1[[#This Row],[تاریخ پایان توقف]],10),2)</f>
        <v>10</v>
      </c>
      <c r="V106" s="3">
        <f>HOUR(Table1[[#This Row],[زمان پایان توقف]])</f>
        <v>12</v>
      </c>
      <c r="W106" s="3">
        <f>MINUTE(Table1[[#This Row],[زمان پایان توقف]])</f>
        <v>4</v>
      </c>
      <c r="X10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738045364</v>
      </c>
      <c r="Y106" s="44" t="s">
        <v>969</v>
      </c>
      <c r="Z106" s="83">
        <f>IFERROR((IF(Table1[[#This Row],[تاریخ پایان توقف]]&lt;&gt;"",Table1[[#This Row],[زمان رفع توقف]]-Table1[[#This Row],[زمان توقف]],"")/60),"")</f>
        <v>0.1</v>
      </c>
      <c r="AA106" s="3">
        <f>VLOOKUP(E106,Table4[],4,0)</f>
        <v>24</v>
      </c>
      <c r="AB106" s="3">
        <f>VLOOKUP(E106,Table4[],5,0)</f>
        <v>0.2</v>
      </c>
      <c r="AC106" s="3">
        <v>360</v>
      </c>
      <c r="AD106" s="3">
        <f>VLOOKUP(E106,Table4[],7,0)</f>
        <v>720</v>
      </c>
      <c r="AE106" s="83">
        <f>IF(Table1[[#This Row],[زمان آخرین رفع توقف قبل از توقف فعلی]]="","",(Table1[[#This Row],[زمان توقف]]-Table1[[#This Row],[زمان آخرین رفع توقف قبل از توقف فعلی]])/60)</f>
        <v>68.216666666666669</v>
      </c>
      <c r="AF10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738041265</v>
      </c>
    </row>
    <row r="107" spans="1:32">
      <c r="A107" s="36">
        <v>108</v>
      </c>
      <c r="B107" s="36" t="s">
        <v>98</v>
      </c>
      <c r="C107" s="36" t="s">
        <v>881</v>
      </c>
      <c r="D107" s="36" t="s">
        <v>905</v>
      </c>
      <c r="E107" s="85" t="s">
        <v>91</v>
      </c>
      <c r="F107" s="36" t="s">
        <v>12</v>
      </c>
      <c r="G107" s="56" t="s">
        <v>971</v>
      </c>
      <c r="H107" s="53">
        <v>0.46597222222222223</v>
      </c>
      <c r="I107" s="6" t="str">
        <f>LEFT(Table1[[#This Row],[تاریخ توقف]],4)</f>
        <v>1404</v>
      </c>
      <c r="J107" s="6" t="str">
        <f>VLOOKUP(Table1[[#This Row],[ماه توقف]],Table2[],3,0)</f>
        <v>بهار</v>
      </c>
      <c r="K107" s="3">
        <f>_xlfn.NUMBERVALUE(RIGHT(LEFT(Table1[[#This Row],[تاریخ توقف]],7),2))</f>
        <v>3</v>
      </c>
      <c r="L107" s="3" t="str">
        <f>RIGHT(LEFT(Table1[[#This Row],[تاریخ توقف]],10),2)</f>
        <v>11</v>
      </c>
      <c r="M107" s="3">
        <f>HOUR(Table1[[#This Row],[زمان شروع توقف]])</f>
        <v>11</v>
      </c>
      <c r="N107" s="3">
        <f>MINUTE(Table1[[#This Row],[زمان شروع توقف]])</f>
        <v>11</v>
      </c>
      <c r="O107" s="3">
        <f>((Table1[[#This Row],[سال توقف]]*365+IF(Table1[[#This Row],[ماه توقف]]&lt;7,(Table1[[#This Row],[ماه توقف]]-1)*31,6*31+(Table1[[#This Row],[ماه توقف]]-6-1)*30)+(Table1[[#This Row],[روز توقف]])-1)*24+Table1[[#This Row],[ساعت توقف2]])*60+Table1[[#This Row],[دقیقه توقف]]</f>
        <v>738046751</v>
      </c>
      <c r="P107" s="56" t="s">
        <v>971</v>
      </c>
      <c r="Q107" s="53">
        <v>0.47916666666666669</v>
      </c>
      <c r="R107" s="3" t="str">
        <f>LEFT(Table1[[#This Row],[تاریخ پایان توقف]],4)</f>
        <v>1404</v>
      </c>
      <c r="S107" s="3" t="str">
        <f>_xlfn.IFNA(VLOOKUP(Table1[[#This Row],[ماه رفع توقف]],Table2[],3,0),"در حال تعمیر")</f>
        <v>بهار</v>
      </c>
      <c r="T107" s="3">
        <f>_xlfn.NUMBERVALUE(RIGHT(LEFT(Table1[[#This Row],[تاریخ پایان توقف]],7),2))</f>
        <v>3</v>
      </c>
      <c r="U107" s="3" t="str">
        <f>RIGHT(LEFT(Table1[[#This Row],[تاریخ پایان توقف]],10),2)</f>
        <v>11</v>
      </c>
      <c r="V107" s="3">
        <f>HOUR(Table1[[#This Row],[زمان پایان توقف]])</f>
        <v>11</v>
      </c>
      <c r="W107" s="3">
        <f>MINUTE(Table1[[#This Row],[زمان پایان توقف]])</f>
        <v>30</v>
      </c>
      <c r="X10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738046770</v>
      </c>
      <c r="Y107" s="44" t="s">
        <v>981</v>
      </c>
      <c r="Z107" s="83">
        <f>IFERROR((IF(Table1[[#This Row],[تاریخ پایان توقف]]&lt;&gt;"",Table1[[#This Row],[زمان رفع توقف]]-Table1[[#This Row],[زمان توقف]],"")/60),"")</f>
        <v>0.31666666666666665</v>
      </c>
      <c r="AA107" s="3">
        <f>VLOOKUP(E107,Table4[],4,0)</f>
        <v>24</v>
      </c>
      <c r="AB107" s="3">
        <f>VLOOKUP(E107,Table4[],5,0)</f>
        <v>0.2</v>
      </c>
      <c r="AC107" s="3">
        <v>360</v>
      </c>
      <c r="AD107" s="3">
        <f>VLOOKUP(E107,Table4[],7,0)</f>
        <v>720</v>
      </c>
      <c r="AE107" s="83">
        <f>IF(Table1[[#This Row],[زمان آخرین رفع توقف قبل از توقف فعلی]]="","",(Table1[[#This Row],[زمان توقف]]-Table1[[#This Row],[زمان آخرین رفع توقف قبل از توقف فعلی]])/60)</f>
        <v>112.38333333333334</v>
      </c>
      <c r="AF10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738040008</v>
      </c>
    </row>
    <row r="108" spans="1:32">
      <c r="A108" s="36">
        <v>109</v>
      </c>
      <c r="B108" s="36" t="s">
        <v>98</v>
      </c>
      <c r="C108" s="36" t="s">
        <v>881</v>
      </c>
      <c r="D108" s="36" t="s">
        <v>905</v>
      </c>
      <c r="E108" s="85" t="s">
        <v>91</v>
      </c>
      <c r="F108" s="36" t="s">
        <v>12</v>
      </c>
      <c r="G108" s="56" t="s">
        <v>971</v>
      </c>
      <c r="H108" s="53">
        <v>0.51250000000000007</v>
      </c>
      <c r="I108" s="6" t="str">
        <f>LEFT(Table1[[#This Row],[تاریخ توقف]],4)</f>
        <v>1404</v>
      </c>
      <c r="J108" s="6" t="str">
        <f>VLOOKUP(Table1[[#This Row],[ماه توقف]],Table2[],3,0)</f>
        <v>بهار</v>
      </c>
      <c r="K108" s="3">
        <f>_xlfn.NUMBERVALUE(RIGHT(LEFT(Table1[[#This Row],[تاریخ توقف]],7),2))</f>
        <v>3</v>
      </c>
      <c r="L108" s="3" t="str">
        <f>RIGHT(LEFT(Table1[[#This Row],[تاریخ توقف]],10),2)</f>
        <v>11</v>
      </c>
      <c r="M108" s="3">
        <f>HOUR(Table1[[#This Row],[زمان شروع توقف]])</f>
        <v>12</v>
      </c>
      <c r="N108" s="3">
        <f>MINUTE(Table1[[#This Row],[زمان شروع توقف]])</f>
        <v>18</v>
      </c>
      <c r="O108" s="3">
        <f>((Table1[[#This Row],[سال توقف]]*365+IF(Table1[[#This Row],[ماه توقف]]&lt;7,(Table1[[#This Row],[ماه توقف]]-1)*31,6*31+(Table1[[#This Row],[ماه توقف]]-6-1)*30)+(Table1[[#This Row],[روز توقف]])-1)*24+Table1[[#This Row],[ساعت توقف2]])*60+Table1[[#This Row],[دقیقه توقف]]</f>
        <v>738046818</v>
      </c>
      <c r="P108" s="56" t="s">
        <v>971</v>
      </c>
      <c r="Q108" s="53">
        <v>0.54791666666666672</v>
      </c>
      <c r="R108" s="3" t="str">
        <f>LEFT(Table1[[#This Row],[تاریخ پایان توقف]],4)</f>
        <v>1404</v>
      </c>
      <c r="S108" s="3" t="str">
        <f>_xlfn.IFNA(VLOOKUP(Table1[[#This Row],[ماه رفع توقف]],Table2[],3,0),"در حال تعمیر")</f>
        <v>بهار</v>
      </c>
      <c r="T108" s="3">
        <f>_xlfn.NUMBERVALUE(RIGHT(LEFT(Table1[[#This Row],[تاریخ پایان توقف]],7),2))</f>
        <v>3</v>
      </c>
      <c r="U108" s="3" t="str">
        <f>RIGHT(LEFT(Table1[[#This Row],[تاریخ پایان توقف]],10),2)</f>
        <v>11</v>
      </c>
      <c r="V108" s="3">
        <f>HOUR(Table1[[#This Row],[زمان پایان توقف]])</f>
        <v>13</v>
      </c>
      <c r="W108" s="3">
        <f>MINUTE(Table1[[#This Row],[زمان پایان توقف]])</f>
        <v>9</v>
      </c>
      <c r="X10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738046869</v>
      </c>
      <c r="Y108" s="44" t="s">
        <v>982</v>
      </c>
      <c r="Z108" s="83">
        <f>IFERROR((IF(Table1[[#This Row],[تاریخ پایان توقف]]&lt;&gt;"",Table1[[#This Row],[زمان رفع توقف]]-Table1[[#This Row],[زمان توقف]],"")/60),"")</f>
        <v>0.85</v>
      </c>
      <c r="AA108" s="3">
        <f>VLOOKUP(E108,Table4[],4,0)</f>
        <v>24</v>
      </c>
      <c r="AB108" s="3">
        <f>VLOOKUP(E108,Table4[],5,0)</f>
        <v>0.2</v>
      </c>
      <c r="AC108" s="3">
        <v>360</v>
      </c>
      <c r="AD108" s="3">
        <f>VLOOKUP(E108,Table4[],7,0)</f>
        <v>720</v>
      </c>
      <c r="AE108" s="83">
        <f>IF(Table1[[#This Row],[زمان آخرین رفع توقف قبل از توقف فعلی]]="","",(Table1[[#This Row],[زمان توقف]]-Table1[[#This Row],[زمان آخرین رفع توقف قبل از توقف فعلی]])/60)</f>
        <v>0.8</v>
      </c>
      <c r="AF10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738046770</v>
      </c>
    </row>
    <row r="109" spans="1:32">
      <c r="A109" s="36">
        <v>110</v>
      </c>
      <c r="B109" s="36" t="s">
        <v>98</v>
      </c>
      <c r="C109" s="36" t="s">
        <v>185</v>
      </c>
      <c r="D109" s="36" t="s">
        <v>106</v>
      </c>
      <c r="E109" s="86" t="s">
        <v>107</v>
      </c>
      <c r="F109" s="36" t="s">
        <v>12</v>
      </c>
      <c r="G109" s="56" t="s">
        <v>971</v>
      </c>
      <c r="H109" s="53">
        <v>0.63124999999999998</v>
      </c>
      <c r="I109" s="6" t="str">
        <f>LEFT(Table1[[#This Row],[تاریخ توقف]],4)</f>
        <v>1404</v>
      </c>
      <c r="J109" s="6" t="str">
        <f>VLOOKUP(Table1[[#This Row],[ماه توقف]],Table2[],3,0)</f>
        <v>بهار</v>
      </c>
      <c r="K109" s="3">
        <f>_xlfn.NUMBERVALUE(RIGHT(LEFT(Table1[[#This Row],[تاریخ توقف]],7),2))</f>
        <v>3</v>
      </c>
      <c r="L109" s="3" t="str">
        <f>RIGHT(LEFT(Table1[[#This Row],[تاریخ توقف]],10),2)</f>
        <v>11</v>
      </c>
      <c r="M109" s="3">
        <f>HOUR(Table1[[#This Row],[زمان شروع توقف]])</f>
        <v>15</v>
      </c>
      <c r="N109" s="3">
        <f>MINUTE(Table1[[#This Row],[زمان شروع توقف]])</f>
        <v>9</v>
      </c>
      <c r="O109" s="3">
        <f>((Table1[[#This Row],[سال توقف]]*365+IF(Table1[[#This Row],[ماه توقف]]&lt;7,(Table1[[#This Row],[ماه توقف]]-1)*31,6*31+(Table1[[#This Row],[ماه توقف]]-6-1)*30)+(Table1[[#This Row],[روز توقف]])-1)*24+Table1[[#This Row],[ساعت توقف2]])*60+Table1[[#This Row],[دقیقه توقف]]</f>
        <v>738046989</v>
      </c>
      <c r="P109" s="56" t="s">
        <v>971</v>
      </c>
      <c r="Q109" s="53">
        <v>0.6694444444444444</v>
      </c>
      <c r="R109" s="3" t="str">
        <f>LEFT(Table1[[#This Row],[تاریخ پایان توقف]],4)</f>
        <v>1404</v>
      </c>
      <c r="S109" s="3" t="str">
        <f>_xlfn.IFNA(VLOOKUP(Table1[[#This Row],[ماه رفع توقف]],Table2[],3,0),"در حال تعمیر")</f>
        <v>بهار</v>
      </c>
      <c r="T109" s="3">
        <f>_xlfn.NUMBERVALUE(RIGHT(LEFT(Table1[[#This Row],[تاریخ پایان توقف]],7),2))</f>
        <v>3</v>
      </c>
      <c r="U109" s="3" t="str">
        <f>RIGHT(LEFT(Table1[[#This Row],[تاریخ پایان توقف]],10),2)</f>
        <v>11</v>
      </c>
      <c r="V109" s="3">
        <f>HOUR(Table1[[#This Row],[زمان پایان توقف]])</f>
        <v>16</v>
      </c>
      <c r="W109" s="3">
        <f>MINUTE(Table1[[#This Row],[زمان پایان توقف]])</f>
        <v>4</v>
      </c>
      <c r="X10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738047044</v>
      </c>
      <c r="Y109" s="44" t="s">
        <v>983</v>
      </c>
      <c r="Z109" s="83">
        <f>IFERROR((IF(Table1[[#This Row],[تاریخ پایان توقف]]&lt;&gt;"",Table1[[#This Row],[زمان رفع توقف]]-Table1[[#This Row],[زمان توقف]],"")/60),"")</f>
        <v>0.91666666666666663</v>
      </c>
      <c r="AA109" s="3">
        <f>VLOOKUP(E109,Table4[],4,0)</f>
        <v>24</v>
      </c>
      <c r="AB109" s="3">
        <f>VLOOKUP(E109,Table4[],5,0)</f>
        <v>0.2</v>
      </c>
      <c r="AC109" s="3">
        <v>360</v>
      </c>
      <c r="AD109" s="3">
        <f>VLOOKUP(E109,Table4[],7,0)</f>
        <v>720</v>
      </c>
      <c r="AE109" s="83">
        <f>IF(Table1[[#This Row],[زمان آخرین رفع توقف قبل از توقف فعلی]]="","",(Table1[[#This Row],[زمان توقف]]-Table1[[#This Row],[زمان آخرین رفع توقف قبل از توقف فعلی]])/60)</f>
        <v>27.416666666666668</v>
      </c>
      <c r="AF10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738045344</v>
      </c>
    </row>
    <row r="110" spans="1:32">
      <c r="A110" s="36">
        <v>111</v>
      </c>
      <c r="B110" s="36" t="s">
        <v>98</v>
      </c>
      <c r="C110" s="36" t="s">
        <v>116</v>
      </c>
      <c r="D110" s="36" t="s">
        <v>115</v>
      </c>
      <c r="E110" s="86" t="s">
        <v>117</v>
      </c>
      <c r="F110" s="36" t="s">
        <v>12</v>
      </c>
      <c r="G110" s="56" t="s">
        <v>972</v>
      </c>
      <c r="H110" s="53">
        <v>0.34930555555555554</v>
      </c>
      <c r="I110" s="6" t="str">
        <f>LEFT(Table1[[#This Row],[تاریخ توقف]],4)</f>
        <v>1404</v>
      </c>
      <c r="J110" s="6" t="str">
        <f>VLOOKUP(Table1[[#This Row],[ماه توقف]],Table2[],3,0)</f>
        <v>بهار</v>
      </c>
      <c r="K110" s="3">
        <f>_xlfn.NUMBERVALUE(RIGHT(LEFT(Table1[[#This Row],[تاریخ توقف]],7),2))</f>
        <v>3</v>
      </c>
      <c r="L110" s="3" t="str">
        <f>RIGHT(LEFT(Table1[[#This Row],[تاریخ توقف]],10),2)</f>
        <v>13</v>
      </c>
      <c r="M110" s="3">
        <f>HOUR(Table1[[#This Row],[زمان شروع توقف]])</f>
        <v>8</v>
      </c>
      <c r="N110" s="3">
        <f>MINUTE(Table1[[#This Row],[زمان شروع توقف]])</f>
        <v>23</v>
      </c>
      <c r="O110" s="3">
        <f>((Table1[[#This Row],[سال توقف]]*365+IF(Table1[[#This Row],[ماه توقف]]&lt;7,(Table1[[#This Row],[ماه توقف]]-1)*31,6*31+(Table1[[#This Row],[ماه توقف]]-6-1)*30)+(Table1[[#This Row],[روز توقف]])-1)*24+Table1[[#This Row],[ساعت توقف2]])*60+Table1[[#This Row],[دقیقه توقف]]</f>
        <v>738049463</v>
      </c>
      <c r="P110" s="56" t="s">
        <v>972</v>
      </c>
      <c r="Q110" s="53">
        <v>0.35486111111111113</v>
      </c>
      <c r="R110" s="3" t="str">
        <f>LEFT(Table1[[#This Row],[تاریخ پایان توقف]],4)</f>
        <v>1404</v>
      </c>
      <c r="S110" s="3" t="str">
        <f>_xlfn.IFNA(VLOOKUP(Table1[[#This Row],[ماه رفع توقف]],Table2[],3,0),"در حال تعمیر")</f>
        <v>بهار</v>
      </c>
      <c r="T110" s="3">
        <f>_xlfn.NUMBERVALUE(RIGHT(LEFT(Table1[[#This Row],[تاریخ پایان توقف]],7),2))</f>
        <v>3</v>
      </c>
      <c r="U110" s="3" t="str">
        <f>RIGHT(LEFT(Table1[[#This Row],[تاریخ پایان توقف]],10),2)</f>
        <v>13</v>
      </c>
      <c r="V110" s="3">
        <f>HOUR(Table1[[#This Row],[زمان پایان توقف]])</f>
        <v>8</v>
      </c>
      <c r="W110" s="3">
        <f>MINUTE(Table1[[#This Row],[زمان پایان توقف]])</f>
        <v>31</v>
      </c>
      <c r="X11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738049471</v>
      </c>
      <c r="Y110" s="44" t="s">
        <v>984</v>
      </c>
      <c r="Z110" s="83">
        <f>IFERROR((IF(Table1[[#This Row],[تاریخ پایان توقف]]&lt;&gt;"",Table1[[#This Row],[زمان رفع توقف]]-Table1[[#This Row],[زمان توقف]],"")/60),"")</f>
        <v>0.13333333333333333</v>
      </c>
      <c r="AA110" s="3">
        <f>VLOOKUP(E110,Table4[],4,0)</f>
        <v>24</v>
      </c>
      <c r="AB110" s="3">
        <f>VLOOKUP(E110,Table4[],5,0)</f>
        <v>0.2</v>
      </c>
      <c r="AC110" s="3">
        <v>360</v>
      </c>
      <c r="AD110" s="3">
        <f>VLOOKUP(E110,Table4[],7,0)</f>
        <v>720</v>
      </c>
      <c r="AE110" s="83">
        <f>IF(Table1[[#This Row],[زمان آخرین رفع توقف قبل از توقف فعلی]]="","",(Table1[[#This Row],[زمان توقف]]-Table1[[#This Row],[زمان آخرین رفع توقف قبل از توقف فعلی]])/60)</f>
        <v>68.316666666666663</v>
      </c>
      <c r="AF11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738045364</v>
      </c>
    </row>
    <row r="111" spans="1:32">
      <c r="A111" s="36">
        <v>112</v>
      </c>
      <c r="B111" s="36" t="s">
        <v>98</v>
      </c>
      <c r="C111" s="36" t="s">
        <v>185</v>
      </c>
      <c r="D111" s="36" t="s">
        <v>106</v>
      </c>
      <c r="E111" s="86" t="s">
        <v>107</v>
      </c>
      <c r="F111" s="36" t="s">
        <v>12</v>
      </c>
      <c r="G111" s="56" t="s">
        <v>973</v>
      </c>
      <c r="H111" s="53">
        <v>0.39166666666666666</v>
      </c>
      <c r="I111" s="6" t="str">
        <f>LEFT(Table1[[#This Row],[تاریخ توقف]],4)</f>
        <v>1404</v>
      </c>
      <c r="J111" s="6" t="str">
        <f>VLOOKUP(Table1[[#This Row],[ماه توقف]],Table2[],3,0)</f>
        <v>بهار</v>
      </c>
      <c r="K111" s="3">
        <f>_xlfn.NUMBERVALUE(RIGHT(LEFT(Table1[[#This Row],[تاریخ توقف]],7),2))</f>
        <v>3</v>
      </c>
      <c r="L111" s="3" t="str">
        <f>RIGHT(LEFT(Table1[[#This Row],[تاریخ توقف]],10),2)</f>
        <v>17</v>
      </c>
      <c r="M111" s="3">
        <f>HOUR(Table1[[#This Row],[زمان شروع توقف]])</f>
        <v>9</v>
      </c>
      <c r="N111" s="3">
        <f>MINUTE(Table1[[#This Row],[زمان شروع توقف]])</f>
        <v>24</v>
      </c>
      <c r="O111" s="3">
        <f>((Table1[[#This Row],[سال توقف]]*365+IF(Table1[[#This Row],[ماه توقف]]&lt;7,(Table1[[#This Row],[ماه توقف]]-1)*31,6*31+(Table1[[#This Row],[ماه توقف]]-6-1)*30)+(Table1[[#This Row],[روز توقف]])-1)*24+Table1[[#This Row],[ساعت توقف2]])*60+Table1[[#This Row],[دقیقه توقف]]</f>
        <v>738055284</v>
      </c>
      <c r="P111" s="56" t="s">
        <v>973</v>
      </c>
      <c r="Q111" s="53">
        <v>0.4375</v>
      </c>
      <c r="R111" s="3" t="str">
        <f>LEFT(Table1[[#This Row],[تاریخ پایان توقف]],4)</f>
        <v>1404</v>
      </c>
      <c r="S111" s="3" t="str">
        <f>_xlfn.IFNA(VLOOKUP(Table1[[#This Row],[ماه رفع توقف]],Table2[],3,0),"در حال تعمیر")</f>
        <v>بهار</v>
      </c>
      <c r="T111" s="3">
        <f>_xlfn.NUMBERVALUE(RIGHT(LEFT(Table1[[#This Row],[تاریخ پایان توقف]],7),2))</f>
        <v>3</v>
      </c>
      <c r="U111" s="3" t="str">
        <f>RIGHT(LEFT(Table1[[#This Row],[تاریخ پایان توقف]],10),2)</f>
        <v>17</v>
      </c>
      <c r="V111" s="3">
        <f>HOUR(Table1[[#This Row],[زمان پایان توقف]])</f>
        <v>10</v>
      </c>
      <c r="W111" s="3">
        <f>MINUTE(Table1[[#This Row],[زمان پایان توقف]])</f>
        <v>30</v>
      </c>
      <c r="X11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738055350</v>
      </c>
      <c r="Y111" s="44" t="s">
        <v>985</v>
      </c>
      <c r="Z111" s="83">
        <f>IFERROR((IF(Table1[[#This Row],[تاریخ پایان توقف]]&lt;&gt;"",Table1[[#This Row],[زمان رفع توقف]]-Table1[[#This Row],[زمان توقف]],"")/60),"")</f>
        <v>1.1000000000000001</v>
      </c>
      <c r="AA111" s="3">
        <f>VLOOKUP(E111,Table4[],4,0)</f>
        <v>24</v>
      </c>
      <c r="AB111" s="3">
        <f>VLOOKUP(E111,Table4[],5,0)</f>
        <v>0.2</v>
      </c>
      <c r="AC111" s="3">
        <v>360</v>
      </c>
      <c r="AD111" s="3">
        <f>VLOOKUP(E111,Table4[],7,0)</f>
        <v>720</v>
      </c>
      <c r="AE111" s="83">
        <f>IF(Table1[[#This Row],[زمان آخرین رفع توقف قبل از توقف فعلی]]="","",(Table1[[#This Row],[زمان توقف]]-Table1[[#This Row],[زمان آخرین رفع توقف قبل از توقف فعلی]])/60)</f>
        <v>137.33333333333334</v>
      </c>
      <c r="AF11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738047044</v>
      </c>
    </row>
    <row r="112" spans="1:32">
      <c r="A112" s="36">
        <v>113</v>
      </c>
      <c r="B112" s="36" t="s">
        <v>98</v>
      </c>
      <c r="C112" s="36" t="s">
        <v>129</v>
      </c>
      <c r="D112" s="36" t="s">
        <v>128</v>
      </c>
      <c r="E112" s="86" t="s">
        <v>130</v>
      </c>
      <c r="F112" s="36" t="s">
        <v>12</v>
      </c>
      <c r="G112" s="56" t="s">
        <v>973</v>
      </c>
      <c r="H112" s="53">
        <v>0.33333333333333331</v>
      </c>
      <c r="I112" s="6" t="str">
        <f>LEFT(Table1[[#This Row],[تاریخ توقف]],4)</f>
        <v>1404</v>
      </c>
      <c r="J112" s="6" t="str">
        <f>VLOOKUP(Table1[[#This Row],[ماه توقف]],Table2[],3,0)</f>
        <v>بهار</v>
      </c>
      <c r="K112" s="3">
        <f>_xlfn.NUMBERVALUE(RIGHT(LEFT(Table1[[#This Row],[تاریخ توقف]],7),2))</f>
        <v>3</v>
      </c>
      <c r="L112" s="3" t="str">
        <f>RIGHT(LEFT(Table1[[#This Row],[تاریخ توقف]],10),2)</f>
        <v>17</v>
      </c>
      <c r="M112" s="3">
        <f>HOUR(Table1[[#This Row],[زمان شروع توقف]])</f>
        <v>8</v>
      </c>
      <c r="N112" s="3">
        <f>MINUTE(Table1[[#This Row],[زمان شروع توقف]])</f>
        <v>0</v>
      </c>
      <c r="O112" s="3">
        <f>((Table1[[#This Row],[سال توقف]]*365+IF(Table1[[#This Row],[ماه توقف]]&lt;7,(Table1[[#This Row],[ماه توقف]]-1)*31,6*31+(Table1[[#This Row],[ماه توقف]]-6-1)*30)+(Table1[[#This Row],[روز توقف]])-1)*24+Table1[[#This Row],[ساعت توقف2]])*60+Table1[[#This Row],[دقیقه توقف]]</f>
        <v>738055200</v>
      </c>
      <c r="P112" s="56" t="s">
        <v>973</v>
      </c>
      <c r="Q112" s="53">
        <v>0.67361111111111116</v>
      </c>
      <c r="R112" s="3" t="str">
        <f>LEFT(Table1[[#This Row],[تاریخ پایان توقف]],4)</f>
        <v>1404</v>
      </c>
      <c r="S112" s="3" t="str">
        <f>_xlfn.IFNA(VLOOKUP(Table1[[#This Row],[ماه رفع توقف]],Table2[],3,0),"در حال تعمیر")</f>
        <v>بهار</v>
      </c>
      <c r="T112" s="3">
        <f>_xlfn.NUMBERVALUE(RIGHT(LEFT(Table1[[#This Row],[تاریخ پایان توقف]],7),2))</f>
        <v>3</v>
      </c>
      <c r="U112" s="3" t="str">
        <f>RIGHT(LEFT(Table1[[#This Row],[تاریخ پایان توقف]],10),2)</f>
        <v>17</v>
      </c>
      <c r="V112" s="3">
        <f>HOUR(Table1[[#This Row],[زمان پایان توقف]])</f>
        <v>16</v>
      </c>
      <c r="W112" s="3">
        <f>MINUTE(Table1[[#This Row],[زمان پایان توقف]])</f>
        <v>10</v>
      </c>
      <c r="X11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738055690</v>
      </c>
      <c r="Y112" s="44" t="s">
        <v>986</v>
      </c>
      <c r="Z112" s="83">
        <f>IFERROR((IF(Table1[[#This Row],[تاریخ پایان توقف]]&lt;&gt;"",Table1[[#This Row],[زمان رفع توقف]]-Table1[[#This Row],[زمان توقف]],"")/60),"")</f>
        <v>8.1666666666666661</v>
      </c>
      <c r="AA112" s="3">
        <f>VLOOKUP(E112,Table4[],4,0)</f>
        <v>24</v>
      </c>
      <c r="AB112" s="3">
        <f>VLOOKUP(E112,Table4[],5,0)</f>
        <v>0.2</v>
      </c>
      <c r="AC112" s="3">
        <v>360</v>
      </c>
      <c r="AD112" s="3">
        <f>VLOOKUP(E112,Table4[],7,0)</f>
        <v>720</v>
      </c>
      <c r="AE112" s="83">
        <f>IF(Table1[[#This Row],[زمان آخرین رفع توقف قبل از توقف فعلی]]="","",(Table1[[#This Row],[زمان توقف]]-Table1[[#This Row],[زمان آخرین رفع توقف قبل از توقف فعلی]])/60)</f>
        <v>205.33333333333334</v>
      </c>
      <c r="AF11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738042880</v>
      </c>
    </row>
    <row r="113" spans="1:32">
      <c r="A113" s="36">
        <v>114</v>
      </c>
      <c r="B113" s="36" t="s">
        <v>98</v>
      </c>
      <c r="C113" s="36" t="s">
        <v>50</v>
      </c>
      <c r="D113" s="36" t="s">
        <v>45</v>
      </c>
      <c r="E113" s="85" t="s">
        <v>74</v>
      </c>
      <c r="F113" s="36" t="s">
        <v>12</v>
      </c>
      <c r="G113" s="56" t="s">
        <v>974</v>
      </c>
      <c r="H113" s="53">
        <v>0.40625</v>
      </c>
      <c r="I113" s="6" t="str">
        <f>LEFT(Table1[[#This Row],[تاریخ توقف]],4)</f>
        <v>1404</v>
      </c>
      <c r="J113" s="6" t="str">
        <f>VLOOKUP(Table1[[#This Row],[ماه توقف]],Table2[],3,0)</f>
        <v>بهار</v>
      </c>
      <c r="K113" s="3">
        <f>_xlfn.NUMBERVALUE(RIGHT(LEFT(Table1[[#This Row],[تاریخ توقف]],7),2))</f>
        <v>3</v>
      </c>
      <c r="L113" s="3" t="str">
        <f>RIGHT(LEFT(Table1[[#This Row],[تاریخ توقف]],10),2)</f>
        <v>21</v>
      </c>
      <c r="M113" s="3">
        <f>HOUR(Table1[[#This Row],[زمان شروع توقف]])</f>
        <v>9</v>
      </c>
      <c r="N113" s="3">
        <f>MINUTE(Table1[[#This Row],[زمان شروع توقف]])</f>
        <v>45</v>
      </c>
      <c r="O113" s="3">
        <f>((Table1[[#This Row],[سال توقف]]*365+IF(Table1[[#This Row],[ماه توقف]]&lt;7,(Table1[[#This Row],[ماه توقف]]-1)*31,6*31+(Table1[[#This Row],[ماه توقف]]-6-1)*30)+(Table1[[#This Row],[روز توقف]])-1)*24+Table1[[#This Row],[ساعت توقف2]])*60+Table1[[#This Row],[دقیقه توقف]]</f>
        <v>738061065</v>
      </c>
      <c r="P113" s="56" t="s">
        <v>974</v>
      </c>
      <c r="Q113" s="53">
        <v>0.42569444444444443</v>
      </c>
      <c r="R113" s="3" t="str">
        <f>LEFT(Table1[[#This Row],[تاریخ پایان توقف]],4)</f>
        <v>1404</v>
      </c>
      <c r="S113" s="3" t="str">
        <f>_xlfn.IFNA(VLOOKUP(Table1[[#This Row],[ماه رفع توقف]],Table2[],3,0),"در حال تعمیر")</f>
        <v>بهار</v>
      </c>
      <c r="T113" s="3">
        <f>_xlfn.NUMBERVALUE(RIGHT(LEFT(Table1[[#This Row],[تاریخ پایان توقف]],7),2))</f>
        <v>3</v>
      </c>
      <c r="U113" s="3" t="str">
        <f>RIGHT(LEFT(Table1[[#This Row],[تاریخ پایان توقف]],10),2)</f>
        <v>21</v>
      </c>
      <c r="V113" s="3">
        <f>HOUR(Table1[[#This Row],[زمان پایان توقف]])</f>
        <v>10</v>
      </c>
      <c r="W113" s="3">
        <f>MINUTE(Table1[[#This Row],[زمان پایان توقف]])</f>
        <v>13</v>
      </c>
      <c r="X11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738061093</v>
      </c>
      <c r="Y113" s="44" t="s">
        <v>988</v>
      </c>
      <c r="Z113" s="83">
        <f>IFERROR((IF(Table1[[#This Row],[تاریخ پایان توقف]]&lt;&gt;"",Table1[[#This Row],[زمان رفع توقف]]-Table1[[#This Row],[زمان توقف]],"")/60),"")</f>
        <v>0.46666666666666667</v>
      </c>
      <c r="AA113" s="3">
        <f>VLOOKUP(E113,Table4[],4,0)</f>
        <v>24</v>
      </c>
      <c r="AB113" s="3">
        <f>VLOOKUP(E113,Table4[],5,0)</f>
        <v>0.2</v>
      </c>
      <c r="AC113" s="3">
        <v>360</v>
      </c>
      <c r="AD113" s="3">
        <f>VLOOKUP(E113,Table4[],7,0)</f>
        <v>720</v>
      </c>
      <c r="AE113" s="83">
        <f>IF(Table1[[#This Row],[زمان آخرین رفع توقف قبل از توقف فعلی]]="","",(Table1[[#This Row],[زمان توقف]]-Table1[[#This Row],[زمان آخرین رفع توقف قبل از توقف فعلی]])/60)</f>
        <v>791.36666666666667</v>
      </c>
      <c r="AF11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738013583</v>
      </c>
    </row>
    <row r="114" spans="1:32">
      <c r="A114" s="36">
        <v>115</v>
      </c>
      <c r="B114" s="36" t="s">
        <v>98</v>
      </c>
      <c r="C114" s="36" t="s">
        <v>116</v>
      </c>
      <c r="D114" s="36" t="s">
        <v>115</v>
      </c>
      <c r="E114" s="86" t="s">
        <v>117</v>
      </c>
      <c r="F114" s="36" t="s">
        <v>12</v>
      </c>
      <c r="G114" s="56" t="s">
        <v>974</v>
      </c>
      <c r="H114" s="53">
        <v>0.56319444444444444</v>
      </c>
      <c r="I114" s="6" t="str">
        <f>LEFT(Table1[[#This Row],[تاریخ توقف]],4)</f>
        <v>1404</v>
      </c>
      <c r="J114" s="6" t="str">
        <f>VLOOKUP(Table1[[#This Row],[ماه توقف]],Table2[],3,0)</f>
        <v>بهار</v>
      </c>
      <c r="K114" s="3">
        <f>_xlfn.NUMBERVALUE(RIGHT(LEFT(Table1[[#This Row],[تاریخ توقف]],7),2))</f>
        <v>3</v>
      </c>
      <c r="L114" s="3" t="str">
        <f>RIGHT(LEFT(Table1[[#This Row],[تاریخ توقف]],10),2)</f>
        <v>21</v>
      </c>
      <c r="M114" s="3">
        <f>HOUR(Table1[[#This Row],[زمان شروع توقف]])</f>
        <v>13</v>
      </c>
      <c r="N114" s="3">
        <f>MINUTE(Table1[[#This Row],[زمان شروع توقف]])</f>
        <v>31</v>
      </c>
      <c r="O114" s="3">
        <f>((Table1[[#This Row],[سال توقف]]*365+IF(Table1[[#This Row],[ماه توقف]]&lt;7,(Table1[[#This Row],[ماه توقف]]-1)*31,6*31+(Table1[[#This Row],[ماه توقف]]-6-1)*30)+(Table1[[#This Row],[روز توقف]])-1)*24+Table1[[#This Row],[ساعت توقف2]])*60+Table1[[#This Row],[دقیقه توقف]]</f>
        <v>738061291</v>
      </c>
      <c r="P114" s="56" t="s">
        <v>974</v>
      </c>
      <c r="Q114" s="53">
        <v>0.59722222222222221</v>
      </c>
      <c r="R114" s="3" t="str">
        <f>LEFT(Table1[[#This Row],[تاریخ پایان توقف]],4)</f>
        <v>1404</v>
      </c>
      <c r="S114" s="3" t="str">
        <f>_xlfn.IFNA(VLOOKUP(Table1[[#This Row],[ماه رفع توقف]],Table2[],3,0),"در حال تعمیر")</f>
        <v>بهار</v>
      </c>
      <c r="T114" s="3">
        <f>_xlfn.NUMBERVALUE(RIGHT(LEFT(Table1[[#This Row],[تاریخ پایان توقف]],7),2))</f>
        <v>3</v>
      </c>
      <c r="U114" s="3" t="str">
        <f>RIGHT(LEFT(Table1[[#This Row],[تاریخ پایان توقف]],10),2)</f>
        <v>21</v>
      </c>
      <c r="V114" s="3">
        <f>HOUR(Table1[[#This Row],[زمان پایان توقف]])</f>
        <v>14</v>
      </c>
      <c r="W114" s="3">
        <f>MINUTE(Table1[[#This Row],[زمان پایان توقف]])</f>
        <v>20</v>
      </c>
      <c r="X11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738061340</v>
      </c>
      <c r="Y114" s="44" t="s">
        <v>987</v>
      </c>
      <c r="Z114" s="83">
        <f>IFERROR((IF(Table1[[#This Row],[تاریخ پایان توقف]]&lt;&gt;"",Table1[[#This Row],[زمان رفع توقف]]-Table1[[#This Row],[زمان توقف]],"")/60),"")</f>
        <v>0.81666666666666665</v>
      </c>
      <c r="AA114" s="3">
        <f>VLOOKUP(E114,Table4[],4,0)</f>
        <v>24</v>
      </c>
      <c r="AB114" s="3">
        <f>VLOOKUP(E114,Table4[],5,0)</f>
        <v>0.2</v>
      </c>
      <c r="AC114" s="3">
        <v>360</v>
      </c>
      <c r="AD114" s="3">
        <f>VLOOKUP(E114,Table4[],7,0)</f>
        <v>720</v>
      </c>
      <c r="AE114" s="83">
        <f>IF(Table1[[#This Row],[زمان آخرین رفع توقف قبل از توقف فعلی]]="","",(Table1[[#This Row],[زمان توقف]]-Table1[[#This Row],[زمان آخرین رفع توقف قبل از توقف فعلی]])/60)</f>
        <v>197</v>
      </c>
      <c r="AF11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738049471</v>
      </c>
    </row>
    <row r="115" spans="1:32">
      <c r="A115" s="36">
        <v>116</v>
      </c>
      <c r="B115" s="36" t="s">
        <v>98</v>
      </c>
      <c r="C115" s="36" t="s">
        <v>881</v>
      </c>
      <c r="D115" s="36" t="s">
        <v>905</v>
      </c>
      <c r="E115" s="85" t="s">
        <v>91</v>
      </c>
      <c r="F115" s="36" t="s">
        <v>12</v>
      </c>
      <c r="G115" s="56" t="s">
        <v>974</v>
      </c>
      <c r="H115" s="53">
        <v>0.70833333333333337</v>
      </c>
      <c r="I115" s="6" t="str">
        <f>LEFT(Table1[[#This Row],[تاریخ توقف]],4)</f>
        <v>1404</v>
      </c>
      <c r="J115" s="6" t="str">
        <f>VLOOKUP(Table1[[#This Row],[ماه توقف]],Table2[],3,0)</f>
        <v>بهار</v>
      </c>
      <c r="K115" s="3">
        <f>_xlfn.NUMBERVALUE(RIGHT(LEFT(Table1[[#This Row],[تاریخ توقف]],7),2))</f>
        <v>3</v>
      </c>
      <c r="L115" s="3" t="str">
        <f>RIGHT(LEFT(Table1[[#This Row],[تاریخ توقف]],10),2)</f>
        <v>21</v>
      </c>
      <c r="M115" s="3">
        <f>HOUR(Table1[[#This Row],[زمان شروع توقف]])</f>
        <v>17</v>
      </c>
      <c r="N115" s="3">
        <f>MINUTE(Table1[[#This Row],[زمان شروع توقف]])</f>
        <v>0</v>
      </c>
      <c r="O115" s="3">
        <f>((Table1[[#This Row],[سال توقف]]*365+IF(Table1[[#This Row],[ماه توقف]]&lt;7,(Table1[[#This Row],[ماه توقف]]-1)*31,6*31+(Table1[[#This Row],[ماه توقف]]-6-1)*30)+(Table1[[#This Row],[روز توقف]])-1)*24+Table1[[#This Row],[ساعت توقف2]])*60+Table1[[#This Row],[دقیقه توقف]]</f>
        <v>738061500</v>
      </c>
      <c r="P115" s="56" t="s">
        <v>974</v>
      </c>
      <c r="Q115" s="53">
        <v>0.8041666666666667</v>
      </c>
      <c r="R115" s="3" t="str">
        <f>LEFT(Table1[[#This Row],[تاریخ پایان توقف]],4)</f>
        <v>1404</v>
      </c>
      <c r="S115" s="3" t="str">
        <f>_xlfn.IFNA(VLOOKUP(Table1[[#This Row],[ماه رفع توقف]],Table2[],3,0),"در حال تعمیر")</f>
        <v>بهار</v>
      </c>
      <c r="T115" s="3">
        <f>_xlfn.NUMBERVALUE(RIGHT(LEFT(Table1[[#This Row],[تاریخ پایان توقف]],7),2))</f>
        <v>3</v>
      </c>
      <c r="U115" s="3" t="str">
        <f>RIGHT(LEFT(Table1[[#This Row],[تاریخ پایان توقف]],10),2)</f>
        <v>21</v>
      </c>
      <c r="V115" s="3">
        <f>HOUR(Table1[[#This Row],[زمان پایان توقف]])</f>
        <v>19</v>
      </c>
      <c r="W115" s="3">
        <f>MINUTE(Table1[[#This Row],[زمان پایان توقف]])</f>
        <v>18</v>
      </c>
      <c r="X11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738061638</v>
      </c>
      <c r="Y115" s="44" t="s">
        <v>987</v>
      </c>
      <c r="Z115" s="83">
        <f>IFERROR((IF(Table1[[#This Row],[تاریخ پایان توقف]]&lt;&gt;"",Table1[[#This Row],[زمان رفع توقف]]-Table1[[#This Row],[زمان توقف]],"")/60),"")</f>
        <v>2.2999999999999998</v>
      </c>
      <c r="AA115" s="3">
        <f>VLOOKUP(E115,Table4[],4,0)</f>
        <v>24</v>
      </c>
      <c r="AB115" s="3">
        <f>VLOOKUP(E115,Table4[],5,0)</f>
        <v>0.2</v>
      </c>
      <c r="AC115" s="3">
        <v>360</v>
      </c>
      <c r="AD115" s="3">
        <f>VLOOKUP(E115,Table4[],7,0)</f>
        <v>720</v>
      </c>
      <c r="AE115" s="83">
        <f>IF(Table1[[#This Row],[زمان آخرین رفع توقف قبل از توقف فعلی]]="","",(Table1[[#This Row],[زمان توقف]]-Table1[[#This Row],[زمان آخرین رفع توقف قبل از توقف فعلی]])/60)</f>
        <v>243.85</v>
      </c>
      <c r="AF11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738046869</v>
      </c>
    </row>
    <row r="116" spans="1:32">
      <c r="A116" s="36">
        <v>117</v>
      </c>
      <c r="B116" s="36" t="s">
        <v>99</v>
      </c>
      <c r="C116" s="36" t="s">
        <v>1287</v>
      </c>
      <c r="D116" s="36"/>
      <c r="E116" s="84" t="s">
        <v>1286</v>
      </c>
      <c r="F116" s="36" t="s">
        <v>12</v>
      </c>
      <c r="G116" s="56" t="s">
        <v>974</v>
      </c>
      <c r="H116" s="53">
        <v>0.83333333333333337</v>
      </c>
      <c r="I116" s="6" t="str">
        <f>LEFT(Table1[[#This Row],[تاریخ توقف]],4)</f>
        <v>1404</v>
      </c>
      <c r="J116" s="6" t="str">
        <f>VLOOKUP(Table1[[#This Row],[ماه توقف]],Table2[],3,0)</f>
        <v>بهار</v>
      </c>
      <c r="K116" s="3">
        <f>_xlfn.NUMBERVALUE(RIGHT(LEFT(Table1[[#This Row],[تاریخ توقف]],7),2))</f>
        <v>3</v>
      </c>
      <c r="L116" s="3" t="str">
        <f>RIGHT(LEFT(Table1[[#This Row],[تاریخ توقف]],10),2)</f>
        <v>21</v>
      </c>
      <c r="M116" s="3">
        <f>HOUR(Table1[[#This Row],[زمان شروع توقف]])</f>
        <v>20</v>
      </c>
      <c r="N116" s="3">
        <f>MINUTE(Table1[[#This Row],[زمان شروع توقف]])</f>
        <v>0</v>
      </c>
      <c r="O116" s="3">
        <f>((Table1[[#This Row],[سال توقف]]*365+IF(Table1[[#This Row],[ماه توقف]]&lt;7,(Table1[[#This Row],[ماه توقف]]-1)*31,6*31+(Table1[[#This Row],[ماه توقف]]-6-1)*30)+(Table1[[#This Row],[روز توقف]])-1)*24+Table1[[#This Row],[ساعت توقف2]])*60+Table1[[#This Row],[دقیقه توقف]]</f>
        <v>738061680</v>
      </c>
      <c r="P116" s="56" t="s">
        <v>975</v>
      </c>
      <c r="Q116" s="53">
        <v>0.125</v>
      </c>
      <c r="R116" s="3" t="str">
        <f>LEFT(Table1[[#This Row],[تاریخ پایان توقف]],4)</f>
        <v>1404</v>
      </c>
      <c r="S116" s="3" t="str">
        <f>_xlfn.IFNA(VLOOKUP(Table1[[#This Row],[ماه رفع توقف]],Table2[],3,0),"در حال تعمیر")</f>
        <v>بهار</v>
      </c>
      <c r="T116" s="3">
        <f>_xlfn.NUMBERVALUE(RIGHT(LEFT(Table1[[#This Row],[تاریخ پایان توقف]],7),2))</f>
        <v>3</v>
      </c>
      <c r="U116" s="3" t="str">
        <f>RIGHT(LEFT(Table1[[#This Row],[تاریخ پایان توقف]],10),2)</f>
        <v>22</v>
      </c>
      <c r="V116" s="3">
        <f>HOUR(Table1[[#This Row],[زمان پایان توقف]])</f>
        <v>3</v>
      </c>
      <c r="W116" s="3">
        <f>MINUTE(Table1[[#This Row],[زمان پایان توقف]])</f>
        <v>0</v>
      </c>
      <c r="X11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738062100</v>
      </c>
      <c r="Y116" s="44" t="s">
        <v>989</v>
      </c>
      <c r="Z116" s="83">
        <f>IFERROR((IF(Table1[[#This Row],[تاریخ پایان توقف]]&lt;&gt;"",Table1[[#This Row],[زمان رفع توقف]]-Table1[[#This Row],[زمان توقف]],"")/60),"")</f>
        <v>7</v>
      </c>
      <c r="AA116" s="3">
        <f>VLOOKUP(E116,Table4[],4,0)</f>
        <v>24</v>
      </c>
      <c r="AB116" s="3">
        <f>VLOOKUP(E116,Table4[],5,0)</f>
        <v>0.2</v>
      </c>
      <c r="AC116" s="3">
        <v>360</v>
      </c>
      <c r="AD116" s="3">
        <f>VLOOKUP(E116,Table4[],7,0)</f>
        <v>720</v>
      </c>
      <c r="AE116" s="83" t="str">
        <f>IF(Table1[[#This Row],[زمان آخرین رفع توقف قبل از توقف فعلی]]="","",(Table1[[#This Row],[زمان توقف]]-Table1[[#This Row],[زمان آخرین رفع توقف قبل از توقف فعلی]])/60)</f>
        <v/>
      </c>
      <c r="AF116"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17" spans="1:32">
      <c r="A117" s="36">
        <v>118</v>
      </c>
      <c r="B117" s="36" t="s">
        <v>97</v>
      </c>
      <c r="C117" s="36" t="s">
        <v>634</v>
      </c>
      <c r="D117" s="36" t="s">
        <v>990</v>
      </c>
      <c r="E117" s="85" t="s">
        <v>149</v>
      </c>
      <c r="F117" s="36" t="s">
        <v>12</v>
      </c>
      <c r="G117" s="56" t="s">
        <v>974</v>
      </c>
      <c r="H117" s="53">
        <v>0.625</v>
      </c>
      <c r="I117" s="6" t="str">
        <f>LEFT(Table1[[#This Row],[تاریخ توقف]],4)</f>
        <v>1404</v>
      </c>
      <c r="J117" s="6" t="str">
        <f>VLOOKUP(Table1[[#This Row],[ماه توقف]],Table2[],3,0)</f>
        <v>بهار</v>
      </c>
      <c r="K117" s="3">
        <f>_xlfn.NUMBERVALUE(RIGHT(LEFT(Table1[[#This Row],[تاریخ توقف]],7),2))</f>
        <v>3</v>
      </c>
      <c r="L117" s="3" t="str">
        <f>RIGHT(LEFT(Table1[[#This Row],[تاریخ توقف]],10),2)</f>
        <v>21</v>
      </c>
      <c r="M117" s="3">
        <f>HOUR(Table1[[#This Row],[زمان شروع توقف]])</f>
        <v>15</v>
      </c>
      <c r="N117" s="3">
        <f>MINUTE(Table1[[#This Row],[زمان شروع توقف]])</f>
        <v>0</v>
      </c>
      <c r="O117" s="3">
        <f>((Table1[[#This Row],[سال توقف]]*365+IF(Table1[[#This Row],[ماه توقف]]&lt;7,(Table1[[#This Row],[ماه توقف]]-1)*31,6*31+(Table1[[#This Row],[ماه توقف]]-6-1)*30)+(Table1[[#This Row],[روز توقف]])-1)*24+Table1[[#This Row],[ساعت توقف2]])*60+Table1[[#This Row],[دقیقه توقف]]</f>
        <v>738061380</v>
      </c>
      <c r="P117" s="56" t="s">
        <v>975</v>
      </c>
      <c r="Q117" s="53">
        <v>0.875</v>
      </c>
      <c r="R117" s="3" t="str">
        <f>LEFT(Table1[[#This Row],[تاریخ پایان توقف]],4)</f>
        <v>1404</v>
      </c>
      <c r="S117" s="3" t="str">
        <f>_xlfn.IFNA(VLOOKUP(Table1[[#This Row],[ماه رفع توقف]],Table2[],3,0),"در حال تعمیر")</f>
        <v>بهار</v>
      </c>
      <c r="T117" s="3">
        <f>_xlfn.NUMBERVALUE(RIGHT(LEFT(Table1[[#This Row],[تاریخ پایان توقف]],7),2))</f>
        <v>3</v>
      </c>
      <c r="U117" s="3" t="str">
        <f>RIGHT(LEFT(Table1[[#This Row],[تاریخ پایان توقف]],10),2)</f>
        <v>22</v>
      </c>
      <c r="V117" s="3">
        <f>HOUR(Table1[[#This Row],[زمان پایان توقف]])</f>
        <v>21</v>
      </c>
      <c r="W117" s="3">
        <f>MINUTE(Table1[[#This Row],[زمان پایان توقف]])</f>
        <v>0</v>
      </c>
      <c r="X11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738063180</v>
      </c>
      <c r="Y117" s="44" t="s">
        <v>991</v>
      </c>
      <c r="Z117" s="83">
        <f>IFERROR((IF(Table1[[#This Row],[تاریخ پایان توقف]]&lt;&gt;"",Table1[[#This Row],[زمان رفع توقف]]-Table1[[#This Row],[زمان توقف]],"")/60),"")</f>
        <v>30</v>
      </c>
      <c r="AA117" s="3">
        <f>VLOOKUP(E117,Table4[],4,0)</f>
        <v>24</v>
      </c>
      <c r="AB117" s="3">
        <f>VLOOKUP(E117,Table4[],5,0)</f>
        <v>0.2</v>
      </c>
      <c r="AC117" s="3">
        <v>360</v>
      </c>
      <c r="AD117" s="3">
        <f>VLOOKUP(E117,Table4[],7,0)</f>
        <v>720</v>
      </c>
      <c r="AE117" s="83">
        <f>IF(Table1[[#This Row],[زمان آخرین رفع توقف قبل از توقف فعلی]]="","",(Table1[[#This Row],[زمان توقف]]-Table1[[#This Row],[زمان آخرین رفع توقف قبل از توقف فعلی]])/60)</f>
        <v>3887.2</v>
      </c>
      <c r="AF11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737828148</v>
      </c>
    </row>
    <row r="118" spans="1:32">
      <c r="A118" s="36">
        <v>119</v>
      </c>
      <c r="B118" s="36" t="s">
        <v>98</v>
      </c>
      <c r="C118" s="36" t="s">
        <v>50</v>
      </c>
      <c r="D118" s="36" t="s">
        <v>45</v>
      </c>
      <c r="E118" s="85" t="s">
        <v>74</v>
      </c>
      <c r="F118" s="36" t="s">
        <v>12</v>
      </c>
      <c r="G118" s="56" t="s">
        <v>976</v>
      </c>
      <c r="H118" s="53">
        <v>0.875</v>
      </c>
      <c r="I118" s="6" t="str">
        <f>LEFT(Table1[[#This Row],[تاریخ توقف]],4)</f>
        <v>1404</v>
      </c>
      <c r="J118" s="6" t="str">
        <f>VLOOKUP(Table1[[#This Row],[ماه توقف]],Table2[],3,0)</f>
        <v>بهار</v>
      </c>
      <c r="K118" s="3">
        <f>_xlfn.NUMBERVALUE(RIGHT(LEFT(Table1[[#This Row],[تاریخ توقف]],7),2))</f>
        <v>3</v>
      </c>
      <c r="L118" s="3" t="str">
        <f>RIGHT(LEFT(Table1[[#This Row],[تاریخ توقف]],10),2)</f>
        <v>24</v>
      </c>
      <c r="M118" s="3">
        <f>HOUR(Table1[[#This Row],[زمان شروع توقف]])</f>
        <v>21</v>
      </c>
      <c r="N118" s="3">
        <f>MINUTE(Table1[[#This Row],[زمان شروع توقف]])</f>
        <v>0</v>
      </c>
      <c r="O118" s="3">
        <f>((Table1[[#This Row],[سال توقف]]*365+IF(Table1[[#This Row],[ماه توقف]]&lt;7,(Table1[[#This Row],[ماه توقف]]-1)*31,6*31+(Table1[[#This Row],[ماه توقف]]-6-1)*30)+(Table1[[#This Row],[روز توقف]])-1)*24+Table1[[#This Row],[ساعت توقف2]])*60+Table1[[#This Row],[دقیقه توقف]]</f>
        <v>738066060</v>
      </c>
      <c r="P118" s="56" t="s">
        <v>976</v>
      </c>
      <c r="Q118" s="53">
        <v>0.9375</v>
      </c>
      <c r="R118" s="3" t="str">
        <f>LEFT(Table1[[#This Row],[تاریخ پایان توقف]],4)</f>
        <v>1404</v>
      </c>
      <c r="S118" s="3" t="str">
        <f>_xlfn.IFNA(VLOOKUP(Table1[[#This Row],[ماه رفع توقف]],Table2[],3,0),"در حال تعمیر")</f>
        <v>بهار</v>
      </c>
      <c r="T118" s="3">
        <f>_xlfn.NUMBERVALUE(RIGHT(LEFT(Table1[[#This Row],[تاریخ پایان توقف]],7),2))</f>
        <v>3</v>
      </c>
      <c r="U118" s="3" t="str">
        <f>RIGHT(LEFT(Table1[[#This Row],[تاریخ پایان توقف]],10),2)</f>
        <v>24</v>
      </c>
      <c r="V118" s="3">
        <f>HOUR(Table1[[#This Row],[زمان پایان توقف]])</f>
        <v>22</v>
      </c>
      <c r="W118" s="3">
        <f>MINUTE(Table1[[#This Row],[زمان پایان توقف]])</f>
        <v>30</v>
      </c>
      <c r="X11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738066150</v>
      </c>
      <c r="Y118" s="44" t="s">
        <v>992</v>
      </c>
      <c r="Z118" s="83">
        <f>IFERROR((IF(Table1[[#This Row],[تاریخ پایان توقف]]&lt;&gt;"",Table1[[#This Row],[زمان رفع توقف]]-Table1[[#This Row],[زمان توقف]],"")/60),"")</f>
        <v>1.5</v>
      </c>
      <c r="AA118" s="3">
        <f>VLOOKUP(E118,Table4[],4,0)</f>
        <v>24</v>
      </c>
      <c r="AB118" s="3">
        <f>VLOOKUP(E118,Table4[],5,0)</f>
        <v>0.2</v>
      </c>
      <c r="AC118" s="3">
        <v>360</v>
      </c>
      <c r="AD118" s="3">
        <f>VLOOKUP(E118,Table4[],7,0)</f>
        <v>720</v>
      </c>
      <c r="AE118" s="83">
        <f>IF(Table1[[#This Row],[زمان آخرین رفع توقف قبل از توقف فعلی]]="","",(Table1[[#This Row],[زمان توقف]]-Table1[[#This Row],[زمان آخرین رفع توقف قبل از توقف فعلی]])/60)</f>
        <v>82.783333333333331</v>
      </c>
      <c r="AF11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738061093</v>
      </c>
    </row>
    <row r="119" spans="1:32">
      <c r="A119" s="36">
        <v>120</v>
      </c>
      <c r="B119" s="36" t="s">
        <v>75</v>
      </c>
      <c r="C119" s="36" t="s">
        <v>50</v>
      </c>
      <c r="D119" s="36" t="s">
        <v>45</v>
      </c>
      <c r="E119" s="85" t="s">
        <v>374</v>
      </c>
      <c r="F119" s="36" t="s">
        <v>12</v>
      </c>
      <c r="G119" s="56" t="s">
        <v>978</v>
      </c>
      <c r="H119" s="53">
        <v>0.6</v>
      </c>
      <c r="I119" s="6" t="str">
        <f>LEFT(Table1[[#This Row],[تاریخ توقف]],4)</f>
        <v>1404</v>
      </c>
      <c r="J119" s="6" t="str">
        <f>VLOOKUP(Table1[[#This Row],[ماه توقف]],Table2[],3,0)</f>
        <v>بهار</v>
      </c>
      <c r="K119" s="3">
        <f>_xlfn.NUMBERVALUE(RIGHT(LEFT(Table1[[#This Row],[تاریخ توقف]],7),2))</f>
        <v>3</v>
      </c>
      <c r="L119" s="3" t="str">
        <f>RIGHT(LEFT(Table1[[#This Row],[تاریخ توقف]],10),2)</f>
        <v>26</v>
      </c>
      <c r="M119" s="3">
        <f>HOUR(Table1[[#This Row],[زمان شروع توقف]])</f>
        <v>14</v>
      </c>
      <c r="N119" s="3">
        <f>MINUTE(Table1[[#This Row],[زمان شروع توقف]])</f>
        <v>24</v>
      </c>
      <c r="O119" s="3">
        <f>((Table1[[#This Row],[سال توقف]]*365+IF(Table1[[#This Row],[ماه توقف]]&lt;7,(Table1[[#This Row],[ماه توقف]]-1)*31,6*31+(Table1[[#This Row],[ماه توقف]]-6-1)*30)+(Table1[[#This Row],[روز توقف]])-1)*24+Table1[[#This Row],[ساعت توقف2]])*60+Table1[[#This Row],[دقیقه توقف]]</f>
        <v>738068544</v>
      </c>
      <c r="P119" s="56" t="s">
        <v>978</v>
      </c>
      <c r="Q119" s="53">
        <v>0.61875000000000002</v>
      </c>
      <c r="R119" s="3" t="str">
        <f>LEFT(Table1[[#This Row],[تاریخ پایان توقف]],4)</f>
        <v>1404</v>
      </c>
      <c r="S119" s="3" t="str">
        <f>_xlfn.IFNA(VLOOKUP(Table1[[#This Row],[ماه رفع توقف]],Table2[],3,0),"در حال تعمیر")</f>
        <v>بهار</v>
      </c>
      <c r="T119" s="3">
        <f>_xlfn.NUMBERVALUE(RIGHT(LEFT(Table1[[#This Row],[تاریخ پایان توقف]],7),2))</f>
        <v>3</v>
      </c>
      <c r="U119" s="3" t="str">
        <f>RIGHT(LEFT(Table1[[#This Row],[تاریخ پایان توقف]],10),2)</f>
        <v>26</v>
      </c>
      <c r="V119" s="3">
        <f>HOUR(Table1[[#This Row],[زمان پایان توقف]])</f>
        <v>14</v>
      </c>
      <c r="W119" s="3">
        <f>MINUTE(Table1[[#This Row],[زمان پایان توقف]])</f>
        <v>51</v>
      </c>
      <c r="X11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738068571</v>
      </c>
      <c r="Y119" s="44" t="s">
        <v>993</v>
      </c>
      <c r="Z119" s="83">
        <f>IFERROR((IF(Table1[[#This Row],[تاریخ پایان توقف]]&lt;&gt;"",Table1[[#This Row],[زمان رفع توقف]]-Table1[[#This Row],[زمان توقف]],"")/60),"")</f>
        <v>0.45</v>
      </c>
      <c r="AA119" s="3">
        <f>VLOOKUP(E119,Table4[],4,0)</f>
        <v>24</v>
      </c>
      <c r="AB119" s="3">
        <f>VLOOKUP(E119,Table4[],5,0)</f>
        <v>0.2</v>
      </c>
      <c r="AC119" s="3">
        <v>360</v>
      </c>
      <c r="AD119" s="3">
        <f>VLOOKUP(E119,Table4[],7,0)</f>
        <v>720</v>
      </c>
      <c r="AE119" s="83">
        <f>IF(Table1[[#This Row],[زمان آخرین رفع توقف قبل از توقف فعلی]]="","",(Table1[[#This Row],[زمان توقف]]-Table1[[#This Row],[زمان آخرین رفع توقف قبل از توقف فعلی]])/60)</f>
        <v>4324.6499999999996</v>
      </c>
      <c r="AF11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737809065</v>
      </c>
    </row>
    <row r="120" spans="1:32">
      <c r="A120" s="36">
        <v>121</v>
      </c>
      <c r="B120" s="36" t="s">
        <v>98</v>
      </c>
      <c r="C120" s="36" t="s">
        <v>881</v>
      </c>
      <c r="D120" s="36" t="s">
        <v>905</v>
      </c>
      <c r="E120" s="85" t="s">
        <v>91</v>
      </c>
      <c r="F120" s="36" t="s">
        <v>12</v>
      </c>
      <c r="G120" s="56" t="s">
        <v>977</v>
      </c>
      <c r="H120" s="53">
        <v>0.33333333333333331</v>
      </c>
      <c r="I120" s="6" t="str">
        <f>LEFT(Table1[[#This Row],[تاریخ توقف]],4)</f>
        <v>1404</v>
      </c>
      <c r="J120" s="6" t="str">
        <f>VLOOKUP(Table1[[#This Row],[ماه توقف]],Table2[],3,0)</f>
        <v>بهار</v>
      </c>
      <c r="K120" s="3">
        <f>_xlfn.NUMBERVALUE(RIGHT(LEFT(Table1[[#This Row],[تاریخ توقف]],7),2))</f>
        <v>3</v>
      </c>
      <c r="L120" s="3" t="str">
        <f>RIGHT(LEFT(Table1[[#This Row],[تاریخ توقف]],10),2)</f>
        <v>25</v>
      </c>
      <c r="M120" s="3">
        <f>HOUR(Table1[[#This Row],[زمان شروع توقف]])</f>
        <v>8</v>
      </c>
      <c r="N120" s="3">
        <f>MINUTE(Table1[[#This Row],[زمان شروع توقف]])</f>
        <v>0</v>
      </c>
      <c r="O120" s="3">
        <f>((Table1[[#This Row],[سال توقف]]*365+IF(Table1[[#This Row],[ماه توقف]]&lt;7,(Table1[[#This Row],[ماه توقف]]-1)*31,6*31+(Table1[[#This Row],[ماه توقف]]-6-1)*30)+(Table1[[#This Row],[روز توقف]])-1)*24+Table1[[#This Row],[ساعت توقف2]])*60+Table1[[#This Row],[دقیقه توقف]]</f>
        <v>738066720</v>
      </c>
      <c r="P120" s="56" t="s">
        <v>979</v>
      </c>
      <c r="Q120" s="53">
        <v>0.64722222222222225</v>
      </c>
      <c r="R120" s="3" t="str">
        <f>LEFT(Table1[[#This Row],[تاریخ پایان توقف]],4)</f>
        <v>1404</v>
      </c>
      <c r="S120" s="3" t="str">
        <f>_xlfn.IFNA(VLOOKUP(Table1[[#This Row],[ماه رفع توقف]],Table2[],3,0),"در حال تعمیر")</f>
        <v>بهار</v>
      </c>
      <c r="T120" s="3">
        <f>_xlfn.NUMBERVALUE(RIGHT(LEFT(Table1[[#This Row],[تاریخ پایان توقف]],7),2))</f>
        <v>3</v>
      </c>
      <c r="U120" s="3" t="str">
        <f>RIGHT(LEFT(Table1[[#This Row],[تاریخ پایان توقف]],10),2)</f>
        <v>27</v>
      </c>
      <c r="V120" s="3">
        <f>HOUR(Table1[[#This Row],[زمان پایان توقف]])</f>
        <v>15</v>
      </c>
      <c r="W120" s="3">
        <f>MINUTE(Table1[[#This Row],[زمان پایان توقف]])</f>
        <v>32</v>
      </c>
      <c r="X12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738070052</v>
      </c>
      <c r="Y120" s="44" t="s">
        <v>994</v>
      </c>
      <c r="Z120" s="83">
        <f>IFERROR((IF(Table1[[#This Row],[تاریخ پایان توقف]]&lt;&gt;"",Table1[[#This Row],[زمان رفع توقف]]-Table1[[#This Row],[زمان توقف]],"")/60),"")</f>
        <v>55.533333333333331</v>
      </c>
      <c r="AA120" s="3">
        <f>VLOOKUP(E120,Table4[],4,0)</f>
        <v>24</v>
      </c>
      <c r="AB120" s="3">
        <f>VLOOKUP(E120,Table4[],5,0)</f>
        <v>0.2</v>
      </c>
      <c r="AC120" s="3">
        <v>360</v>
      </c>
      <c r="AD120" s="3">
        <f>VLOOKUP(E120,Table4[],7,0)</f>
        <v>720</v>
      </c>
      <c r="AE120" s="83">
        <f>IF(Table1[[#This Row],[زمان آخرین رفع توقف قبل از توقف فعلی]]="","",(Table1[[#This Row],[زمان توقف]]-Table1[[#This Row],[زمان آخرین رفع توقف قبل از توقف فعلی]])/60)</f>
        <v>84.7</v>
      </c>
      <c r="AF12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738061638</v>
      </c>
    </row>
    <row r="121" spans="1:32">
      <c r="A121" s="36">
        <v>122</v>
      </c>
      <c r="B121" s="36" t="s">
        <v>98</v>
      </c>
      <c r="C121" s="36" t="s">
        <v>881</v>
      </c>
      <c r="D121" s="36" t="s">
        <v>905</v>
      </c>
      <c r="E121" s="85" t="s">
        <v>91</v>
      </c>
      <c r="F121" s="36" t="s">
        <v>12</v>
      </c>
      <c r="G121" s="56" t="s">
        <v>980</v>
      </c>
      <c r="H121" s="53">
        <v>0.71875</v>
      </c>
      <c r="I121" s="6" t="str">
        <f>LEFT(Table1[[#This Row],[تاریخ توقف]],4)</f>
        <v>1404</v>
      </c>
      <c r="J121" s="6" t="str">
        <f>VLOOKUP(Table1[[#This Row],[ماه توقف]],Table2[],3,0)</f>
        <v>بهار</v>
      </c>
      <c r="K121" s="3">
        <f>_xlfn.NUMBERVALUE(RIGHT(LEFT(Table1[[#This Row],[تاریخ توقف]],7),2))</f>
        <v>3</v>
      </c>
      <c r="L121" s="3" t="str">
        <f>RIGHT(LEFT(Table1[[#This Row],[تاریخ توقف]],10),2)</f>
        <v>28</v>
      </c>
      <c r="M121" s="3">
        <f>HOUR(Table1[[#This Row],[زمان شروع توقف]])</f>
        <v>17</v>
      </c>
      <c r="N121" s="3">
        <f>MINUTE(Table1[[#This Row],[زمان شروع توقف]])</f>
        <v>15</v>
      </c>
      <c r="O121" s="3">
        <f>((Table1[[#This Row],[سال توقف]]*365+IF(Table1[[#This Row],[ماه توقف]]&lt;7,(Table1[[#This Row],[ماه توقف]]-1)*31,6*31+(Table1[[#This Row],[ماه توقف]]-6-1)*30)+(Table1[[#This Row],[روز توقف]])-1)*24+Table1[[#This Row],[ساعت توقف2]])*60+Table1[[#This Row],[دقیقه توقف]]</f>
        <v>738071595</v>
      </c>
      <c r="P121" s="56" t="s">
        <v>995</v>
      </c>
      <c r="Q121" s="53">
        <v>0.625</v>
      </c>
      <c r="R121" s="3" t="str">
        <f>LEFT(Table1[[#This Row],[تاریخ پایان توقف]],4)</f>
        <v>1404</v>
      </c>
      <c r="S121" s="3" t="str">
        <f>_xlfn.IFNA(VLOOKUP(Table1[[#This Row],[ماه رفع توقف]],Table2[],3,0),"در حال تعمیر")</f>
        <v>تابستان</v>
      </c>
      <c r="T121" s="3">
        <f>_xlfn.NUMBERVALUE(RIGHT(LEFT(Table1[[#This Row],[تاریخ پایان توقف]],7),2))</f>
        <v>4</v>
      </c>
      <c r="U121" s="3" t="str">
        <f>RIGHT(LEFT(Table1[[#This Row],[تاریخ پایان توقف]],10),2)</f>
        <v>02</v>
      </c>
      <c r="V121" s="3">
        <f>HOUR(Table1[[#This Row],[زمان پایان توقف]])</f>
        <v>15</v>
      </c>
      <c r="W121" s="3">
        <f>MINUTE(Table1[[#This Row],[زمان پایان توقف]])</f>
        <v>0</v>
      </c>
      <c r="X12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738078660</v>
      </c>
      <c r="Y121" s="44" t="s">
        <v>996</v>
      </c>
      <c r="Z121" s="83">
        <f>IFERROR((IF(Table1[[#This Row],[تاریخ پایان توقف]]&lt;&gt;"",Table1[[#This Row],[زمان رفع توقف]]-Table1[[#This Row],[زمان توقف]],"")/60),"")</f>
        <v>117.75</v>
      </c>
      <c r="AA121" s="3">
        <f>VLOOKUP(E121,Table4[],4,0)</f>
        <v>24</v>
      </c>
      <c r="AB121" s="3">
        <f>VLOOKUP(E121,Table4[],5,0)</f>
        <v>0.2</v>
      </c>
      <c r="AC121" s="3">
        <v>360</v>
      </c>
      <c r="AD121" s="3">
        <f>VLOOKUP(E121,Table4[],7,0)</f>
        <v>720</v>
      </c>
      <c r="AE121" s="83">
        <f>IF(Table1[[#This Row],[زمان آخرین رفع توقف قبل از توقف فعلی]]="","",(Table1[[#This Row],[زمان توقف]]-Table1[[#This Row],[زمان آخرین رفع توقف قبل از توقف فعلی]])/60)</f>
        <v>25.716666666666665</v>
      </c>
      <c r="AF12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738070052</v>
      </c>
    </row>
    <row r="122" spans="1:32">
      <c r="A122" s="36">
        <v>123</v>
      </c>
      <c r="B122" s="36" t="s">
        <v>98</v>
      </c>
      <c r="C122" s="36" t="s">
        <v>881</v>
      </c>
      <c r="D122" s="36" t="s">
        <v>905</v>
      </c>
      <c r="E122" s="85" t="s">
        <v>91</v>
      </c>
      <c r="F122" s="36" t="s">
        <v>12</v>
      </c>
      <c r="G122" s="56" t="s">
        <v>997</v>
      </c>
      <c r="H122" s="53">
        <v>0.35347222222222219</v>
      </c>
      <c r="I122" s="6" t="str">
        <f>LEFT(Table1[[#This Row],[تاریخ توقف]],4)</f>
        <v>1404</v>
      </c>
      <c r="J122" s="6" t="str">
        <f>VLOOKUP(Table1[[#This Row],[ماه توقف]],Table2[],3,0)</f>
        <v>تابستان</v>
      </c>
      <c r="K122" s="3">
        <f>_xlfn.NUMBERVALUE(RIGHT(LEFT(Table1[[#This Row],[تاریخ توقف]],7),2))</f>
        <v>4</v>
      </c>
      <c r="L122" s="3" t="str">
        <f>RIGHT(LEFT(Table1[[#This Row],[تاریخ توقف]],10),2)</f>
        <v>07</v>
      </c>
      <c r="M122" s="3">
        <f>HOUR(Table1[[#This Row],[زمان شروع توقف]])</f>
        <v>8</v>
      </c>
      <c r="N122" s="3">
        <f>MINUTE(Table1[[#This Row],[زمان شروع توقف]])</f>
        <v>29</v>
      </c>
      <c r="O122" s="3">
        <f>((Table1[[#This Row],[سال توقف]]*365+IF(Table1[[#This Row],[ماه توقف]]&lt;7,(Table1[[#This Row],[ماه توقف]]-1)*31,6*31+(Table1[[#This Row],[ماه توقف]]-6-1)*30)+(Table1[[#This Row],[روز توقف]])-1)*24+Table1[[#This Row],[ساعت توقف2]])*60+Table1[[#This Row],[دقیقه توقف]]</f>
        <v>738085469</v>
      </c>
      <c r="P122" s="56" t="s">
        <v>997</v>
      </c>
      <c r="Q122" s="53">
        <v>0.36527777777777781</v>
      </c>
      <c r="R122" s="3" t="str">
        <f>LEFT(Table1[[#This Row],[تاریخ پایان توقف]],4)</f>
        <v>1404</v>
      </c>
      <c r="S122" s="3" t="str">
        <f>_xlfn.IFNA(VLOOKUP(Table1[[#This Row],[ماه رفع توقف]],Table2[],3,0),"در حال تعمیر")</f>
        <v>تابستان</v>
      </c>
      <c r="T122" s="3">
        <f>_xlfn.NUMBERVALUE(RIGHT(LEFT(Table1[[#This Row],[تاریخ پایان توقف]],7),2))</f>
        <v>4</v>
      </c>
      <c r="U122" s="3" t="str">
        <f>RIGHT(LEFT(Table1[[#This Row],[تاریخ پایان توقف]],10),2)</f>
        <v>07</v>
      </c>
      <c r="V122" s="3">
        <f>HOUR(Table1[[#This Row],[زمان پایان توقف]])</f>
        <v>8</v>
      </c>
      <c r="W122" s="3">
        <f>MINUTE(Table1[[#This Row],[زمان پایان توقف]])</f>
        <v>46</v>
      </c>
      <c r="X12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738085486</v>
      </c>
      <c r="Y122" s="44" t="s">
        <v>998</v>
      </c>
      <c r="Z122" s="83">
        <f>IFERROR((IF(Table1[[#This Row],[تاریخ پایان توقف]]&lt;&gt;"",Table1[[#This Row],[زمان رفع توقف]]-Table1[[#This Row],[زمان توقف]],"")/60),"")</f>
        <v>0.28333333333333333</v>
      </c>
      <c r="AA122" s="3">
        <f>VLOOKUP(E122,Table4[],4,0)</f>
        <v>24</v>
      </c>
      <c r="AB122" s="3">
        <f>VLOOKUP(E122,Table4[],5,0)</f>
        <v>0.2</v>
      </c>
      <c r="AC122" s="3">
        <v>360</v>
      </c>
      <c r="AD122" s="3">
        <f>VLOOKUP(E122,Table4[],7,0)</f>
        <v>720</v>
      </c>
      <c r="AE122" s="83">
        <f>IF(Table1[[#This Row],[زمان آخرین رفع توقف قبل از توقف فعلی]]="","",(Table1[[#This Row],[زمان توقف]]-Table1[[#This Row],[زمان آخرین رفع توقف قبل از توقف فعلی]])/60)</f>
        <v>113.48333333333333</v>
      </c>
      <c r="AF12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738078660</v>
      </c>
    </row>
    <row r="123" spans="1:32">
      <c r="A123" s="36">
        <v>124</v>
      </c>
      <c r="B123" s="36" t="s">
        <v>98</v>
      </c>
      <c r="C123" s="36" t="s">
        <v>573</v>
      </c>
      <c r="D123" s="36" t="s">
        <v>882</v>
      </c>
      <c r="E123" s="85" t="s">
        <v>222</v>
      </c>
      <c r="F123" s="36" t="s">
        <v>12</v>
      </c>
      <c r="G123" s="56" t="s">
        <v>997</v>
      </c>
      <c r="H123" s="53">
        <v>0.67361111111111116</v>
      </c>
      <c r="I123" s="6" t="str">
        <f>LEFT(Table1[[#This Row],[تاریخ توقف]],4)</f>
        <v>1404</v>
      </c>
      <c r="J123" s="6" t="str">
        <f>VLOOKUP(Table1[[#This Row],[ماه توقف]],Table2[],3,0)</f>
        <v>تابستان</v>
      </c>
      <c r="K123" s="3">
        <f>_xlfn.NUMBERVALUE(RIGHT(LEFT(Table1[[#This Row],[تاریخ توقف]],7),2))</f>
        <v>4</v>
      </c>
      <c r="L123" s="3" t="str">
        <f>RIGHT(LEFT(Table1[[#This Row],[تاریخ توقف]],10),2)</f>
        <v>07</v>
      </c>
      <c r="M123" s="3">
        <f>HOUR(Table1[[#This Row],[زمان شروع توقف]])</f>
        <v>16</v>
      </c>
      <c r="N123" s="3">
        <f>MINUTE(Table1[[#This Row],[زمان شروع توقف]])</f>
        <v>10</v>
      </c>
      <c r="O123" s="3">
        <f>((Table1[[#This Row],[سال توقف]]*365+IF(Table1[[#This Row],[ماه توقف]]&lt;7,(Table1[[#This Row],[ماه توقف]]-1)*31,6*31+(Table1[[#This Row],[ماه توقف]]-6-1)*30)+(Table1[[#This Row],[روز توقف]])-1)*24+Table1[[#This Row],[ساعت توقف2]])*60+Table1[[#This Row],[دقیقه توقف]]</f>
        <v>738085930</v>
      </c>
      <c r="P123" s="56" t="s">
        <v>997</v>
      </c>
      <c r="Q123" s="53">
        <v>0.75</v>
      </c>
      <c r="R123" s="3" t="str">
        <f>LEFT(Table1[[#This Row],[تاریخ پایان توقف]],4)</f>
        <v>1404</v>
      </c>
      <c r="S123" s="3" t="str">
        <f>_xlfn.IFNA(VLOOKUP(Table1[[#This Row],[ماه رفع توقف]],Table2[],3,0),"در حال تعمیر")</f>
        <v>تابستان</v>
      </c>
      <c r="T123" s="3">
        <f>_xlfn.NUMBERVALUE(RIGHT(LEFT(Table1[[#This Row],[تاریخ پایان توقف]],7),2))</f>
        <v>4</v>
      </c>
      <c r="U123" s="3" t="str">
        <f>RIGHT(LEFT(Table1[[#This Row],[تاریخ پایان توقف]],10),2)</f>
        <v>07</v>
      </c>
      <c r="V123" s="3">
        <f>HOUR(Table1[[#This Row],[زمان پایان توقف]])</f>
        <v>18</v>
      </c>
      <c r="W123" s="3">
        <f>MINUTE(Table1[[#This Row],[زمان پایان توقف]])</f>
        <v>0</v>
      </c>
      <c r="X12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738086040</v>
      </c>
      <c r="Y123" s="44" t="s">
        <v>999</v>
      </c>
      <c r="Z123" s="83">
        <f>IFERROR((IF(Table1[[#This Row],[تاریخ پایان توقف]]&lt;&gt;"",Table1[[#This Row],[زمان رفع توقف]]-Table1[[#This Row],[زمان توقف]],"")/60),"")</f>
        <v>1.8333333333333333</v>
      </c>
      <c r="AA123" s="3">
        <f>VLOOKUP(E123,Table4[],4,0)</f>
        <v>24</v>
      </c>
      <c r="AB123" s="3">
        <f>VLOOKUP(E123,Table4[],5,0)</f>
        <v>0.2</v>
      </c>
      <c r="AC123" s="3">
        <v>360</v>
      </c>
      <c r="AD123" s="3">
        <f>VLOOKUP(E123,Table4[],7,0)</f>
        <v>720</v>
      </c>
      <c r="AE123" s="83">
        <f>IF(Table1[[#This Row],[زمان آخرین رفع توقف قبل از توقف فعلی]]="","",(Table1[[#This Row],[زمان توقف]]-Table1[[#This Row],[زمان آخرین رفع توقف قبل از توقف فعلی]])/60)</f>
        <v>769.16666666666663</v>
      </c>
      <c r="AF12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738039780</v>
      </c>
    </row>
    <row r="124" spans="1:32">
      <c r="A124" s="36">
        <v>125</v>
      </c>
      <c r="B124" s="36" t="s">
        <v>98</v>
      </c>
      <c r="C124" s="36" t="s">
        <v>121</v>
      </c>
      <c r="D124" s="36" t="s">
        <v>120</v>
      </c>
      <c r="E124" s="86" t="s">
        <v>122</v>
      </c>
      <c r="F124" s="36" t="s">
        <v>12</v>
      </c>
      <c r="G124" s="56" t="s">
        <v>1000</v>
      </c>
      <c r="H124" s="53">
        <v>0.90833333333333333</v>
      </c>
      <c r="I124" s="6" t="str">
        <f>LEFT(Table1[[#This Row],[تاریخ توقف]],4)</f>
        <v>1404</v>
      </c>
      <c r="J124" s="6" t="str">
        <f>VLOOKUP(Table1[[#This Row],[ماه توقف]],Table2[],3,0)</f>
        <v>تابستان</v>
      </c>
      <c r="K124" s="3">
        <f>_xlfn.NUMBERVALUE(RIGHT(LEFT(Table1[[#This Row],[تاریخ توقف]],7),2))</f>
        <v>4</v>
      </c>
      <c r="L124" s="3" t="str">
        <f>RIGHT(LEFT(Table1[[#This Row],[تاریخ توقف]],10),2)</f>
        <v>17</v>
      </c>
      <c r="M124" s="3">
        <f>HOUR(Table1[[#This Row],[زمان شروع توقف]])</f>
        <v>21</v>
      </c>
      <c r="N124" s="3">
        <f>MINUTE(Table1[[#This Row],[زمان شروع توقف]])</f>
        <v>48</v>
      </c>
      <c r="O124" s="3">
        <f>((Table1[[#This Row],[سال توقف]]*365+IF(Table1[[#This Row],[ماه توقف]]&lt;7,(Table1[[#This Row],[ماه توقف]]-1)*31,6*31+(Table1[[#This Row],[ماه توقف]]-6-1)*30)+(Table1[[#This Row],[روز توقف]])-1)*24+Table1[[#This Row],[ساعت توقف2]])*60+Table1[[#This Row],[دقیقه توقف]]</f>
        <v>738100668</v>
      </c>
      <c r="P124" s="56" t="s">
        <v>1002</v>
      </c>
      <c r="Q124" s="53">
        <v>0.46666666666666662</v>
      </c>
      <c r="R124" s="3" t="str">
        <f>LEFT(Table1[[#This Row],[تاریخ پایان توقف]],4)</f>
        <v>1404</v>
      </c>
      <c r="S124" s="3" t="str">
        <f>_xlfn.IFNA(VLOOKUP(Table1[[#This Row],[ماه رفع توقف]],Table2[],3,0),"در حال تعمیر")</f>
        <v>تابستان</v>
      </c>
      <c r="T124" s="3">
        <f>_xlfn.NUMBERVALUE(RIGHT(LEFT(Table1[[#This Row],[تاریخ پایان توقف]],7),2))</f>
        <v>4</v>
      </c>
      <c r="U124" s="3" t="str">
        <f>RIGHT(LEFT(Table1[[#This Row],[تاریخ پایان توقف]],10),2)</f>
        <v>18</v>
      </c>
      <c r="V124" s="3">
        <f>HOUR(Table1[[#This Row],[زمان پایان توقف]])</f>
        <v>11</v>
      </c>
      <c r="W124" s="3">
        <f>MINUTE(Table1[[#This Row],[زمان پایان توقف]])</f>
        <v>12</v>
      </c>
      <c r="X12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738101472</v>
      </c>
      <c r="Y124" s="44" t="s">
        <v>1001</v>
      </c>
      <c r="Z124" s="83">
        <f>IFERROR((IF(Table1[[#This Row],[تاریخ پایان توقف]]&lt;&gt;"",Table1[[#This Row],[زمان رفع توقف]]-Table1[[#This Row],[زمان توقف]],"")/60),"")</f>
        <v>13.4</v>
      </c>
      <c r="AA124" s="3">
        <f>VLOOKUP(E124,Table4[],4,0)</f>
        <v>24</v>
      </c>
      <c r="AB124" s="3">
        <f>VLOOKUP(E124,Table4[],5,0)</f>
        <v>0.2</v>
      </c>
      <c r="AC124" s="3">
        <v>360</v>
      </c>
      <c r="AD124" s="3">
        <f>VLOOKUP(E124,Table4[],7,0)</f>
        <v>720</v>
      </c>
      <c r="AE124" s="83">
        <f>IF(Table1[[#This Row],[زمان آخرین رفع توقف قبل از توقف فعلی]]="","",(Table1[[#This Row],[زمان توقف]]-Table1[[#This Row],[زمان آخرین رفع توقف قبل از توقف فعلی]])/60)</f>
        <v>923.3</v>
      </c>
      <c r="AF12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738045270</v>
      </c>
    </row>
    <row r="125" spans="1:32">
      <c r="A125" s="36">
        <v>126</v>
      </c>
      <c r="B125" s="36" t="s">
        <v>98</v>
      </c>
      <c r="C125" s="36" t="s">
        <v>116</v>
      </c>
      <c r="D125" s="36" t="s">
        <v>115</v>
      </c>
      <c r="E125" s="86" t="s">
        <v>117</v>
      </c>
      <c r="F125" s="36" t="s">
        <v>12</v>
      </c>
      <c r="G125" s="56" t="s">
        <v>1002</v>
      </c>
      <c r="H125" s="53">
        <v>0.29097222222222224</v>
      </c>
      <c r="I125" s="6" t="str">
        <f>LEFT(Table1[[#This Row],[تاریخ توقف]],4)</f>
        <v>1404</v>
      </c>
      <c r="J125" s="6" t="str">
        <f>VLOOKUP(Table1[[#This Row],[ماه توقف]],Table2[],3,0)</f>
        <v>تابستان</v>
      </c>
      <c r="K125" s="3">
        <f>_xlfn.NUMBERVALUE(RIGHT(LEFT(Table1[[#This Row],[تاریخ توقف]],7),2))</f>
        <v>4</v>
      </c>
      <c r="L125" s="3" t="str">
        <f>RIGHT(LEFT(Table1[[#This Row],[تاریخ توقف]],10),2)</f>
        <v>18</v>
      </c>
      <c r="M125" s="3">
        <f>HOUR(Table1[[#This Row],[زمان شروع توقف]])</f>
        <v>6</v>
      </c>
      <c r="N125" s="3">
        <f>MINUTE(Table1[[#This Row],[زمان شروع توقف]])</f>
        <v>59</v>
      </c>
      <c r="O125" s="3">
        <f>((Table1[[#This Row],[سال توقف]]*365+IF(Table1[[#This Row],[ماه توقف]]&lt;7,(Table1[[#This Row],[ماه توقف]]-1)*31,6*31+(Table1[[#This Row],[ماه توقف]]-6-1)*30)+(Table1[[#This Row],[روز توقف]])-1)*24+Table1[[#This Row],[ساعت توقف2]])*60+Table1[[#This Row],[دقیقه توقف]]</f>
        <v>738101219</v>
      </c>
      <c r="P125" s="56" t="s">
        <v>1002</v>
      </c>
      <c r="Q125" s="53">
        <v>0.40208333333333335</v>
      </c>
      <c r="R125" s="3" t="str">
        <f>LEFT(Table1[[#This Row],[تاریخ پایان توقف]],4)</f>
        <v>1404</v>
      </c>
      <c r="S125" s="3" t="str">
        <f>_xlfn.IFNA(VLOOKUP(Table1[[#This Row],[ماه رفع توقف]],Table2[],3,0),"در حال تعمیر")</f>
        <v>تابستان</v>
      </c>
      <c r="T125" s="3">
        <f>_xlfn.NUMBERVALUE(RIGHT(LEFT(Table1[[#This Row],[تاریخ پایان توقف]],7),2))</f>
        <v>4</v>
      </c>
      <c r="U125" s="3" t="str">
        <f>RIGHT(LEFT(Table1[[#This Row],[تاریخ پایان توقف]],10),2)</f>
        <v>18</v>
      </c>
      <c r="V125" s="3">
        <f>HOUR(Table1[[#This Row],[زمان پایان توقف]])</f>
        <v>9</v>
      </c>
      <c r="W125" s="3">
        <f>MINUTE(Table1[[#This Row],[زمان پایان توقف]])</f>
        <v>39</v>
      </c>
      <c r="X12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738101379</v>
      </c>
      <c r="Y125" s="44" t="s">
        <v>1003</v>
      </c>
      <c r="Z125" s="83">
        <f>IFERROR((IF(Table1[[#This Row],[تاریخ پایان توقف]]&lt;&gt;"",Table1[[#This Row],[زمان رفع توقف]]-Table1[[#This Row],[زمان توقف]],"")/60),"")</f>
        <v>2.6666666666666665</v>
      </c>
      <c r="AA125" s="3">
        <f>VLOOKUP(E125,Table4[],4,0)</f>
        <v>24</v>
      </c>
      <c r="AB125" s="3">
        <f>VLOOKUP(E125,Table4[],5,0)</f>
        <v>0.2</v>
      </c>
      <c r="AC125" s="3">
        <v>360</v>
      </c>
      <c r="AD125" s="3">
        <f>VLOOKUP(E125,Table4[],7,0)</f>
        <v>720</v>
      </c>
      <c r="AE125" s="83">
        <f>IF(Table1[[#This Row],[زمان آخرین رفع توقف قبل از توقف فعلی]]="","",(Table1[[#This Row],[زمان توقف]]-Table1[[#This Row],[زمان آخرین رفع توقف قبل از توقف فعلی]])/60)</f>
        <v>664.65</v>
      </c>
      <c r="AF12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738061340</v>
      </c>
    </row>
    <row r="126" spans="1:32" ht="30">
      <c r="A126" s="36">
        <v>127</v>
      </c>
      <c r="B126" s="36" t="s">
        <v>97</v>
      </c>
      <c r="C126" s="36" t="s">
        <v>137</v>
      </c>
      <c r="D126" s="36" t="s">
        <v>144</v>
      </c>
      <c r="E126" s="85" t="s">
        <v>57</v>
      </c>
      <c r="F126" s="36" t="s">
        <v>12</v>
      </c>
      <c r="G126" s="56" t="s">
        <v>1002</v>
      </c>
      <c r="H126" s="53">
        <v>0.34027777777777773</v>
      </c>
      <c r="I126" s="6" t="str">
        <f>LEFT(Table1[[#This Row],[تاریخ توقف]],4)</f>
        <v>1404</v>
      </c>
      <c r="J126" s="6" t="str">
        <f>VLOOKUP(Table1[[#This Row],[ماه توقف]],Table2[],3,0)</f>
        <v>تابستان</v>
      </c>
      <c r="K126" s="3">
        <f>_xlfn.NUMBERVALUE(RIGHT(LEFT(Table1[[#This Row],[تاریخ توقف]],7),2))</f>
        <v>4</v>
      </c>
      <c r="L126" s="3" t="str">
        <f>RIGHT(LEFT(Table1[[#This Row],[تاریخ توقف]],10),2)</f>
        <v>18</v>
      </c>
      <c r="M126" s="3">
        <f>HOUR(Table1[[#This Row],[زمان شروع توقف]])</f>
        <v>8</v>
      </c>
      <c r="N126" s="3">
        <f>MINUTE(Table1[[#This Row],[زمان شروع توقف]])</f>
        <v>10</v>
      </c>
      <c r="O126" s="3">
        <f>((Table1[[#This Row],[سال توقف]]*365+IF(Table1[[#This Row],[ماه توقف]]&lt;7,(Table1[[#This Row],[ماه توقف]]-1)*31,6*31+(Table1[[#This Row],[ماه توقف]]-6-1)*30)+(Table1[[#This Row],[روز توقف]])-1)*24+Table1[[#This Row],[ساعت توقف2]])*60+Table1[[#This Row],[دقیقه توقف]]</f>
        <v>738101290</v>
      </c>
      <c r="P126" s="56" t="s">
        <v>1002</v>
      </c>
      <c r="Q126" s="53">
        <v>0.36805555555555558</v>
      </c>
      <c r="R126" s="3" t="str">
        <f>LEFT(Table1[[#This Row],[تاریخ پایان توقف]],4)</f>
        <v>1404</v>
      </c>
      <c r="S126" s="3" t="str">
        <f>_xlfn.IFNA(VLOOKUP(Table1[[#This Row],[ماه رفع توقف]],Table2[],3,0),"در حال تعمیر")</f>
        <v>تابستان</v>
      </c>
      <c r="T126" s="3">
        <f>_xlfn.NUMBERVALUE(RIGHT(LEFT(Table1[[#This Row],[تاریخ پایان توقف]],7),2))</f>
        <v>4</v>
      </c>
      <c r="U126" s="3" t="str">
        <f>RIGHT(LEFT(Table1[[#This Row],[تاریخ پایان توقف]],10),2)</f>
        <v>18</v>
      </c>
      <c r="V126" s="3">
        <f>HOUR(Table1[[#This Row],[زمان پایان توقف]])</f>
        <v>8</v>
      </c>
      <c r="W126" s="3">
        <f>MINUTE(Table1[[#This Row],[زمان پایان توقف]])</f>
        <v>50</v>
      </c>
      <c r="X12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738101330</v>
      </c>
      <c r="Y126" s="49" t="s">
        <v>1005</v>
      </c>
      <c r="Z126" s="83">
        <f>IFERROR((IF(Table1[[#This Row],[تاریخ پایان توقف]]&lt;&gt;"",Table1[[#This Row],[زمان رفع توقف]]-Table1[[#This Row],[زمان توقف]],"")/60),"")</f>
        <v>0.66666666666666663</v>
      </c>
      <c r="AA126" s="3">
        <f>VLOOKUP(E126,Table4[],4,0)</f>
        <v>24</v>
      </c>
      <c r="AB126" s="3">
        <f>VLOOKUP(E126,Table4[],5,0)</f>
        <v>0.2</v>
      </c>
      <c r="AC126" s="3">
        <v>360</v>
      </c>
      <c r="AD126" s="3">
        <f>VLOOKUP(E126,Table4[],7,0)</f>
        <v>720</v>
      </c>
      <c r="AE126" s="83">
        <f>IF(Table1[[#This Row],[زمان آخرین رفع توقف قبل از توقف فعلی]]="","",(Table1[[#This Row],[زمان توقف]]-Table1[[#This Row],[زمان آخرین رفع توقف قبل از توقف فعلی]])/60)</f>
        <v>4506.166666666667</v>
      </c>
      <c r="AF12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737830920</v>
      </c>
    </row>
    <row r="127" spans="1:32">
      <c r="A127" s="36">
        <v>128</v>
      </c>
      <c r="B127" s="36" t="s">
        <v>98</v>
      </c>
      <c r="C127" s="36" t="s">
        <v>121</v>
      </c>
      <c r="D127" s="36" t="s">
        <v>120</v>
      </c>
      <c r="E127" s="86" t="s">
        <v>122</v>
      </c>
      <c r="F127" s="36" t="s">
        <v>12</v>
      </c>
      <c r="G127" s="56" t="s">
        <v>1002</v>
      </c>
      <c r="H127" s="53">
        <v>0.85416666666666663</v>
      </c>
      <c r="I127" s="6" t="str">
        <f>LEFT(Table1[[#This Row],[تاریخ توقف]],4)</f>
        <v>1404</v>
      </c>
      <c r="J127" s="6" t="str">
        <f>VLOOKUP(Table1[[#This Row],[ماه توقف]],Table2[],3,0)</f>
        <v>تابستان</v>
      </c>
      <c r="K127" s="3">
        <f>_xlfn.NUMBERVALUE(RIGHT(LEFT(Table1[[#This Row],[تاریخ توقف]],7),2))</f>
        <v>4</v>
      </c>
      <c r="L127" s="3" t="str">
        <f>RIGHT(LEFT(Table1[[#This Row],[تاریخ توقف]],10),2)</f>
        <v>18</v>
      </c>
      <c r="M127" s="3">
        <f>HOUR(Table1[[#This Row],[زمان شروع توقف]])</f>
        <v>20</v>
      </c>
      <c r="N127" s="3">
        <f>MINUTE(Table1[[#This Row],[زمان شروع توقف]])</f>
        <v>30</v>
      </c>
      <c r="O127" s="3">
        <f>((Table1[[#This Row],[سال توقف]]*365+IF(Table1[[#This Row],[ماه توقف]]&lt;7,(Table1[[#This Row],[ماه توقف]]-1)*31,6*31+(Table1[[#This Row],[ماه توقف]]-6-1)*30)+(Table1[[#This Row],[روز توقف]])-1)*24+Table1[[#This Row],[ساعت توقف2]])*60+Table1[[#This Row],[دقیقه توقف]]</f>
        <v>738102030</v>
      </c>
      <c r="P127" s="56" t="s">
        <v>1002</v>
      </c>
      <c r="Q127" s="53">
        <v>0.86111111111111116</v>
      </c>
      <c r="R127" s="3" t="str">
        <f>LEFT(Table1[[#This Row],[تاریخ پایان توقف]],4)</f>
        <v>1404</v>
      </c>
      <c r="S127" s="3" t="str">
        <f>_xlfn.IFNA(VLOOKUP(Table1[[#This Row],[ماه رفع توقف]],Table2[],3,0),"در حال تعمیر")</f>
        <v>تابستان</v>
      </c>
      <c r="T127" s="3">
        <f>_xlfn.NUMBERVALUE(RIGHT(LEFT(Table1[[#This Row],[تاریخ پایان توقف]],7),2))</f>
        <v>4</v>
      </c>
      <c r="U127" s="3" t="str">
        <f>RIGHT(LEFT(Table1[[#This Row],[تاریخ پایان توقف]],10),2)</f>
        <v>18</v>
      </c>
      <c r="V127" s="3">
        <f>HOUR(Table1[[#This Row],[زمان پایان توقف]])</f>
        <v>20</v>
      </c>
      <c r="W127" s="3">
        <f>MINUTE(Table1[[#This Row],[زمان پایان توقف]])</f>
        <v>40</v>
      </c>
      <c r="X12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738102040</v>
      </c>
      <c r="Y127" s="44" t="s">
        <v>1006</v>
      </c>
      <c r="Z127" s="83">
        <f>IFERROR((IF(Table1[[#This Row],[تاریخ پایان توقف]]&lt;&gt;"",Table1[[#This Row],[زمان رفع توقف]]-Table1[[#This Row],[زمان توقف]],"")/60),"")</f>
        <v>0.16666666666666666</v>
      </c>
      <c r="AA127" s="3">
        <f>VLOOKUP(E127,Table4[],4,0)</f>
        <v>24</v>
      </c>
      <c r="AB127" s="3">
        <f>VLOOKUP(E127,Table4[],5,0)</f>
        <v>0.2</v>
      </c>
      <c r="AC127" s="3">
        <v>360</v>
      </c>
      <c r="AD127" s="3">
        <f>VLOOKUP(E127,Table4[],7,0)</f>
        <v>720</v>
      </c>
      <c r="AE127" s="83">
        <f>IF(Table1[[#This Row],[زمان آخرین رفع توقف قبل از توقف فعلی]]="","",(Table1[[#This Row],[زمان توقف]]-Table1[[#This Row],[زمان آخرین رفع توقف قبل از توقف فعلی]])/60)</f>
        <v>9.3000000000000007</v>
      </c>
      <c r="AF12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738101472</v>
      </c>
    </row>
    <row r="128" spans="1:32">
      <c r="A128" s="36">
        <v>129</v>
      </c>
      <c r="B128" s="36" t="s">
        <v>98</v>
      </c>
      <c r="C128" s="36" t="s">
        <v>116</v>
      </c>
      <c r="D128" s="36" t="s">
        <v>115</v>
      </c>
      <c r="E128" s="86" t="s">
        <v>117</v>
      </c>
      <c r="F128" s="36" t="s">
        <v>12</v>
      </c>
      <c r="G128" s="56" t="s">
        <v>1004</v>
      </c>
      <c r="H128" s="53">
        <v>0.19097222222222221</v>
      </c>
      <c r="I128" s="6" t="str">
        <f>LEFT(Table1[[#This Row],[تاریخ توقف]],4)</f>
        <v>1404</v>
      </c>
      <c r="J128" s="6" t="str">
        <f>VLOOKUP(Table1[[#This Row],[ماه توقف]],Table2[],3,0)</f>
        <v>تابستان</v>
      </c>
      <c r="K128" s="3">
        <f>_xlfn.NUMBERVALUE(RIGHT(LEFT(Table1[[#This Row],[تاریخ توقف]],7),2))</f>
        <v>4</v>
      </c>
      <c r="L128" s="3" t="str">
        <f>RIGHT(LEFT(Table1[[#This Row],[تاریخ توقف]],10),2)</f>
        <v>19</v>
      </c>
      <c r="M128" s="3">
        <f>HOUR(Table1[[#This Row],[زمان شروع توقف]])</f>
        <v>4</v>
      </c>
      <c r="N128" s="3">
        <f>MINUTE(Table1[[#This Row],[زمان شروع توقف]])</f>
        <v>35</v>
      </c>
      <c r="O128" s="3">
        <f>((Table1[[#This Row],[سال توقف]]*365+IF(Table1[[#This Row],[ماه توقف]]&lt;7,(Table1[[#This Row],[ماه توقف]]-1)*31,6*31+(Table1[[#This Row],[ماه توقف]]-6-1)*30)+(Table1[[#This Row],[روز توقف]])-1)*24+Table1[[#This Row],[ساعت توقف2]])*60+Table1[[#This Row],[دقیقه توقف]]</f>
        <v>738102515</v>
      </c>
      <c r="P128" s="56" t="s">
        <v>1004</v>
      </c>
      <c r="Q128" s="53">
        <v>0.20694444444444446</v>
      </c>
      <c r="R128" s="3" t="str">
        <f>LEFT(Table1[[#This Row],[تاریخ پایان توقف]],4)</f>
        <v>1404</v>
      </c>
      <c r="S128" s="3" t="str">
        <f>_xlfn.IFNA(VLOOKUP(Table1[[#This Row],[ماه رفع توقف]],Table2[],3,0),"در حال تعمیر")</f>
        <v>تابستان</v>
      </c>
      <c r="T128" s="3">
        <f>_xlfn.NUMBERVALUE(RIGHT(LEFT(Table1[[#This Row],[تاریخ پایان توقف]],7),2))</f>
        <v>4</v>
      </c>
      <c r="U128" s="3" t="str">
        <f>RIGHT(LEFT(Table1[[#This Row],[تاریخ پایان توقف]],10),2)</f>
        <v>19</v>
      </c>
      <c r="V128" s="3">
        <f>HOUR(Table1[[#This Row],[زمان پایان توقف]])</f>
        <v>4</v>
      </c>
      <c r="W128" s="3">
        <f>MINUTE(Table1[[#This Row],[زمان پایان توقف]])</f>
        <v>58</v>
      </c>
      <c r="X12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738102538</v>
      </c>
      <c r="Y128" s="44" t="s">
        <v>1007</v>
      </c>
      <c r="Z128" s="83">
        <f>IFERROR((IF(Table1[[#This Row],[تاریخ پایان توقف]]&lt;&gt;"",Table1[[#This Row],[زمان رفع توقف]]-Table1[[#This Row],[زمان توقف]],"")/60),"")</f>
        <v>0.38333333333333336</v>
      </c>
      <c r="AA128" s="3">
        <f>VLOOKUP(E128,Table4[],4,0)</f>
        <v>24</v>
      </c>
      <c r="AB128" s="3">
        <f>VLOOKUP(E128,Table4[],5,0)</f>
        <v>0.2</v>
      </c>
      <c r="AC128" s="3">
        <v>360</v>
      </c>
      <c r="AD128" s="3">
        <f>VLOOKUP(E128,Table4[],7,0)</f>
        <v>720</v>
      </c>
      <c r="AE128" s="83">
        <f>IF(Table1[[#This Row],[زمان آخرین رفع توقف قبل از توقف فعلی]]="","",(Table1[[#This Row],[زمان توقف]]-Table1[[#This Row],[زمان آخرین رفع توقف قبل از توقف فعلی]])/60)</f>
        <v>18.933333333333334</v>
      </c>
      <c r="AF12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738101379</v>
      </c>
    </row>
    <row r="129" spans="1:32">
      <c r="A129" s="36">
        <v>130</v>
      </c>
      <c r="B129" s="36" t="s">
        <v>98</v>
      </c>
      <c r="C129" s="36" t="s">
        <v>116</v>
      </c>
      <c r="D129" s="36" t="s">
        <v>115</v>
      </c>
      <c r="E129" s="86" t="s">
        <v>117</v>
      </c>
      <c r="F129" s="36" t="s">
        <v>12</v>
      </c>
      <c r="G129" s="56" t="s">
        <v>1008</v>
      </c>
      <c r="H129" s="53">
        <v>0.78749999999999998</v>
      </c>
      <c r="I129" s="6" t="str">
        <f>LEFT(Table1[[#This Row],[تاریخ توقف]],4)</f>
        <v>1404</v>
      </c>
      <c r="J129" s="6" t="str">
        <f>VLOOKUP(Table1[[#This Row],[ماه توقف]],Table2[],3,0)</f>
        <v>تابستان</v>
      </c>
      <c r="K129" s="3">
        <f>_xlfn.NUMBERVALUE(RIGHT(LEFT(Table1[[#This Row],[تاریخ توقف]],7),2))</f>
        <v>4</v>
      </c>
      <c r="L129" s="3" t="str">
        <f>RIGHT(LEFT(Table1[[#This Row],[تاریخ توقف]],10),2)</f>
        <v>23</v>
      </c>
      <c r="M129" s="3">
        <f>HOUR(Table1[[#This Row],[زمان شروع توقف]])</f>
        <v>18</v>
      </c>
      <c r="N129" s="3">
        <f>MINUTE(Table1[[#This Row],[زمان شروع توقف]])</f>
        <v>54</v>
      </c>
      <c r="O129" s="3">
        <f>((Table1[[#This Row],[سال توقف]]*365+IF(Table1[[#This Row],[ماه توقف]]&lt;7,(Table1[[#This Row],[ماه توقف]]-1)*31,6*31+(Table1[[#This Row],[ماه توقف]]-6-1)*30)+(Table1[[#This Row],[روز توقف]])-1)*24+Table1[[#This Row],[ساعت توقف2]])*60+Table1[[#This Row],[دقیقه توقف]]</f>
        <v>738109134</v>
      </c>
      <c r="P129" s="56" t="s">
        <v>1008</v>
      </c>
      <c r="Q129" s="53">
        <v>0.81527777777777777</v>
      </c>
      <c r="R129" s="3" t="str">
        <f>LEFT(Table1[[#This Row],[تاریخ پایان توقف]],4)</f>
        <v>1404</v>
      </c>
      <c r="S129" s="3" t="str">
        <f>_xlfn.IFNA(VLOOKUP(Table1[[#This Row],[ماه رفع توقف]],Table2[],3,0),"در حال تعمیر")</f>
        <v>تابستان</v>
      </c>
      <c r="T129" s="3">
        <f>_xlfn.NUMBERVALUE(RIGHT(LEFT(Table1[[#This Row],[تاریخ پایان توقف]],7),2))</f>
        <v>4</v>
      </c>
      <c r="U129" s="3" t="str">
        <f>RIGHT(LEFT(Table1[[#This Row],[تاریخ پایان توقف]],10),2)</f>
        <v>23</v>
      </c>
      <c r="V129" s="3">
        <f>HOUR(Table1[[#This Row],[زمان پایان توقف]])</f>
        <v>19</v>
      </c>
      <c r="W129" s="3">
        <f>MINUTE(Table1[[#This Row],[زمان پایان توقف]])</f>
        <v>34</v>
      </c>
      <c r="X12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738109174</v>
      </c>
      <c r="Y129" s="44" t="s">
        <v>1009</v>
      </c>
      <c r="Z129" s="83">
        <f>IFERROR((IF(Table1[[#This Row],[تاریخ پایان توقف]]&lt;&gt;"",Table1[[#This Row],[زمان رفع توقف]]-Table1[[#This Row],[زمان توقف]],"")/60),"")</f>
        <v>0.66666666666666663</v>
      </c>
      <c r="AA129" s="3">
        <f>VLOOKUP(E129,Table4[],4,0)</f>
        <v>24</v>
      </c>
      <c r="AB129" s="3">
        <f>VLOOKUP(E129,Table4[],5,0)</f>
        <v>0.2</v>
      </c>
      <c r="AC129" s="3">
        <v>360</v>
      </c>
      <c r="AD129" s="3">
        <f>VLOOKUP(E129,Table4[],7,0)</f>
        <v>720</v>
      </c>
      <c r="AE129" s="83">
        <f>IF(Table1[[#This Row],[زمان آخرین رفع توقف قبل از توقف فعلی]]="","",(Table1[[#This Row],[زمان توقف]]-Table1[[#This Row],[زمان آخرین رفع توقف قبل از توقف فعلی]])/60)</f>
        <v>109.93333333333334</v>
      </c>
      <c r="AF12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738102538</v>
      </c>
    </row>
    <row r="130" spans="1:32" ht="30">
      <c r="A130" s="36">
        <v>131</v>
      </c>
      <c r="B130" s="36" t="s">
        <v>97</v>
      </c>
      <c r="C130" s="36" t="s">
        <v>137</v>
      </c>
      <c r="D130" s="36" t="s">
        <v>144</v>
      </c>
      <c r="E130" s="85" t="s">
        <v>57</v>
      </c>
      <c r="F130" s="36" t="s">
        <v>12</v>
      </c>
      <c r="G130" s="56" t="s">
        <v>1010</v>
      </c>
      <c r="H130" s="53">
        <v>0.72916666666666663</v>
      </c>
      <c r="I130" s="6" t="str">
        <f>LEFT(Table1[[#This Row],[تاریخ توقف]],4)</f>
        <v>1404</v>
      </c>
      <c r="J130" s="6" t="str">
        <f>VLOOKUP(Table1[[#This Row],[ماه توقف]],Table2[],3,0)</f>
        <v>تابستان</v>
      </c>
      <c r="K130" s="3">
        <f>_xlfn.NUMBERVALUE(RIGHT(LEFT(Table1[[#This Row],[تاریخ توقف]],7),2))</f>
        <v>4</v>
      </c>
      <c r="L130" s="3" t="str">
        <f>RIGHT(LEFT(Table1[[#This Row],[تاریخ توقف]],10),2)</f>
        <v>25</v>
      </c>
      <c r="M130" s="3">
        <f>HOUR(Table1[[#This Row],[زمان شروع توقف]])</f>
        <v>17</v>
      </c>
      <c r="N130" s="3">
        <f>MINUTE(Table1[[#This Row],[زمان شروع توقف]])</f>
        <v>30</v>
      </c>
      <c r="O130" s="3">
        <f>((Table1[[#This Row],[سال توقف]]*365+IF(Table1[[#This Row],[ماه توقف]]&lt;7,(Table1[[#This Row],[ماه توقف]]-1)*31,6*31+(Table1[[#This Row],[ماه توقف]]-6-1)*30)+(Table1[[#This Row],[روز توقف]])-1)*24+Table1[[#This Row],[ساعت توقف2]])*60+Table1[[#This Row],[دقیقه توقف]]</f>
        <v>738111930</v>
      </c>
      <c r="P130" s="56" t="s">
        <v>1010</v>
      </c>
      <c r="Q130" s="53">
        <v>0.75</v>
      </c>
      <c r="R130" s="3" t="str">
        <f>LEFT(Table1[[#This Row],[تاریخ پایان توقف]],4)</f>
        <v>1404</v>
      </c>
      <c r="S130" s="3" t="str">
        <f>_xlfn.IFNA(VLOOKUP(Table1[[#This Row],[ماه رفع توقف]],Table2[],3,0),"در حال تعمیر")</f>
        <v>تابستان</v>
      </c>
      <c r="T130" s="3">
        <f>_xlfn.NUMBERVALUE(RIGHT(LEFT(Table1[[#This Row],[تاریخ پایان توقف]],7),2))</f>
        <v>4</v>
      </c>
      <c r="U130" s="3" t="str">
        <f>RIGHT(LEFT(Table1[[#This Row],[تاریخ پایان توقف]],10),2)</f>
        <v>25</v>
      </c>
      <c r="V130" s="3">
        <f>HOUR(Table1[[#This Row],[زمان پایان توقف]])</f>
        <v>18</v>
      </c>
      <c r="W130" s="3">
        <f>MINUTE(Table1[[#This Row],[زمان پایان توقف]])</f>
        <v>0</v>
      </c>
      <c r="X13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738111960</v>
      </c>
      <c r="Y130" s="49" t="s">
        <v>1011</v>
      </c>
      <c r="Z130" s="83">
        <f>IFERROR((IF(Table1[[#This Row],[تاریخ پایان توقف]]&lt;&gt;"",Table1[[#This Row],[زمان رفع توقف]]-Table1[[#This Row],[زمان توقف]],"")/60),"")</f>
        <v>0.5</v>
      </c>
      <c r="AA130" s="3">
        <f>VLOOKUP(E130,Table4[],4,0)</f>
        <v>24</v>
      </c>
      <c r="AB130" s="3">
        <f>VLOOKUP(E130,Table4[],5,0)</f>
        <v>0.2</v>
      </c>
      <c r="AC130" s="3">
        <v>360</v>
      </c>
      <c r="AD130" s="3">
        <f>VLOOKUP(E130,Table4[],7,0)</f>
        <v>720</v>
      </c>
      <c r="AE130" s="83">
        <f>IF(Table1[[#This Row],[زمان آخرین رفع توقف قبل از توقف فعلی]]="","",(Table1[[#This Row],[زمان توقف]]-Table1[[#This Row],[زمان آخرین رفع توقف قبل از توقف فعلی]])/60)</f>
        <v>176.66666666666666</v>
      </c>
      <c r="AF13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738101330</v>
      </c>
    </row>
    <row r="131" spans="1:32">
      <c r="A131" s="36">
        <v>132</v>
      </c>
      <c r="B131" s="36" t="s">
        <v>97</v>
      </c>
      <c r="C131" s="36" t="s">
        <v>113</v>
      </c>
      <c r="D131" s="36" t="s">
        <v>41</v>
      </c>
      <c r="E131" s="85" t="s">
        <v>64</v>
      </c>
      <c r="F131" s="36" t="s">
        <v>12</v>
      </c>
      <c r="G131" s="56" t="s">
        <v>1010</v>
      </c>
      <c r="H131" s="53">
        <v>0.2986111111111111</v>
      </c>
      <c r="I131" s="6" t="str">
        <f>LEFT(Table1[[#This Row],[تاریخ توقف]],4)</f>
        <v>1404</v>
      </c>
      <c r="J131" s="6" t="str">
        <f>VLOOKUP(Table1[[#This Row],[ماه توقف]],Table2[],3,0)</f>
        <v>تابستان</v>
      </c>
      <c r="K131" s="3">
        <f>_xlfn.NUMBERVALUE(RIGHT(LEFT(Table1[[#This Row],[تاریخ توقف]],7),2))</f>
        <v>4</v>
      </c>
      <c r="L131" s="3" t="str">
        <f>RIGHT(LEFT(Table1[[#This Row],[تاریخ توقف]],10),2)</f>
        <v>25</v>
      </c>
      <c r="M131" s="3">
        <f>HOUR(Table1[[#This Row],[زمان شروع توقف]])</f>
        <v>7</v>
      </c>
      <c r="N131" s="3">
        <f>MINUTE(Table1[[#This Row],[زمان شروع توقف]])</f>
        <v>10</v>
      </c>
      <c r="O131" s="3">
        <f>((Table1[[#This Row],[سال توقف]]*365+IF(Table1[[#This Row],[ماه توقف]]&lt;7,(Table1[[#This Row],[ماه توقف]]-1)*31,6*31+(Table1[[#This Row],[ماه توقف]]-6-1)*30)+(Table1[[#This Row],[روز توقف]])-1)*24+Table1[[#This Row],[ساعت توقف2]])*60+Table1[[#This Row],[دقیقه توقف]]</f>
        <v>738111310</v>
      </c>
      <c r="P131" s="56" t="s">
        <v>1010</v>
      </c>
      <c r="Q131" s="53">
        <v>0.30694444444444441</v>
      </c>
      <c r="R131" s="3" t="str">
        <f>LEFT(Table1[[#This Row],[تاریخ پایان توقف]],4)</f>
        <v>1404</v>
      </c>
      <c r="S131" s="3" t="str">
        <f>_xlfn.IFNA(VLOOKUP(Table1[[#This Row],[ماه رفع توقف]],Table2[],3,0),"در حال تعمیر")</f>
        <v>تابستان</v>
      </c>
      <c r="T131" s="3">
        <f>_xlfn.NUMBERVALUE(RIGHT(LEFT(Table1[[#This Row],[تاریخ پایان توقف]],7),2))</f>
        <v>4</v>
      </c>
      <c r="U131" s="3" t="str">
        <f>RIGHT(LEFT(Table1[[#This Row],[تاریخ پایان توقف]],10),2)</f>
        <v>25</v>
      </c>
      <c r="V131" s="3">
        <f>HOUR(Table1[[#This Row],[زمان پایان توقف]])</f>
        <v>7</v>
      </c>
      <c r="W131" s="3">
        <f>MINUTE(Table1[[#This Row],[زمان پایان توقف]])</f>
        <v>22</v>
      </c>
      <c r="X13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738111322</v>
      </c>
      <c r="Y131" s="44" t="s">
        <v>1012</v>
      </c>
      <c r="Z131" s="83">
        <f>IFERROR((IF(Table1[[#This Row],[تاریخ پایان توقف]]&lt;&gt;"",Table1[[#This Row],[زمان رفع توقف]]-Table1[[#This Row],[زمان توقف]],"")/60),"")</f>
        <v>0.2</v>
      </c>
      <c r="AA131" s="3">
        <f>VLOOKUP(E131,Table4[],4,0)</f>
        <v>24</v>
      </c>
      <c r="AB131" s="3">
        <f>VLOOKUP(E131,Table4[],5,0)</f>
        <v>0.2</v>
      </c>
      <c r="AC131" s="3">
        <v>360</v>
      </c>
      <c r="AD131" s="3">
        <f>VLOOKUP(E131,Table4[],7,0)</f>
        <v>720</v>
      </c>
      <c r="AE131" s="83">
        <f>IF(Table1[[#This Row],[زمان آخرین رفع توقف قبل از توقف فعلی]]="","",(Table1[[#This Row],[زمان توقف]]-Table1[[#This Row],[زمان آخرین رفع توقف قبل از توقف فعلی]])/60)</f>
        <v>1149.0833333333333</v>
      </c>
      <c r="AF13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738042365</v>
      </c>
    </row>
    <row r="132" spans="1:32">
      <c r="A132" s="36">
        <v>133</v>
      </c>
      <c r="B132" s="36" t="s">
        <v>97</v>
      </c>
      <c r="C132" s="36" t="s">
        <v>113</v>
      </c>
      <c r="D132" s="36" t="s">
        <v>41</v>
      </c>
      <c r="E132" s="85" t="s">
        <v>64</v>
      </c>
      <c r="F132" s="36" t="s">
        <v>12</v>
      </c>
      <c r="G132" s="56" t="s">
        <v>1010</v>
      </c>
      <c r="H132" s="53">
        <v>0.57638888888888895</v>
      </c>
      <c r="I132" s="6" t="str">
        <f>LEFT(Table1[[#This Row],[تاریخ توقف]],4)</f>
        <v>1404</v>
      </c>
      <c r="J132" s="6" t="str">
        <f>VLOOKUP(Table1[[#This Row],[ماه توقف]],Table2[],3,0)</f>
        <v>تابستان</v>
      </c>
      <c r="K132" s="3">
        <f>_xlfn.NUMBERVALUE(RIGHT(LEFT(Table1[[#This Row],[تاریخ توقف]],7),2))</f>
        <v>4</v>
      </c>
      <c r="L132" s="3" t="str">
        <f>RIGHT(LEFT(Table1[[#This Row],[تاریخ توقف]],10),2)</f>
        <v>25</v>
      </c>
      <c r="M132" s="3">
        <f>HOUR(Table1[[#This Row],[زمان شروع توقف]])</f>
        <v>13</v>
      </c>
      <c r="N132" s="3">
        <f>MINUTE(Table1[[#This Row],[زمان شروع توقف]])</f>
        <v>50</v>
      </c>
      <c r="O132" s="3">
        <f>((Table1[[#This Row],[سال توقف]]*365+IF(Table1[[#This Row],[ماه توقف]]&lt;7,(Table1[[#This Row],[ماه توقف]]-1)*31,6*31+(Table1[[#This Row],[ماه توقف]]-6-1)*30)+(Table1[[#This Row],[روز توقف]])-1)*24+Table1[[#This Row],[ساعت توقف2]])*60+Table1[[#This Row],[دقیقه توقف]]</f>
        <v>738111710</v>
      </c>
      <c r="P132" s="56" t="s">
        <v>1010</v>
      </c>
      <c r="Q132" s="53">
        <v>0.59722222222222221</v>
      </c>
      <c r="R132" s="3" t="str">
        <f>LEFT(Table1[[#This Row],[تاریخ پایان توقف]],4)</f>
        <v>1404</v>
      </c>
      <c r="S132" s="3" t="str">
        <f>_xlfn.IFNA(VLOOKUP(Table1[[#This Row],[ماه رفع توقف]],Table2[],3,0),"در حال تعمیر")</f>
        <v>تابستان</v>
      </c>
      <c r="T132" s="3">
        <f>_xlfn.NUMBERVALUE(RIGHT(LEFT(Table1[[#This Row],[تاریخ پایان توقف]],7),2))</f>
        <v>4</v>
      </c>
      <c r="U132" s="3" t="str">
        <f>RIGHT(LEFT(Table1[[#This Row],[تاریخ پایان توقف]],10),2)</f>
        <v>25</v>
      </c>
      <c r="V132" s="3">
        <f>HOUR(Table1[[#This Row],[زمان پایان توقف]])</f>
        <v>14</v>
      </c>
      <c r="W132" s="3">
        <f>MINUTE(Table1[[#This Row],[زمان پایان توقف]])</f>
        <v>20</v>
      </c>
      <c r="X13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738111740</v>
      </c>
      <c r="Y132" s="44" t="s">
        <v>1013</v>
      </c>
      <c r="Z132" s="83">
        <f>IFERROR((IF(Table1[[#This Row],[تاریخ پایان توقف]]&lt;&gt;"",Table1[[#This Row],[زمان رفع توقف]]-Table1[[#This Row],[زمان توقف]],"")/60),"")</f>
        <v>0.5</v>
      </c>
      <c r="AA132" s="3">
        <f>VLOOKUP(E132,Table4[],4,0)</f>
        <v>24</v>
      </c>
      <c r="AB132" s="3">
        <f>VLOOKUP(E132,Table4[],5,0)</f>
        <v>0.2</v>
      </c>
      <c r="AC132" s="3">
        <v>360</v>
      </c>
      <c r="AD132" s="3">
        <f>VLOOKUP(E132,Table4[],7,0)</f>
        <v>720</v>
      </c>
      <c r="AE132" s="83">
        <f>IF(Table1[[#This Row],[زمان آخرین رفع توقف قبل از توقف فعلی]]="","",(Table1[[#This Row],[زمان توقف]]-Table1[[#This Row],[زمان آخرین رفع توقف قبل از توقف فعلی]])/60)</f>
        <v>6.4666666666666668</v>
      </c>
      <c r="AF13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738111322</v>
      </c>
    </row>
    <row r="133" spans="1:32">
      <c r="A133" s="36">
        <v>134</v>
      </c>
      <c r="B133" s="36" t="s">
        <v>1289</v>
      </c>
      <c r="C133" s="36" t="s">
        <v>814</v>
      </c>
      <c r="D133" s="36"/>
      <c r="E133" s="85" t="s">
        <v>485</v>
      </c>
      <c r="F133" s="36" t="s">
        <v>12</v>
      </c>
      <c r="G133" s="56" t="s">
        <v>1014</v>
      </c>
      <c r="H133" s="53">
        <v>0.42986111111111108</v>
      </c>
      <c r="I133" s="6" t="str">
        <f>LEFT(Table1[[#This Row],[تاریخ توقف]],4)</f>
        <v>1404</v>
      </c>
      <c r="J133" s="6" t="str">
        <f>VLOOKUP(Table1[[#This Row],[ماه توقف]],Table2[],3,0)</f>
        <v>تابستان</v>
      </c>
      <c r="K133" s="3">
        <f>_xlfn.NUMBERVALUE(RIGHT(LEFT(Table1[[#This Row],[تاریخ توقف]],7),2))</f>
        <v>4</v>
      </c>
      <c r="L133" s="3" t="str">
        <f>RIGHT(LEFT(Table1[[#This Row],[تاریخ توقف]],10),2)</f>
        <v>28</v>
      </c>
      <c r="M133" s="3">
        <f>HOUR(Table1[[#This Row],[زمان شروع توقف]])</f>
        <v>10</v>
      </c>
      <c r="N133" s="3">
        <f>MINUTE(Table1[[#This Row],[زمان شروع توقف]])</f>
        <v>19</v>
      </c>
      <c r="O133" s="3">
        <f>((Table1[[#This Row],[سال توقف]]*365+IF(Table1[[#This Row],[ماه توقف]]&lt;7,(Table1[[#This Row],[ماه توقف]]-1)*31,6*31+(Table1[[#This Row],[ماه توقف]]-6-1)*30)+(Table1[[#This Row],[روز توقف]])-1)*24+Table1[[#This Row],[ساعت توقف2]])*60+Table1[[#This Row],[دقیقه توقف]]</f>
        <v>738115819</v>
      </c>
      <c r="P133" s="56" t="s">
        <v>1014</v>
      </c>
      <c r="Q133" s="53">
        <v>0.64583333333333337</v>
      </c>
      <c r="R133" s="3" t="str">
        <f>LEFT(Table1[[#This Row],[تاریخ پایان توقف]],4)</f>
        <v>1404</v>
      </c>
      <c r="S133" s="3" t="str">
        <f>_xlfn.IFNA(VLOOKUP(Table1[[#This Row],[ماه رفع توقف]],Table2[],3,0),"در حال تعمیر")</f>
        <v>تابستان</v>
      </c>
      <c r="T133" s="3">
        <f>_xlfn.NUMBERVALUE(RIGHT(LEFT(Table1[[#This Row],[تاریخ پایان توقف]],7),2))</f>
        <v>4</v>
      </c>
      <c r="U133" s="3" t="str">
        <f>RIGHT(LEFT(Table1[[#This Row],[تاریخ پایان توقف]],10),2)</f>
        <v>28</v>
      </c>
      <c r="V133" s="3">
        <f>HOUR(Table1[[#This Row],[زمان پایان توقف]])</f>
        <v>15</v>
      </c>
      <c r="W133" s="3">
        <f>MINUTE(Table1[[#This Row],[زمان پایان توقف]])</f>
        <v>30</v>
      </c>
      <c r="X13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738116130</v>
      </c>
      <c r="Y133" s="44" t="s">
        <v>1015</v>
      </c>
      <c r="Z133" s="83">
        <f>IFERROR((IF(Table1[[#This Row],[تاریخ پایان توقف]]&lt;&gt;"",Table1[[#This Row],[زمان رفع توقف]]-Table1[[#This Row],[زمان توقف]],"")/60),"")</f>
        <v>5.1833333333333336</v>
      </c>
      <c r="AA133" s="3">
        <f>VLOOKUP(E133,Table4[],4,0)</f>
        <v>24</v>
      </c>
      <c r="AB133" s="3">
        <f>VLOOKUP(E133,Table4[],5,0)</f>
        <v>0.2</v>
      </c>
      <c r="AC133" s="3">
        <v>360</v>
      </c>
      <c r="AD133" s="3">
        <f>VLOOKUP(E133,Table4[],7,0)</f>
        <v>720</v>
      </c>
      <c r="AE133" s="83">
        <f>IF(Table1[[#This Row],[زمان آخرین رفع توقف قبل از توقف فعلی]]="","",(Table1[[#This Row],[زمان توقف]]-Table1[[#This Row],[زمان آخرین رفع توقف قبل از توقف فعلی]])/60)</f>
        <v>2153.8166666666666</v>
      </c>
      <c r="AF13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737986590</v>
      </c>
    </row>
    <row r="134" spans="1:32">
      <c r="A134" s="36">
        <v>135</v>
      </c>
      <c r="B134" s="36" t="s">
        <v>98</v>
      </c>
      <c r="C134" s="36" t="s">
        <v>573</v>
      </c>
      <c r="D134" s="36" t="s">
        <v>882</v>
      </c>
      <c r="E134" s="85" t="s">
        <v>1016</v>
      </c>
      <c r="F134" s="36" t="s">
        <v>12</v>
      </c>
      <c r="G134" s="56" t="s">
        <v>1017</v>
      </c>
      <c r="H134" s="53">
        <v>0.37152777777777773</v>
      </c>
      <c r="I134" s="6" t="str">
        <f>LEFT(Table1[[#This Row],[تاریخ توقف]],4)</f>
        <v>1404</v>
      </c>
      <c r="J134" s="6" t="str">
        <f>VLOOKUP(Table1[[#This Row],[ماه توقف]],Table2[],3,0)</f>
        <v>تابستان</v>
      </c>
      <c r="K134" s="3">
        <f>_xlfn.NUMBERVALUE(RIGHT(LEFT(Table1[[#This Row],[تاریخ توقف]],7),2))</f>
        <v>4</v>
      </c>
      <c r="L134" s="3" t="str">
        <f>RIGHT(LEFT(Table1[[#This Row],[تاریخ توقف]],10),2)</f>
        <v>29</v>
      </c>
      <c r="M134" s="3">
        <f>HOUR(Table1[[#This Row],[زمان شروع توقف]])</f>
        <v>8</v>
      </c>
      <c r="N134" s="3">
        <f>MINUTE(Table1[[#This Row],[زمان شروع توقف]])</f>
        <v>55</v>
      </c>
      <c r="O134" s="3">
        <f>((Table1[[#This Row],[سال توقف]]*365+IF(Table1[[#This Row],[ماه توقف]]&lt;7,(Table1[[#This Row],[ماه توقف]]-1)*31,6*31+(Table1[[#This Row],[ماه توقف]]-6-1)*30)+(Table1[[#This Row],[روز توقف]])-1)*24+Table1[[#This Row],[ساعت توقف2]])*60+Table1[[#This Row],[دقیقه توقف]]</f>
        <v>738117175</v>
      </c>
      <c r="P134" s="56" t="s">
        <v>1017</v>
      </c>
      <c r="Q134" s="53">
        <v>0.39930555555555558</v>
      </c>
      <c r="R134" s="3" t="str">
        <f>LEFT(Table1[[#This Row],[تاریخ پایان توقف]],4)</f>
        <v>1404</v>
      </c>
      <c r="S134" s="3" t="str">
        <f>_xlfn.IFNA(VLOOKUP(Table1[[#This Row],[ماه رفع توقف]],Table2[],3,0),"در حال تعمیر")</f>
        <v>تابستان</v>
      </c>
      <c r="T134" s="3">
        <f>_xlfn.NUMBERVALUE(RIGHT(LEFT(Table1[[#This Row],[تاریخ پایان توقف]],7),2))</f>
        <v>4</v>
      </c>
      <c r="U134" s="3" t="str">
        <f>RIGHT(LEFT(Table1[[#This Row],[تاریخ پایان توقف]],10),2)</f>
        <v>29</v>
      </c>
      <c r="V134" s="3">
        <f>HOUR(Table1[[#This Row],[زمان پایان توقف]])</f>
        <v>9</v>
      </c>
      <c r="W134" s="3">
        <f>MINUTE(Table1[[#This Row],[زمان پایان توقف]])</f>
        <v>35</v>
      </c>
      <c r="X13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738117215</v>
      </c>
      <c r="Y134" s="44" t="s">
        <v>1018</v>
      </c>
      <c r="Z134" s="83">
        <f>IFERROR((IF(Table1[[#This Row],[تاریخ پایان توقف]]&lt;&gt;"",Table1[[#This Row],[زمان رفع توقف]]-Table1[[#This Row],[زمان توقف]],"")/60),"")</f>
        <v>0.66666666666666663</v>
      </c>
      <c r="AA134" s="3">
        <f>VLOOKUP(E134,Table4[],4,0)</f>
        <v>24</v>
      </c>
      <c r="AB134" s="3">
        <f>VLOOKUP(E134,Table4[],5,0)</f>
        <v>0.2</v>
      </c>
      <c r="AC134" s="3">
        <v>360</v>
      </c>
      <c r="AD134" s="3">
        <f>VLOOKUP(E134,Table4[],7,0)</f>
        <v>720</v>
      </c>
      <c r="AE134" s="83" t="str">
        <f>IF(Table1[[#This Row],[زمان آخرین رفع توقف قبل از توقف فعلی]]="","",(Table1[[#This Row],[زمان توقف]]-Table1[[#This Row],[زمان آخرین رفع توقف قبل از توقف فعلی]])/60)</f>
        <v/>
      </c>
      <c r="AF134"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35" spans="1:32">
      <c r="A135" s="36">
        <v>136</v>
      </c>
      <c r="B135" s="36" t="s">
        <v>98</v>
      </c>
      <c r="C135" s="36" t="s">
        <v>116</v>
      </c>
      <c r="D135" s="36" t="s">
        <v>115</v>
      </c>
      <c r="E135" s="86" t="s">
        <v>117</v>
      </c>
      <c r="F135" s="36" t="s">
        <v>12</v>
      </c>
      <c r="G135" s="56" t="s">
        <v>1019</v>
      </c>
      <c r="H135" s="53">
        <v>0.3972222222222222</v>
      </c>
      <c r="I135" s="6" t="str">
        <f>LEFT(Table1[[#This Row],[تاریخ توقف]],4)</f>
        <v>1404</v>
      </c>
      <c r="J135" s="6" t="str">
        <f>VLOOKUP(Table1[[#This Row],[ماه توقف]],Table2[],3,0)</f>
        <v>تابستان</v>
      </c>
      <c r="K135" s="3">
        <f>_xlfn.NUMBERVALUE(RIGHT(LEFT(Table1[[#This Row],[تاریخ توقف]],7),2))</f>
        <v>5</v>
      </c>
      <c r="L135" s="3" t="str">
        <f>RIGHT(LEFT(Table1[[#This Row],[تاریخ توقف]],10),2)</f>
        <v>01</v>
      </c>
      <c r="M135" s="3">
        <f>HOUR(Table1[[#This Row],[زمان شروع توقف]])</f>
        <v>9</v>
      </c>
      <c r="N135" s="3">
        <f>MINUTE(Table1[[#This Row],[زمان شروع توقف]])</f>
        <v>32</v>
      </c>
      <c r="O135" s="3">
        <f>((Table1[[#This Row],[سال توقف]]*365+IF(Table1[[#This Row],[ماه توقف]]&lt;7,(Table1[[#This Row],[ماه توقف]]-1)*31,6*31+(Table1[[#This Row],[ماه توقف]]-6-1)*30)+(Table1[[#This Row],[روز توقف]])-1)*24+Table1[[#This Row],[ساعت توقف2]])*60+Table1[[#This Row],[دقیقه توقف]]</f>
        <v>738121532</v>
      </c>
      <c r="P135" s="56" t="s">
        <v>1019</v>
      </c>
      <c r="Q135" s="53">
        <v>0.59375</v>
      </c>
      <c r="R135" s="3" t="str">
        <f>LEFT(Table1[[#This Row],[تاریخ پایان توقف]],4)</f>
        <v>1404</v>
      </c>
      <c r="S135" s="3" t="str">
        <f>_xlfn.IFNA(VLOOKUP(Table1[[#This Row],[ماه رفع توقف]],Table2[],3,0),"در حال تعمیر")</f>
        <v>تابستان</v>
      </c>
      <c r="T135" s="3">
        <f>_xlfn.NUMBERVALUE(RIGHT(LEFT(Table1[[#This Row],[تاریخ پایان توقف]],7),2))</f>
        <v>5</v>
      </c>
      <c r="U135" s="3" t="str">
        <f>RIGHT(LEFT(Table1[[#This Row],[تاریخ پایان توقف]],10),2)</f>
        <v>01</v>
      </c>
      <c r="V135" s="3">
        <f>HOUR(Table1[[#This Row],[زمان پایان توقف]])</f>
        <v>14</v>
      </c>
      <c r="W135" s="3">
        <f>MINUTE(Table1[[#This Row],[زمان پایان توقف]])</f>
        <v>15</v>
      </c>
      <c r="X13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738121815</v>
      </c>
      <c r="Y135" s="44" t="s">
        <v>1020</v>
      </c>
      <c r="Z135" s="83">
        <f>IFERROR((IF(Table1[[#This Row],[تاریخ پایان توقف]]&lt;&gt;"",Table1[[#This Row],[زمان رفع توقف]]-Table1[[#This Row],[زمان توقف]],"")/60),"")</f>
        <v>4.7166666666666668</v>
      </c>
      <c r="AA135" s="3">
        <f>VLOOKUP(E135,Table4[],4,0)</f>
        <v>24</v>
      </c>
      <c r="AB135" s="3">
        <f>VLOOKUP(E135,Table4[],5,0)</f>
        <v>0.2</v>
      </c>
      <c r="AC135" s="3">
        <v>360</v>
      </c>
      <c r="AD135" s="3">
        <f>VLOOKUP(E135,Table4[],7,0)</f>
        <v>720</v>
      </c>
      <c r="AE135" s="83">
        <f>IF(Table1[[#This Row],[زمان آخرین رفع توقف قبل از توقف فعلی]]="","",(Table1[[#This Row],[زمان توقف]]-Table1[[#This Row],[زمان آخرین رفع توقف قبل از توقف فعلی]])/60)</f>
        <v>205.96666666666667</v>
      </c>
      <c r="AF13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738109174</v>
      </c>
    </row>
    <row r="136" spans="1:32">
      <c r="A136" s="36">
        <v>137</v>
      </c>
      <c r="B136" s="36" t="s">
        <v>98</v>
      </c>
      <c r="C136" s="36" t="s">
        <v>121</v>
      </c>
      <c r="D136" s="36" t="s">
        <v>120</v>
      </c>
      <c r="E136" s="86" t="s">
        <v>122</v>
      </c>
      <c r="F136" s="36" t="s">
        <v>12</v>
      </c>
      <c r="G136" s="56" t="s">
        <v>1021</v>
      </c>
      <c r="H136" s="53">
        <v>0.3430555555555555</v>
      </c>
      <c r="I136" s="6" t="str">
        <f>LEFT(Table1[[#This Row],[تاریخ توقف]],4)</f>
        <v>1404</v>
      </c>
      <c r="J136" s="6" t="str">
        <f>VLOOKUP(Table1[[#This Row],[ماه توقف]],Table2[],3,0)</f>
        <v>تابستان</v>
      </c>
      <c r="K136" s="3">
        <f>_xlfn.NUMBERVALUE(RIGHT(LEFT(Table1[[#This Row],[تاریخ توقف]],7),2))</f>
        <v>5</v>
      </c>
      <c r="L136" s="3" t="str">
        <f>RIGHT(LEFT(Table1[[#This Row],[تاریخ توقف]],10),2)</f>
        <v>02</v>
      </c>
      <c r="M136" s="3">
        <f>HOUR(Table1[[#This Row],[زمان شروع توقف]])</f>
        <v>8</v>
      </c>
      <c r="N136" s="3">
        <f>MINUTE(Table1[[#This Row],[زمان شروع توقف]])</f>
        <v>14</v>
      </c>
      <c r="O136" s="3">
        <f>((Table1[[#This Row],[سال توقف]]*365+IF(Table1[[#This Row],[ماه توقف]]&lt;7,(Table1[[#This Row],[ماه توقف]]-1)*31,6*31+(Table1[[#This Row],[ماه توقف]]-6-1)*30)+(Table1[[#This Row],[روز توقف]])-1)*24+Table1[[#This Row],[ساعت توقف2]])*60+Table1[[#This Row],[دقیقه توقف]]</f>
        <v>738122894</v>
      </c>
      <c r="P136" s="56" t="s">
        <v>1021</v>
      </c>
      <c r="Q136" s="53">
        <v>0.34722222222222227</v>
      </c>
      <c r="R136" s="3" t="str">
        <f>LEFT(Table1[[#This Row],[تاریخ پایان توقف]],4)</f>
        <v>1404</v>
      </c>
      <c r="S136" s="3" t="str">
        <f>_xlfn.IFNA(VLOOKUP(Table1[[#This Row],[ماه رفع توقف]],Table2[],3,0),"در حال تعمیر")</f>
        <v>تابستان</v>
      </c>
      <c r="T136" s="3">
        <f>_xlfn.NUMBERVALUE(RIGHT(LEFT(Table1[[#This Row],[تاریخ پایان توقف]],7),2))</f>
        <v>5</v>
      </c>
      <c r="U136" s="3" t="str">
        <f>RIGHT(LEFT(Table1[[#This Row],[تاریخ پایان توقف]],10),2)</f>
        <v>02</v>
      </c>
      <c r="V136" s="3">
        <f>HOUR(Table1[[#This Row],[زمان پایان توقف]])</f>
        <v>8</v>
      </c>
      <c r="W136" s="3">
        <f>MINUTE(Table1[[#This Row],[زمان پایان توقف]])</f>
        <v>20</v>
      </c>
      <c r="X13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738122900</v>
      </c>
      <c r="Y136" s="44" t="s">
        <v>1022</v>
      </c>
      <c r="Z136" s="83">
        <f>IFERROR((IF(Table1[[#This Row],[تاریخ پایان توقف]]&lt;&gt;"",Table1[[#This Row],[زمان رفع توقف]]-Table1[[#This Row],[زمان توقف]],"")/60),"")</f>
        <v>0.1</v>
      </c>
      <c r="AA136" s="3">
        <f>VLOOKUP(E136,Table4[],4,0)</f>
        <v>24</v>
      </c>
      <c r="AB136" s="3">
        <f>VLOOKUP(E136,Table4[],5,0)</f>
        <v>0.2</v>
      </c>
      <c r="AC136" s="3">
        <v>360</v>
      </c>
      <c r="AD136" s="3">
        <f>VLOOKUP(E136,Table4[],7,0)</f>
        <v>720</v>
      </c>
      <c r="AE136" s="83">
        <f>IF(Table1[[#This Row],[زمان آخرین رفع توقف قبل از توقف فعلی]]="","",(Table1[[#This Row],[زمان توقف]]-Table1[[#This Row],[زمان آخرین رفع توقف قبل از توقف فعلی]])/60)</f>
        <v>347.56666666666666</v>
      </c>
      <c r="AF13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738102040</v>
      </c>
    </row>
    <row r="137" spans="1:32">
      <c r="A137" s="36">
        <v>138</v>
      </c>
      <c r="B137" s="36" t="s">
        <v>99</v>
      </c>
      <c r="C137" s="36" t="s">
        <v>1287</v>
      </c>
      <c r="D137" s="36"/>
      <c r="E137" s="85" t="s">
        <v>1286</v>
      </c>
      <c r="F137" s="36" t="s">
        <v>12</v>
      </c>
      <c r="G137" s="56" t="s">
        <v>1023</v>
      </c>
      <c r="H137" s="53">
        <v>0.98263888888888884</v>
      </c>
      <c r="I137" s="6" t="str">
        <f>LEFT(Table1[[#This Row],[تاریخ توقف]],4)</f>
        <v>1404</v>
      </c>
      <c r="J137" s="6" t="str">
        <f>VLOOKUP(Table1[[#This Row],[ماه توقف]],Table2[],3,0)</f>
        <v>تابستان</v>
      </c>
      <c r="K137" s="3">
        <f>_xlfn.NUMBERVALUE(RIGHT(LEFT(Table1[[#This Row],[تاریخ توقف]],7),2))</f>
        <v>5</v>
      </c>
      <c r="L137" s="3" t="str">
        <f>RIGHT(LEFT(Table1[[#This Row],[تاریخ توقف]],10),2)</f>
        <v>04</v>
      </c>
      <c r="M137" s="3">
        <f>HOUR(Table1[[#This Row],[زمان شروع توقف]])</f>
        <v>23</v>
      </c>
      <c r="N137" s="3">
        <f>MINUTE(Table1[[#This Row],[زمان شروع توقف]])</f>
        <v>35</v>
      </c>
      <c r="O137" s="3">
        <f>((Table1[[#This Row],[سال توقف]]*365+IF(Table1[[#This Row],[ماه توقف]]&lt;7,(Table1[[#This Row],[ماه توقف]]-1)*31,6*31+(Table1[[#This Row],[ماه توقف]]-6-1)*30)+(Table1[[#This Row],[روز توقف]])-1)*24+Table1[[#This Row],[ساعت توقف2]])*60+Table1[[#This Row],[دقیقه توقف]]</f>
        <v>738126695</v>
      </c>
      <c r="P137" s="56" t="s">
        <v>1024</v>
      </c>
      <c r="Q137" s="53">
        <v>0.55208333333333337</v>
      </c>
      <c r="R137" s="3" t="str">
        <f>LEFT(Table1[[#This Row],[تاریخ پایان توقف]],4)</f>
        <v>1404</v>
      </c>
      <c r="S137" s="3" t="str">
        <f>_xlfn.IFNA(VLOOKUP(Table1[[#This Row],[ماه رفع توقف]],Table2[],3,0),"در حال تعمیر")</f>
        <v>تابستان</v>
      </c>
      <c r="T137" s="3">
        <f>_xlfn.NUMBERVALUE(RIGHT(LEFT(Table1[[#This Row],[تاریخ پایان توقف]],7),2))</f>
        <v>5</v>
      </c>
      <c r="U137" s="3" t="str">
        <f>RIGHT(LEFT(Table1[[#This Row],[تاریخ پایان توقف]],10),2)</f>
        <v>05</v>
      </c>
      <c r="V137" s="3">
        <f>HOUR(Table1[[#This Row],[زمان پایان توقف]])</f>
        <v>13</v>
      </c>
      <c r="W137" s="3">
        <f>MINUTE(Table1[[#This Row],[زمان پایان توقف]])</f>
        <v>15</v>
      </c>
      <c r="X13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738127515</v>
      </c>
      <c r="Y137" s="49" t="s">
        <v>1025</v>
      </c>
      <c r="Z137" s="83">
        <f>IFERROR((IF(Table1[[#This Row],[تاریخ پایان توقف]]&lt;&gt;"",Table1[[#This Row],[زمان رفع توقف]]-Table1[[#This Row],[زمان توقف]],"")/60),"")</f>
        <v>13.666666666666666</v>
      </c>
      <c r="AA137" s="3">
        <f>VLOOKUP(E137,Table4[],4,0)</f>
        <v>24</v>
      </c>
      <c r="AB137" s="3">
        <f>VLOOKUP(E137,Table4[],5,0)</f>
        <v>0.2</v>
      </c>
      <c r="AC137" s="3">
        <v>360</v>
      </c>
      <c r="AD137" s="3">
        <f>VLOOKUP(E137,Table4[],7,0)</f>
        <v>720</v>
      </c>
      <c r="AE137" s="83">
        <f>IF(Table1[[#This Row],[زمان آخرین رفع توقف قبل از توقف فعلی]]="","",(Table1[[#This Row],[زمان توقف]]-Table1[[#This Row],[زمان آخرین رفع توقف قبل از توقف فعلی]])/60)</f>
        <v>1076.5833333333333</v>
      </c>
      <c r="AF13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738062100</v>
      </c>
    </row>
    <row r="138" spans="1:32">
      <c r="A138" s="36">
        <v>139</v>
      </c>
      <c r="B138" s="36" t="s">
        <v>98</v>
      </c>
      <c r="C138" s="36" t="s">
        <v>50</v>
      </c>
      <c r="D138" s="36" t="s">
        <v>45</v>
      </c>
      <c r="E138" s="85" t="s">
        <v>74</v>
      </c>
      <c r="F138" s="36" t="s">
        <v>12</v>
      </c>
      <c r="G138" s="56" t="s">
        <v>1024</v>
      </c>
      <c r="H138" s="53">
        <v>0.33333333333333331</v>
      </c>
      <c r="I138" s="6" t="str">
        <f>LEFT(Table1[[#This Row],[تاریخ توقف]],4)</f>
        <v>1404</v>
      </c>
      <c r="J138" s="6" t="str">
        <f>VLOOKUP(Table1[[#This Row],[ماه توقف]],Table2[],3,0)</f>
        <v>تابستان</v>
      </c>
      <c r="K138" s="3">
        <f>_xlfn.NUMBERVALUE(RIGHT(LEFT(Table1[[#This Row],[تاریخ توقف]],7),2))</f>
        <v>5</v>
      </c>
      <c r="L138" s="3" t="str">
        <f>RIGHT(LEFT(Table1[[#This Row],[تاریخ توقف]],10),2)</f>
        <v>05</v>
      </c>
      <c r="M138" s="3">
        <f>HOUR(Table1[[#This Row],[زمان شروع توقف]])</f>
        <v>8</v>
      </c>
      <c r="N138" s="3">
        <f>MINUTE(Table1[[#This Row],[زمان شروع توقف]])</f>
        <v>0</v>
      </c>
      <c r="O138" s="3">
        <f>((Table1[[#This Row],[سال توقف]]*365+IF(Table1[[#This Row],[ماه توقف]]&lt;7,(Table1[[#This Row],[ماه توقف]]-1)*31,6*31+(Table1[[#This Row],[ماه توقف]]-6-1)*30)+(Table1[[#This Row],[روز توقف]])-1)*24+Table1[[#This Row],[ساعت توقف2]])*60+Table1[[#This Row],[دقیقه توقف]]</f>
        <v>738127200</v>
      </c>
      <c r="P138" s="56" t="s">
        <v>1024</v>
      </c>
      <c r="Q138" s="53">
        <v>0.45833333333333331</v>
      </c>
      <c r="R138" s="3" t="str">
        <f>LEFT(Table1[[#This Row],[تاریخ پایان توقف]],4)</f>
        <v>1404</v>
      </c>
      <c r="S138" s="3" t="str">
        <f>_xlfn.IFNA(VLOOKUP(Table1[[#This Row],[ماه رفع توقف]],Table2[],3,0),"در حال تعمیر")</f>
        <v>تابستان</v>
      </c>
      <c r="T138" s="3">
        <f>_xlfn.NUMBERVALUE(RIGHT(LEFT(Table1[[#This Row],[تاریخ پایان توقف]],7),2))</f>
        <v>5</v>
      </c>
      <c r="U138" s="3" t="str">
        <f>RIGHT(LEFT(Table1[[#This Row],[تاریخ پایان توقف]],10),2)</f>
        <v>05</v>
      </c>
      <c r="V138" s="3">
        <f>HOUR(Table1[[#This Row],[زمان پایان توقف]])</f>
        <v>11</v>
      </c>
      <c r="W138" s="3">
        <f>MINUTE(Table1[[#This Row],[زمان پایان توقف]])</f>
        <v>0</v>
      </c>
      <c r="X13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738127380</v>
      </c>
      <c r="Y138" s="44" t="s">
        <v>1031</v>
      </c>
      <c r="Z138" s="83">
        <f>IFERROR((IF(Table1[[#This Row],[تاریخ پایان توقف]]&lt;&gt;"",Table1[[#This Row],[زمان رفع توقف]]-Table1[[#This Row],[زمان توقف]],"")/60),"")</f>
        <v>3</v>
      </c>
      <c r="AA138" s="3">
        <f>VLOOKUP(E138,Table4[],4,0)</f>
        <v>24</v>
      </c>
      <c r="AB138" s="3">
        <f>VLOOKUP(E138,Table4[],5,0)</f>
        <v>0.2</v>
      </c>
      <c r="AC138" s="3">
        <v>360</v>
      </c>
      <c r="AD138" s="3">
        <f>VLOOKUP(E138,Table4[],7,0)</f>
        <v>720</v>
      </c>
      <c r="AE138" s="83">
        <f>IF(Table1[[#This Row],[زمان آخرین رفع توقف قبل از توقف فعلی]]="","",(Table1[[#This Row],[زمان توقف]]-Table1[[#This Row],[زمان آخرین رفع توقف قبل از توقف فعلی]])/60)</f>
        <v>1017.5</v>
      </c>
      <c r="AF13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738066150</v>
      </c>
    </row>
    <row r="139" spans="1:32">
      <c r="A139" s="36">
        <v>140</v>
      </c>
      <c r="B139" s="36" t="s">
        <v>99</v>
      </c>
      <c r="C139" s="36" t="s">
        <v>1287</v>
      </c>
      <c r="D139" s="36"/>
      <c r="E139" s="84" t="s">
        <v>1286</v>
      </c>
      <c r="F139" s="36" t="s">
        <v>12</v>
      </c>
      <c r="G139" s="56" t="s">
        <v>1024</v>
      </c>
      <c r="H139" s="53">
        <v>0.95833333333333337</v>
      </c>
      <c r="I139" s="6" t="str">
        <f>LEFT(Table1[[#This Row],[تاریخ توقف]],4)</f>
        <v>1404</v>
      </c>
      <c r="J139" s="6" t="str">
        <f>VLOOKUP(Table1[[#This Row],[ماه توقف]],Table2[],3,0)</f>
        <v>تابستان</v>
      </c>
      <c r="K139" s="3">
        <f>_xlfn.NUMBERVALUE(RIGHT(LEFT(Table1[[#This Row],[تاریخ توقف]],7),2))</f>
        <v>5</v>
      </c>
      <c r="L139" s="3" t="str">
        <f>RIGHT(LEFT(Table1[[#This Row],[تاریخ توقف]],10),2)</f>
        <v>05</v>
      </c>
      <c r="M139" s="3">
        <f>HOUR(Table1[[#This Row],[زمان شروع توقف]])</f>
        <v>23</v>
      </c>
      <c r="N139" s="3">
        <f>MINUTE(Table1[[#This Row],[زمان شروع توقف]])</f>
        <v>0</v>
      </c>
      <c r="O139" s="3">
        <f>((Table1[[#This Row],[سال توقف]]*365+IF(Table1[[#This Row],[ماه توقف]]&lt;7,(Table1[[#This Row],[ماه توقف]]-1)*31,6*31+(Table1[[#This Row],[ماه توقف]]-6-1)*30)+(Table1[[#This Row],[روز توقف]])-1)*24+Table1[[#This Row],[ساعت توقف2]])*60+Table1[[#This Row],[دقیقه توقف]]</f>
        <v>738128100</v>
      </c>
      <c r="P139" s="56" t="s">
        <v>1027</v>
      </c>
      <c r="Q139" s="53">
        <v>0.54166666666666663</v>
      </c>
      <c r="R139" s="3" t="str">
        <f>LEFT(Table1[[#This Row],[تاریخ پایان توقف]],4)</f>
        <v>1404</v>
      </c>
      <c r="S139" s="3" t="str">
        <f>_xlfn.IFNA(VLOOKUP(Table1[[#This Row],[ماه رفع توقف]],Table2[],3,0),"در حال تعمیر")</f>
        <v>تابستان</v>
      </c>
      <c r="T139" s="3">
        <f>_xlfn.NUMBERVALUE(RIGHT(LEFT(Table1[[#This Row],[تاریخ پایان توقف]],7),2))</f>
        <v>5</v>
      </c>
      <c r="U139" s="3" t="str">
        <f>RIGHT(LEFT(Table1[[#This Row],[تاریخ پایان توقف]],10),2)</f>
        <v>06</v>
      </c>
      <c r="V139" s="3">
        <f>HOUR(Table1[[#This Row],[زمان پایان توقف]])</f>
        <v>13</v>
      </c>
      <c r="W139" s="3">
        <f>MINUTE(Table1[[#This Row],[زمان پایان توقف]])</f>
        <v>0</v>
      </c>
      <c r="X13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738128940</v>
      </c>
      <c r="Y139" s="44" t="s">
        <v>1026</v>
      </c>
      <c r="Z139" s="83">
        <f>IFERROR((IF(Table1[[#This Row],[تاریخ پایان توقف]]&lt;&gt;"",Table1[[#This Row],[زمان رفع توقف]]-Table1[[#This Row],[زمان توقف]],"")/60),"")</f>
        <v>14</v>
      </c>
      <c r="AA139" s="3">
        <f>VLOOKUP(E139,Table4[],4,0)</f>
        <v>24</v>
      </c>
      <c r="AB139" s="3">
        <f>VLOOKUP(E139,Table4[],5,0)</f>
        <v>0.2</v>
      </c>
      <c r="AC139" s="3">
        <v>360</v>
      </c>
      <c r="AD139" s="3">
        <f>VLOOKUP(E139,Table4[],7,0)</f>
        <v>720</v>
      </c>
      <c r="AE139" s="83">
        <f>IF(Table1[[#This Row],[زمان آخرین رفع توقف قبل از توقف فعلی]]="","",(Table1[[#This Row],[زمان توقف]]-Table1[[#This Row],[زمان آخرین رفع توقف قبل از توقف فعلی]])/60)</f>
        <v>9.75</v>
      </c>
      <c r="AF13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738127515</v>
      </c>
    </row>
    <row r="140" spans="1:32">
      <c r="A140" s="36">
        <v>141</v>
      </c>
      <c r="B140" s="36" t="s">
        <v>1289</v>
      </c>
      <c r="C140" s="36" t="s">
        <v>814</v>
      </c>
      <c r="D140" s="36"/>
      <c r="E140" s="85" t="s">
        <v>485</v>
      </c>
      <c r="F140" s="36" t="s">
        <v>12</v>
      </c>
      <c r="G140" s="56" t="s">
        <v>1027</v>
      </c>
      <c r="H140" s="53">
        <v>0.55208333333333337</v>
      </c>
      <c r="I140" s="6" t="str">
        <f>LEFT(Table1[[#This Row],[تاریخ توقف]],4)</f>
        <v>1404</v>
      </c>
      <c r="J140" s="6" t="str">
        <f>VLOOKUP(Table1[[#This Row],[ماه توقف]],Table2[],3,0)</f>
        <v>تابستان</v>
      </c>
      <c r="K140" s="3">
        <f>_xlfn.NUMBERVALUE(RIGHT(LEFT(Table1[[#This Row],[تاریخ توقف]],7),2))</f>
        <v>5</v>
      </c>
      <c r="L140" s="3" t="str">
        <f>RIGHT(LEFT(Table1[[#This Row],[تاریخ توقف]],10),2)</f>
        <v>06</v>
      </c>
      <c r="M140" s="3">
        <f>HOUR(Table1[[#This Row],[زمان شروع توقف]])</f>
        <v>13</v>
      </c>
      <c r="N140" s="3">
        <f>MINUTE(Table1[[#This Row],[زمان شروع توقف]])</f>
        <v>15</v>
      </c>
      <c r="O140" s="3">
        <f>((Table1[[#This Row],[سال توقف]]*365+IF(Table1[[#This Row],[ماه توقف]]&lt;7,(Table1[[#This Row],[ماه توقف]]-1)*31,6*31+(Table1[[#This Row],[ماه توقف]]-6-1)*30)+(Table1[[#This Row],[روز توقف]])-1)*24+Table1[[#This Row],[ساعت توقف2]])*60+Table1[[#This Row],[دقیقه توقف]]</f>
        <v>738128955</v>
      </c>
      <c r="P140" s="56" t="s">
        <v>1065</v>
      </c>
      <c r="Q140" s="53">
        <v>0.72916666666666663</v>
      </c>
      <c r="R140" s="3" t="str">
        <f>LEFT(Table1[[#This Row],[تاریخ پایان توقف]],4)</f>
        <v>1404</v>
      </c>
      <c r="S140" s="3" t="str">
        <f>_xlfn.IFNA(VLOOKUP(Table1[[#This Row],[ماه رفع توقف]],Table2[],3,0),"در حال تعمیر")</f>
        <v>تابستان</v>
      </c>
      <c r="T140" s="3">
        <f>_xlfn.NUMBERVALUE(RIGHT(LEFT(Table1[[#This Row],[تاریخ پایان توقف]],7),2))</f>
        <v>6</v>
      </c>
      <c r="U140" s="3" t="str">
        <f>RIGHT(LEFT(Table1[[#This Row],[تاریخ پایان توقف]],10),2)</f>
        <v>06</v>
      </c>
      <c r="V140" s="3">
        <f>HOUR(Table1[[#This Row],[زمان پایان توقف]])</f>
        <v>17</v>
      </c>
      <c r="W140" s="3">
        <f>MINUTE(Table1[[#This Row],[زمان پایان توقف]])</f>
        <v>30</v>
      </c>
      <c r="X14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738173850</v>
      </c>
      <c r="Y140" s="42" t="s">
        <v>1028</v>
      </c>
      <c r="Z140" s="83">
        <f>IFERROR((IF(Table1[[#This Row],[تاریخ پایان توقف]]&lt;&gt;"",Table1[[#This Row],[زمان رفع توقف]]-Table1[[#This Row],[زمان توقف]],"")/60),"")</f>
        <v>748.25</v>
      </c>
      <c r="AA140" s="3">
        <f>VLOOKUP(E140,Table4[],4,0)</f>
        <v>24</v>
      </c>
      <c r="AB140" s="3">
        <f>VLOOKUP(E140,Table4[],5,0)</f>
        <v>0.2</v>
      </c>
      <c r="AC140" s="3">
        <v>360</v>
      </c>
      <c r="AD140" s="3">
        <f>VLOOKUP(E140,Table4[],7,0)</f>
        <v>720</v>
      </c>
      <c r="AE140" s="83">
        <f>IF(Table1[[#This Row],[زمان آخرین رفع توقف قبل از توقف فعلی]]="","",(Table1[[#This Row],[زمان توقف]]-Table1[[#This Row],[زمان آخرین رفع توقف قبل از توقف فعلی]])/60)</f>
        <v>213.75</v>
      </c>
      <c r="AF14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738116130</v>
      </c>
    </row>
    <row r="141" spans="1:32">
      <c r="A141" s="36">
        <v>142</v>
      </c>
      <c r="B141" s="36" t="s">
        <v>97</v>
      </c>
      <c r="C141" s="36" t="s">
        <v>1029</v>
      </c>
      <c r="D141" s="36" t="s">
        <v>1029</v>
      </c>
      <c r="E141" s="85" t="s">
        <v>279</v>
      </c>
      <c r="F141" s="36" t="s">
        <v>12</v>
      </c>
      <c r="G141" s="56" t="s">
        <v>1027</v>
      </c>
      <c r="H141" s="53">
        <v>0.86805555555555558</v>
      </c>
      <c r="I141" s="6" t="str">
        <f>LEFT(Table1[[#This Row],[تاریخ توقف]],4)</f>
        <v>1404</v>
      </c>
      <c r="J141" s="6" t="str">
        <f>VLOOKUP(Table1[[#This Row],[ماه توقف]],Table2[],3,0)</f>
        <v>تابستان</v>
      </c>
      <c r="K141" s="3">
        <f>_xlfn.NUMBERVALUE(RIGHT(LEFT(Table1[[#This Row],[تاریخ توقف]],7),2))</f>
        <v>5</v>
      </c>
      <c r="L141" s="3" t="str">
        <f>RIGHT(LEFT(Table1[[#This Row],[تاریخ توقف]],10),2)</f>
        <v>06</v>
      </c>
      <c r="M141" s="3">
        <f>HOUR(Table1[[#This Row],[زمان شروع توقف]])</f>
        <v>20</v>
      </c>
      <c r="N141" s="3">
        <f>MINUTE(Table1[[#This Row],[زمان شروع توقف]])</f>
        <v>50</v>
      </c>
      <c r="O141" s="3">
        <f>((Table1[[#This Row],[سال توقف]]*365+IF(Table1[[#This Row],[ماه توقف]]&lt;7,(Table1[[#This Row],[ماه توقف]]-1)*31,6*31+(Table1[[#This Row],[ماه توقف]]-6-1)*30)+(Table1[[#This Row],[روز توقف]])-1)*24+Table1[[#This Row],[ساعت توقف2]])*60+Table1[[#This Row],[دقیقه توقف]]</f>
        <v>738129410</v>
      </c>
      <c r="P141" s="56" t="s">
        <v>1027</v>
      </c>
      <c r="Q141" s="53">
        <v>0.88194444444444442</v>
      </c>
      <c r="R141" s="3" t="str">
        <f>LEFT(Table1[[#This Row],[تاریخ پایان توقف]],4)</f>
        <v>1404</v>
      </c>
      <c r="S141" s="3" t="str">
        <f>_xlfn.IFNA(VLOOKUP(Table1[[#This Row],[ماه رفع توقف]],Table2[],3,0),"در حال تعمیر")</f>
        <v>تابستان</v>
      </c>
      <c r="T141" s="3">
        <f>_xlfn.NUMBERVALUE(RIGHT(LEFT(Table1[[#This Row],[تاریخ پایان توقف]],7),2))</f>
        <v>5</v>
      </c>
      <c r="U141" s="3" t="str">
        <f>RIGHT(LEFT(Table1[[#This Row],[تاریخ پایان توقف]],10),2)</f>
        <v>06</v>
      </c>
      <c r="V141" s="3">
        <f>HOUR(Table1[[#This Row],[زمان پایان توقف]])</f>
        <v>21</v>
      </c>
      <c r="W141" s="3">
        <f>MINUTE(Table1[[#This Row],[زمان پایان توقف]])</f>
        <v>10</v>
      </c>
      <c r="X14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738129430</v>
      </c>
      <c r="Y141" s="42" t="s">
        <v>1030</v>
      </c>
      <c r="Z141" s="83">
        <f>IFERROR((IF(Table1[[#This Row],[تاریخ پایان توقف]]&lt;&gt;"",Table1[[#This Row],[زمان رفع توقف]]-Table1[[#This Row],[زمان توقف]],"")/60),"")</f>
        <v>0.33333333333333331</v>
      </c>
      <c r="AA141" s="3">
        <f>VLOOKUP(E141,Table4[],4,0)</f>
        <v>24</v>
      </c>
      <c r="AB141" s="3">
        <f>VLOOKUP(E141,Table4[],5,0)</f>
        <v>0.2</v>
      </c>
      <c r="AC141" s="3">
        <v>360</v>
      </c>
      <c r="AD141" s="3">
        <f>VLOOKUP(E141,Table4[],7,0)</f>
        <v>720</v>
      </c>
      <c r="AE141" s="83" t="str">
        <f>IF(Table1[[#This Row],[زمان آخرین رفع توقف قبل از توقف فعلی]]="","",(Table1[[#This Row],[زمان توقف]]-Table1[[#This Row],[زمان آخرین رفع توقف قبل از توقف فعلی]])/60)</f>
        <v/>
      </c>
      <c r="AF141"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42" spans="1:32">
      <c r="A142" s="36">
        <v>143</v>
      </c>
      <c r="B142" s="36" t="s">
        <v>99</v>
      </c>
      <c r="C142" s="36" t="s">
        <v>1287</v>
      </c>
      <c r="D142" s="36"/>
      <c r="E142" s="84" t="s">
        <v>1286</v>
      </c>
      <c r="F142" s="36" t="s">
        <v>12</v>
      </c>
      <c r="G142" s="56" t="s">
        <v>1024</v>
      </c>
      <c r="H142" s="53">
        <v>0.95833333333333337</v>
      </c>
      <c r="I142" s="6" t="str">
        <f>LEFT(Table1[[#This Row],[تاریخ توقف]],4)</f>
        <v>1404</v>
      </c>
      <c r="J142" s="6" t="str">
        <f>VLOOKUP(Table1[[#This Row],[ماه توقف]],Table2[],3,0)</f>
        <v>تابستان</v>
      </c>
      <c r="K142" s="3">
        <f>_xlfn.NUMBERVALUE(RIGHT(LEFT(Table1[[#This Row],[تاریخ توقف]],7),2))</f>
        <v>5</v>
      </c>
      <c r="L142" s="3" t="str">
        <f>RIGHT(LEFT(Table1[[#This Row],[تاریخ توقف]],10),2)</f>
        <v>05</v>
      </c>
      <c r="M142" s="3">
        <f>HOUR(Table1[[#This Row],[زمان شروع توقف]])</f>
        <v>23</v>
      </c>
      <c r="N142" s="3">
        <f>MINUTE(Table1[[#This Row],[زمان شروع توقف]])</f>
        <v>0</v>
      </c>
      <c r="O142" s="3">
        <f>((Table1[[#This Row],[سال توقف]]*365+IF(Table1[[#This Row],[ماه توقف]]&lt;7,(Table1[[#This Row],[ماه توقف]]-1)*31,6*31+(Table1[[#This Row],[ماه توقف]]-6-1)*30)+(Table1[[#This Row],[روز توقف]])-1)*24+Table1[[#This Row],[ساعت توقف2]])*60+Table1[[#This Row],[دقیقه توقف]]</f>
        <v>738128100</v>
      </c>
      <c r="P142" s="56" t="s">
        <v>1027</v>
      </c>
      <c r="Q142" s="53">
        <v>0.54166666666666663</v>
      </c>
      <c r="R142" s="3" t="str">
        <f>LEFT(Table1[[#This Row],[تاریخ پایان توقف]],4)</f>
        <v>1404</v>
      </c>
      <c r="S142" s="3" t="str">
        <f>_xlfn.IFNA(VLOOKUP(Table1[[#This Row],[ماه رفع توقف]],Table2[],3,0),"در حال تعمیر")</f>
        <v>تابستان</v>
      </c>
      <c r="T142" s="3">
        <f>_xlfn.NUMBERVALUE(RIGHT(LEFT(Table1[[#This Row],[تاریخ پایان توقف]],7),2))</f>
        <v>5</v>
      </c>
      <c r="U142" s="3" t="str">
        <f>RIGHT(LEFT(Table1[[#This Row],[تاریخ پایان توقف]],10),2)</f>
        <v>06</v>
      </c>
      <c r="V142" s="3">
        <f>HOUR(Table1[[#This Row],[زمان پایان توقف]])</f>
        <v>13</v>
      </c>
      <c r="W142" s="3">
        <f>MINUTE(Table1[[#This Row],[زمان پایان توقف]])</f>
        <v>0</v>
      </c>
      <c r="X14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738128940</v>
      </c>
      <c r="Y142" s="42" t="s">
        <v>1032</v>
      </c>
      <c r="Z142" s="83">
        <f>IFERROR((IF(Table1[[#This Row],[تاریخ پایان توقف]]&lt;&gt;"",Table1[[#This Row],[زمان رفع توقف]]-Table1[[#This Row],[زمان توقف]],"")/60),"")</f>
        <v>14</v>
      </c>
      <c r="AA142" s="3">
        <f>VLOOKUP(E142,Table4[],4,0)</f>
        <v>24</v>
      </c>
      <c r="AB142" s="3">
        <f>VLOOKUP(E142,Table4[],5,0)</f>
        <v>0.2</v>
      </c>
      <c r="AC142" s="3">
        <v>360</v>
      </c>
      <c r="AD142" s="3">
        <f>VLOOKUP(E142,Table4[],7,0)</f>
        <v>720</v>
      </c>
      <c r="AE142" s="83">
        <f>IF(Table1[[#This Row],[زمان آخرین رفع توقف قبل از توقف فعلی]]="","",(Table1[[#This Row],[زمان توقف]]-Table1[[#This Row],[زمان آخرین رفع توقف قبل از توقف فعلی]])/60)</f>
        <v>9.75</v>
      </c>
      <c r="AF14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738127515</v>
      </c>
    </row>
    <row r="143" spans="1:32">
      <c r="A143" s="36">
        <v>144</v>
      </c>
      <c r="B143" s="36" t="s">
        <v>99</v>
      </c>
      <c r="C143" s="36" t="s">
        <v>813</v>
      </c>
      <c r="D143" s="36"/>
      <c r="E143" s="85" t="s">
        <v>484</v>
      </c>
      <c r="F143" s="36" t="s">
        <v>12</v>
      </c>
      <c r="G143" s="56" t="s">
        <v>1027</v>
      </c>
      <c r="H143" s="53">
        <v>0.54166666666666663</v>
      </c>
      <c r="I143" s="6" t="str">
        <f>LEFT(Table1[[#This Row],[تاریخ توقف]],4)</f>
        <v>1404</v>
      </c>
      <c r="J143" s="6" t="str">
        <f>VLOOKUP(Table1[[#This Row],[ماه توقف]],Table2[],3,0)</f>
        <v>تابستان</v>
      </c>
      <c r="K143" s="3">
        <f>_xlfn.NUMBERVALUE(RIGHT(LEFT(Table1[[#This Row],[تاریخ توقف]],7),2))</f>
        <v>5</v>
      </c>
      <c r="L143" s="3" t="str">
        <f>RIGHT(LEFT(Table1[[#This Row],[تاریخ توقف]],10),2)</f>
        <v>06</v>
      </c>
      <c r="M143" s="3">
        <f>HOUR(Table1[[#This Row],[زمان شروع توقف]])</f>
        <v>13</v>
      </c>
      <c r="N143" s="3">
        <f>MINUTE(Table1[[#This Row],[زمان شروع توقف]])</f>
        <v>0</v>
      </c>
      <c r="O143" s="3">
        <f>((Table1[[#This Row],[سال توقف]]*365+IF(Table1[[#This Row],[ماه توقف]]&lt;7,(Table1[[#This Row],[ماه توقف]]-1)*31,6*31+(Table1[[#This Row],[ماه توقف]]-6-1)*30)+(Table1[[#This Row],[روز توقف]])-1)*24+Table1[[#This Row],[ساعت توقف2]])*60+Table1[[#This Row],[دقیقه توقف]]</f>
        <v>738128940</v>
      </c>
      <c r="P143" s="56" t="s">
        <v>1027</v>
      </c>
      <c r="Q143" s="53">
        <v>0.72916666666666663</v>
      </c>
      <c r="R143" s="3" t="str">
        <f>LEFT(Table1[[#This Row],[تاریخ پایان توقف]],4)</f>
        <v>1404</v>
      </c>
      <c r="S143" s="3" t="str">
        <f>_xlfn.IFNA(VLOOKUP(Table1[[#This Row],[ماه رفع توقف]],Table2[],3,0),"در حال تعمیر")</f>
        <v>تابستان</v>
      </c>
      <c r="T143" s="3">
        <f>_xlfn.NUMBERVALUE(RIGHT(LEFT(Table1[[#This Row],[تاریخ پایان توقف]],7),2))</f>
        <v>5</v>
      </c>
      <c r="U143" s="3" t="str">
        <f>RIGHT(LEFT(Table1[[#This Row],[تاریخ پایان توقف]],10),2)</f>
        <v>06</v>
      </c>
      <c r="V143" s="3">
        <f>HOUR(Table1[[#This Row],[زمان پایان توقف]])</f>
        <v>17</v>
      </c>
      <c r="W143" s="3">
        <f>MINUTE(Table1[[#This Row],[زمان پایان توقف]])</f>
        <v>30</v>
      </c>
      <c r="X14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738129210</v>
      </c>
      <c r="Y143" s="42" t="s">
        <v>1035</v>
      </c>
      <c r="Z143" s="83">
        <f>IFERROR((IF(Table1[[#This Row],[تاریخ پایان توقف]]&lt;&gt;"",Table1[[#This Row],[زمان رفع توقف]]-Table1[[#This Row],[زمان توقف]],"")/60),"")</f>
        <v>4.5</v>
      </c>
      <c r="AA143" s="3">
        <f>VLOOKUP(E143,Table4[],4,0)</f>
        <v>24</v>
      </c>
      <c r="AB143" s="3">
        <f>VLOOKUP(E143,Table4[],5,0)</f>
        <v>0.2</v>
      </c>
      <c r="AC143" s="3">
        <v>360</v>
      </c>
      <c r="AD143" s="3">
        <f>VLOOKUP(E143,Table4[],7,0)</f>
        <v>720</v>
      </c>
      <c r="AE143" s="83" t="str">
        <f>IF(Table1[[#This Row],[زمان آخرین رفع توقف قبل از توقف فعلی]]="","",(Table1[[#This Row],[زمان توقف]]-Table1[[#This Row],[زمان آخرین رفع توقف قبل از توقف فعلی]])/60)</f>
        <v/>
      </c>
      <c r="AF143"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44" spans="1:32">
      <c r="A144" s="36">
        <v>145</v>
      </c>
      <c r="B144" s="36" t="s">
        <v>97</v>
      </c>
      <c r="C144" s="36" t="s">
        <v>137</v>
      </c>
      <c r="D144" s="36" t="s">
        <v>144</v>
      </c>
      <c r="E144" s="85" t="s">
        <v>57</v>
      </c>
      <c r="F144" s="36" t="s">
        <v>12</v>
      </c>
      <c r="G144" s="56" t="s">
        <v>1024</v>
      </c>
      <c r="H144" s="53">
        <v>0.86805555555555558</v>
      </c>
      <c r="I144" s="6" t="str">
        <f>LEFT(Table1[[#This Row],[تاریخ توقف]],4)</f>
        <v>1404</v>
      </c>
      <c r="J144" s="6" t="str">
        <f>VLOOKUP(Table1[[#This Row],[ماه توقف]],Table2[],3,0)</f>
        <v>تابستان</v>
      </c>
      <c r="K144" s="3">
        <f>_xlfn.NUMBERVALUE(RIGHT(LEFT(Table1[[#This Row],[تاریخ توقف]],7),2))</f>
        <v>5</v>
      </c>
      <c r="L144" s="3" t="str">
        <f>RIGHT(LEFT(Table1[[#This Row],[تاریخ توقف]],10),2)</f>
        <v>05</v>
      </c>
      <c r="M144" s="3">
        <f>HOUR(Table1[[#This Row],[زمان شروع توقف]])</f>
        <v>20</v>
      </c>
      <c r="N144" s="3">
        <f>MINUTE(Table1[[#This Row],[زمان شروع توقف]])</f>
        <v>50</v>
      </c>
      <c r="O144" s="3">
        <f>((Table1[[#This Row],[سال توقف]]*365+IF(Table1[[#This Row],[ماه توقف]]&lt;7,(Table1[[#This Row],[ماه توقف]]-1)*31,6*31+(Table1[[#This Row],[ماه توقف]]-6-1)*30)+(Table1[[#This Row],[روز توقف]])-1)*24+Table1[[#This Row],[ساعت توقف2]])*60+Table1[[#This Row],[دقیقه توقف]]</f>
        <v>738127970</v>
      </c>
      <c r="P144" s="56" t="s">
        <v>1024</v>
      </c>
      <c r="Q144" s="53">
        <v>0.88194444444444442</v>
      </c>
      <c r="R144" s="3" t="str">
        <f>LEFT(Table1[[#This Row],[تاریخ پایان توقف]],4)</f>
        <v>1404</v>
      </c>
      <c r="S144" s="3" t="str">
        <f>_xlfn.IFNA(VLOOKUP(Table1[[#This Row],[ماه رفع توقف]],Table2[],3,0),"در حال تعمیر")</f>
        <v>تابستان</v>
      </c>
      <c r="T144" s="3">
        <f>_xlfn.NUMBERVALUE(RIGHT(LEFT(Table1[[#This Row],[تاریخ پایان توقف]],7),2))</f>
        <v>5</v>
      </c>
      <c r="U144" s="3" t="str">
        <f>RIGHT(LEFT(Table1[[#This Row],[تاریخ پایان توقف]],10),2)</f>
        <v>05</v>
      </c>
      <c r="V144" s="3">
        <f>HOUR(Table1[[#This Row],[زمان پایان توقف]])</f>
        <v>21</v>
      </c>
      <c r="W144" s="3">
        <f>MINUTE(Table1[[#This Row],[زمان پایان توقف]])</f>
        <v>10</v>
      </c>
      <c r="X14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738127990</v>
      </c>
      <c r="Y144" s="42" t="s">
        <v>1039</v>
      </c>
      <c r="Z144" s="83">
        <f>IFERROR((IF(Table1[[#This Row],[تاریخ پایان توقف]]&lt;&gt;"",Table1[[#This Row],[زمان رفع توقف]]-Table1[[#This Row],[زمان توقف]],"")/60),"")</f>
        <v>0.33333333333333331</v>
      </c>
      <c r="AA144" s="3">
        <f>VLOOKUP(E144,Table4[],4,0)</f>
        <v>24</v>
      </c>
      <c r="AB144" s="3">
        <f>VLOOKUP(E144,Table4[],5,0)</f>
        <v>0.2</v>
      </c>
      <c r="AC144" s="3">
        <v>360</v>
      </c>
      <c r="AD144" s="3">
        <f>VLOOKUP(E144,Table4[],7,0)</f>
        <v>720</v>
      </c>
      <c r="AE144" s="83">
        <f>IF(Table1[[#This Row],[زمان آخرین رفع توقف قبل از توقف فعلی]]="","",(Table1[[#This Row],[زمان توقف]]-Table1[[#This Row],[زمان آخرین رفع توقف قبل از توقف فعلی]])/60)</f>
        <v>266.83333333333331</v>
      </c>
      <c r="AF14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738111960</v>
      </c>
    </row>
    <row r="145" spans="1:32">
      <c r="A145" s="36">
        <v>146</v>
      </c>
      <c r="B145" s="36" t="s">
        <v>97</v>
      </c>
      <c r="C145" s="36" t="s">
        <v>1036</v>
      </c>
      <c r="D145" s="36" t="s">
        <v>1037</v>
      </c>
      <c r="E145" s="85" t="s">
        <v>1038</v>
      </c>
      <c r="F145" s="36" t="s">
        <v>12</v>
      </c>
      <c r="G145" s="56" t="s">
        <v>1027</v>
      </c>
      <c r="H145" s="53">
        <v>2.0833333333333332E-2</v>
      </c>
      <c r="I145" s="6" t="str">
        <f>LEFT(Table1[[#This Row],[تاریخ توقف]],4)</f>
        <v>1404</v>
      </c>
      <c r="J145" s="6" t="str">
        <f>VLOOKUP(Table1[[#This Row],[ماه توقف]],Table2[],3,0)</f>
        <v>تابستان</v>
      </c>
      <c r="K145" s="3">
        <f>_xlfn.NUMBERVALUE(RIGHT(LEFT(Table1[[#This Row],[تاریخ توقف]],7),2))</f>
        <v>5</v>
      </c>
      <c r="L145" s="3" t="str">
        <f>RIGHT(LEFT(Table1[[#This Row],[تاریخ توقف]],10),2)</f>
        <v>06</v>
      </c>
      <c r="M145" s="3">
        <f>HOUR(Table1[[#This Row],[زمان شروع توقف]])</f>
        <v>0</v>
      </c>
      <c r="N145" s="3">
        <f>MINUTE(Table1[[#This Row],[زمان شروع توقف]])</f>
        <v>30</v>
      </c>
      <c r="O145" s="3">
        <f>((Table1[[#This Row],[سال توقف]]*365+IF(Table1[[#This Row],[ماه توقف]]&lt;7,(Table1[[#This Row],[ماه توقف]]-1)*31,6*31+(Table1[[#This Row],[ماه توقف]]-6-1)*30)+(Table1[[#This Row],[روز توقف]])-1)*24+Table1[[#This Row],[ساعت توقف2]])*60+Table1[[#This Row],[دقیقه توقف]]</f>
        <v>738128190</v>
      </c>
      <c r="P145" s="56" t="s">
        <v>1027</v>
      </c>
      <c r="Q145" s="53">
        <v>2.2916666666666665E-2</v>
      </c>
      <c r="R145" s="3" t="str">
        <f>LEFT(Table1[[#This Row],[تاریخ پایان توقف]],4)</f>
        <v>1404</v>
      </c>
      <c r="S145" s="3" t="str">
        <f>_xlfn.IFNA(VLOOKUP(Table1[[#This Row],[ماه رفع توقف]],Table2[],3,0),"در حال تعمیر")</f>
        <v>تابستان</v>
      </c>
      <c r="T145" s="3">
        <f>_xlfn.NUMBERVALUE(RIGHT(LEFT(Table1[[#This Row],[تاریخ پایان توقف]],7),2))</f>
        <v>5</v>
      </c>
      <c r="U145" s="3" t="str">
        <f>RIGHT(LEFT(Table1[[#This Row],[تاریخ پایان توقف]],10),2)</f>
        <v>06</v>
      </c>
      <c r="V145" s="3">
        <f>HOUR(Table1[[#This Row],[زمان پایان توقف]])</f>
        <v>0</v>
      </c>
      <c r="W145" s="3">
        <f>MINUTE(Table1[[#This Row],[زمان پایان توقف]])</f>
        <v>33</v>
      </c>
      <c r="X14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738128193</v>
      </c>
      <c r="Y145" s="42" t="s">
        <v>1040</v>
      </c>
      <c r="Z145" s="83">
        <f>IFERROR((IF(Table1[[#This Row],[تاریخ پایان توقف]]&lt;&gt;"",Table1[[#This Row],[زمان رفع توقف]]-Table1[[#This Row],[زمان توقف]],"")/60),"")</f>
        <v>0.05</v>
      </c>
      <c r="AA145" s="3">
        <f>VLOOKUP(E145,Table4[],4,0)</f>
        <v>24</v>
      </c>
      <c r="AB145" s="3">
        <f>VLOOKUP(E145,Table4[],5,0)</f>
        <v>0.2</v>
      </c>
      <c r="AC145" s="3">
        <v>360</v>
      </c>
      <c r="AD145" s="3">
        <f>VLOOKUP(E145,Table4[],7,0)</f>
        <v>720</v>
      </c>
      <c r="AE145" s="83" t="str">
        <f>IF(Table1[[#This Row],[زمان آخرین رفع توقف قبل از توقف فعلی]]="","",(Table1[[#This Row],[زمان توقف]]-Table1[[#This Row],[زمان آخرین رفع توقف قبل از توقف فعلی]])/60)</f>
        <v/>
      </c>
      <c r="AF14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46" spans="1:32">
      <c r="A146" s="36">
        <v>147</v>
      </c>
      <c r="B146" s="36" t="s">
        <v>97</v>
      </c>
      <c r="C146" s="36" t="s">
        <v>1036</v>
      </c>
      <c r="D146" s="36" t="s">
        <v>1037</v>
      </c>
      <c r="E146" s="85" t="s">
        <v>1038</v>
      </c>
      <c r="F146" s="36" t="s">
        <v>12</v>
      </c>
      <c r="G146" s="56" t="s">
        <v>1027</v>
      </c>
      <c r="H146" s="53">
        <v>0.58263888888888893</v>
      </c>
      <c r="I146" s="6" t="str">
        <f>LEFT(Table1[[#This Row],[تاریخ توقف]],4)</f>
        <v>1404</v>
      </c>
      <c r="J146" s="6" t="str">
        <f>VLOOKUP(Table1[[#This Row],[ماه توقف]],Table2[],3,0)</f>
        <v>تابستان</v>
      </c>
      <c r="K146" s="3">
        <f>_xlfn.NUMBERVALUE(RIGHT(LEFT(Table1[[#This Row],[تاریخ توقف]],7),2))</f>
        <v>5</v>
      </c>
      <c r="L146" s="3" t="str">
        <f>RIGHT(LEFT(Table1[[#This Row],[تاریخ توقف]],10),2)</f>
        <v>06</v>
      </c>
      <c r="M146" s="3">
        <f>HOUR(Table1[[#This Row],[زمان شروع توقف]])</f>
        <v>13</v>
      </c>
      <c r="N146" s="3">
        <f>MINUTE(Table1[[#This Row],[زمان شروع توقف]])</f>
        <v>59</v>
      </c>
      <c r="O146" s="3">
        <f>((Table1[[#This Row],[سال توقف]]*365+IF(Table1[[#This Row],[ماه توقف]]&lt;7,(Table1[[#This Row],[ماه توقف]]-1)*31,6*31+(Table1[[#This Row],[ماه توقف]]-6-1)*30)+(Table1[[#This Row],[روز توقف]])-1)*24+Table1[[#This Row],[ساعت توقف2]])*60+Table1[[#This Row],[دقیقه توقف]]</f>
        <v>738128999</v>
      </c>
      <c r="P146" s="56" t="s">
        <v>1027</v>
      </c>
      <c r="Q146" s="53">
        <v>0.58472222222222225</v>
      </c>
      <c r="R146" s="3" t="str">
        <f>LEFT(Table1[[#This Row],[تاریخ پایان توقف]],4)</f>
        <v>1404</v>
      </c>
      <c r="S146" s="3" t="str">
        <f>_xlfn.IFNA(VLOOKUP(Table1[[#This Row],[ماه رفع توقف]],Table2[],3,0),"در حال تعمیر")</f>
        <v>تابستان</v>
      </c>
      <c r="T146" s="3">
        <f>_xlfn.NUMBERVALUE(RIGHT(LEFT(Table1[[#This Row],[تاریخ پایان توقف]],7),2))</f>
        <v>5</v>
      </c>
      <c r="U146" s="3" t="str">
        <f>RIGHT(LEFT(Table1[[#This Row],[تاریخ پایان توقف]],10),2)</f>
        <v>06</v>
      </c>
      <c r="V146" s="3">
        <f>HOUR(Table1[[#This Row],[زمان پایان توقف]])</f>
        <v>14</v>
      </c>
      <c r="W146" s="3">
        <f>MINUTE(Table1[[#This Row],[زمان پایان توقف]])</f>
        <v>2</v>
      </c>
      <c r="X14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738129002</v>
      </c>
      <c r="Y146" s="42" t="s">
        <v>1040</v>
      </c>
      <c r="Z146" s="83">
        <f>IFERROR((IF(Table1[[#This Row],[تاریخ پایان توقف]]&lt;&gt;"",Table1[[#This Row],[زمان رفع توقف]]-Table1[[#This Row],[زمان توقف]],"")/60),"")</f>
        <v>0.05</v>
      </c>
      <c r="AA146" s="3">
        <f>VLOOKUP(E146,Table4[],4,0)</f>
        <v>24</v>
      </c>
      <c r="AB146" s="3">
        <f>VLOOKUP(E146,Table4[],5,0)</f>
        <v>0.2</v>
      </c>
      <c r="AC146" s="3">
        <v>360</v>
      </c>
      <c r="AD146" s="3">
        <f>VLOOKUP(E146,Table4[],7,0)</f>
        <v>720</v>
      </c>
      <c r="AE146" s="83">
        <f>IF(Table1[[#This Row],[زمان آخرین رفع توقف قبل از توقف فعلی]]="","",(Table1[[#This Row],[زمان توقف]]-Table1[[#This Row],[زمان آخرین رفع توقف قبل از توقف فعلی]])/60)</f>
        <v>13.433333333333334</v>
      </c>
      <c r="AF14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738128193</v>
      </c>
    </row>
    <row r="147" spans="1:32">
      <c r="A147" s="36">
        <v>148</v>
      </c>
      <c r="B147" s="36" t="s">
        <v>97</v>
      </c>
      <c r="C147" s="36" t="s">
        <v>1036</v>
      </c>
      <c r="D147" s="36" t="s">
        <v>1037</v>
      </c>
      <c r="E147" s="85" t="s">
        <v>1038</v>
      </c>
      <c r="F147" s="36" t="s">
        <v>12</v>
      </c>
      <c r="G147" s="56" t="s">
        <v>1027</v>
      </c>
      <c r="H147" s="53">
        <v>0.625</v>
      </c>
      <c r="I147" s="6" t="str">
        <f>LEFT(Table1[[#This Row],[تاریخ توقف]],4)</f>
        <v>1404</v>
      </c>
      <c r="J147" s="6" t="str">
        <f>VLOOKUP(Table1[[#This Row],[ماه توقف]],Table2[],3,0)</f>
        <v>تابستان</v>
      </c>
      <c r="K147" s="3">
        <f>_xlfn.NUMBERVALUE(RIGHT(LEFT(Table1[[#This Row],[تاریخ توقف]],7),2))</f>
        <v>5</v>
      </c>
      <c r="L147" s="3" t="str">
        <f>RIGHT(LEFT(Table1[[#This Row],[تاریخ توقف]],10),2)</f>
        <v>06</v>
      </c>
      <c r="M147" s="3">
        <f>HOUR(Table1[[#This Row],[زمان شروع توقف]])</f>
        <v>15</v>
      </c>
      <c r="N147" s="3">
        <f>MINUTE(Table1[[#This Row],[زمان شروع توقف]])</f>
        <v>0</v>
      </c>
      <c r="O147" s="3">
        <f>((Table1[[#This Row],[سال توقف]]*365+IF(Table1[[#This Row],[ماه توقف]]&lt;7,(Table1[[#This Row],[ماه توقف]]-1)*31,6*31+(Table1[[#This Row],[ماه توقف]]-6-1)*30)+(Table1[[#This Row],[روز توقف]])-1)*24+Table1[[#This Row],[ساعت توقف2]])*60+Table1[[#This Row],[دقیقه توقف]]</f>
        <v>738129060</v>
      </c>
      <c r="P147" s="56" t="s">
        <v>1027</v>
      </c>
      <c r="Q147" s="53">
        <v>0.64930555555555558</v>
      </c>
      <c r="R147" s="3" t="str">
        <f>LEFT(Table1[[#This Row],[تاریخ پایان توقف]],4)</f>
        <v>1404</v>
      </c>
      <c r="S147" s="3" t="str">
        <f>_xlfn.IFNA(VLOOKUP(Table1[[#This Row],[ماه رفع توقف]],Table2[],3,0),"در حال تعمیر")</f>
        <v>تابستان</v>
      </c>
      <c r="T147" s="3">
        <f>_xlfn.NUMBERVALUE(RIGHT(LEFT(Table1[[#This Row],[تاریخ پایان توقف]],7),2))</f>
        <v>5</v>
      </c>
      <c r="U147" s="3" t="str">
        <f>RIGHT(LEFT(Table1[[#This Row],[تاریخ پایان توقف]],10),2)</f>
        <v>06</v>
      </c>
      <c r="V147" s="3">
        <f>HOUR(Table1[[#This Row],[زمان پایان توقف]])</f>
        <v>15</v>
      </c>
      <c r="W147" s="3">
        <f>MINUTE(Table1[[#This Row],[زمان پایان توقف]])</f>
        <v>35</v>
      </c>
      <c r="X14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738129095</v>
      </c>
      <c r="Y147" s="42" t="s">
        <v>1040</v>
      </c>
      <c r="Z147" s="83">
        <f>IFERROR((IF(Table1[[#This Row],[تاریخ پایان توقف]]&lt;&gt;"",Table1[[#This Row],[زمان رفع توقف]]-Table1[[#This Row],[زمان توقف]],"")/60),"")</f>
        <v>0.58333333333333337</v>
      </c>
      <c r="AA147" s="3">
        <f>VLOOKUP(E147,Table4[],4,0)</f>
        <v>24</v>
      </c>
      <c r="AB147" s="3">
        <f>VLOOKUP(E147,Table4[],5,0)</f>
        <v>0.2</v>
      </c>
      <c r="AC147" s="3">
        <v>360</v>
      </c>
      <c r="AD147" s="3">
        <f>VLOOKUP(E147,Table4[],7,0)</f>
        <v>720</v>
      </c>
      <c r="AE147" s="83">
        <f>IF(Table1[[#This Row],[زمان آخرین رفع توقف قبل از توقف فعلی]]="","",(Table1[[#This Row],[زمان توقف]]-Table1[[#This Row],[زمان آخرین رفع توقف قبل از توقف فعلی]])/60)</f>
        <v>0.96666666666666667</v>
      </c>
      <c r="AF14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738129002</v>
      </c>
    </row>
    <row r="148" spans="1:32">
      <c r="A148" s="36">
        <v>149</v>
      </c>
      <c r="B148" s="36" t="s">
        <v>97</v>
      </c>
      <c r="C148" s="36" t="s">
        <v>1041</v>
      </c>
      <c r="D148" s="36" t="s">
        <v>37</v>
      </c>
      <c r="E148" s="85" t="s">
        <v>59</v>
      </c>
      <c r="F148" s="36" t="s">
        <v>12</v>
      </c>
      <c r="G148" s="56" t="s">
        <v>1042</v>
      </c>
      <c r="H148" s="53">
        <v>0.34097222222222223</v>
      </c>
      <c r="I148" s="6" t="str">
        <f>LEFT(Table1[[#This Row],[تاریخ توقف]],4)</f>
        <v>1404</v>
      </c>
      <c r="J148" s="6" t="str">
        <f>VLOOKUP(Table1[[#This Row],[ماه توقف]],Table2[],3,0)</f>
        <v>تابستان</v>
      </c>
      <c r="K148" s="3">
        <f>_xlfn.NUMBERVALUE(RIGHT(LEFT(Table1[[#This Row],[تاریخ توقف]],7),2))</f>
        <v>5</v>
      </c>
      <c r="L148" s="3" t="str">
        <f>RIGHT(LEFT(Table1[[#This Row],[تاریخ توقف]],10),2)</f>
        <v>08</v>
      </c>
      <c r="M148" s="3">
        <f>HOUR(Table1[[#This Row],[زمان شروع توقف]])</f>
        <v>8</v>
      </c>
      <c r="N148" s="3">
        <f>MINUTE(Table1[[#This Row],[زمان شروع توقف]])</f>
        <v>11</v>
      </c>
      <c r="O148" s="3">
        <f>((Table1[[#This Row],[سال توقف]]*365+IF(Table1[[#This Row],[ماه توقف]]&lt;7,(Table1[[#This Row],[ماه توقف]]-1)*31,6*31+(Table1[[#This Row],[ماه توقف]]-6-1)*30)+(Table1[[#This Row],[روز توقف]])-1)*24+Table1[[#This Row],[ساعت توقف2]])*60+Table1[[#This Row],[دقیقه توقف]]</f>
        <v>738131531</v>
      </c>
      <c r="P148" s="56" t="s">
        <v>1042</v>
      </c>
      <c r="Q148" s="53">
        <v>0.3611111111111111</v>
      </c>
      <c r="R148" s="3" t="str">
        <f>LEFT(Table1[[#This Row],[تاریخ پایان توقف]],4)</f>
        <v>1404</v>
      </c>
      <c r="S148" s="3" t="str">
        <f>_xlfn.IFNA(VLOOKUP(Table1[[#This Row],[ماه رفع توقف]],Table2[],3,0),"در حال تعمیر")</f>
        <v>تابستان</v>
      </c>
      <c r="T148" s="3">
        <f>_xlfn.NUMBERVALUE(RIGHT(LEFT(Table1[[#This Row],[تاریخ پایان توقف]],7),2))</f>
        <v>5</v>
      </c>
      <c r="U148" s="3" t="str">
        <f>RIGHT(LEFT(Table1[[#This Row],[تاریخ پایان توقف]],10),2)</f>
        <v>08</v>
      </c>
      <c r="V148" s="3">
        <f>HOUR(Table1[[#This Row],[زمان پایان توقف]])</f>
        <v>8</v>
      </c>
      <c r="W148" s="3">
        <f>MINUTE(Table1[[#This Row],[زمان پایان توقف]])</f>
        <v>40</v>
      </c>
      <c r="X14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738131560</v>
      </c>
      <c r="Y148" s="42" t="s">
        <v>1043</v>
      </c>
      <c r="Z148" s="83">
        <f>IFERROR((IF(Table1[[#This Row],[تاریخ پایان توقف]]&lt;&gt;"",Table1[[#This Row],[زمان رفع توقف]]-Table1[[#This Row],[زمان توقف]],"")/60),"")</f>
        <v>0.48333333333333334</v>
      </c>
      <c r="AA148" s="3">
        <f>VLOOKUP(E148,Table4[],4,0)</f>
        <v>24</v>
      </c>
      <c r="AB148" s="3">
        <f>VLOOKUP(E148,Table4[],5,0)</f>
        <v>0.2</v>
      </c>
      <c r="AC148" s="3">
        <v>360</v>
      </c>
      <c r="AD148" s="3">
        <f>VLOOKUP(E148,Table4[],7,0)</f>
        <v>720</v>
      </c>
      <c r="AE148" s="83" t="str">
        <f>IF(Table1[[#This Row],[زمان آخرین رفع توقف قبل از توقف فعلی]]="","",(Table1[[#This Row],[زمان توقف]]-Table1[[#This Row],[زمان آخرین رفع توقف قبل از توقف فعلی]])/60)</f>
        <v/>
      </c>
      <c r="AF148"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49" spans="1:32">
      <c r="A149" s="36">
        <v>150</v>
      </c>
      <c r="B149" s="36" t="s">
        <v>99</v>
      </c>
      <c r="C149" s="36" t="s">
        <v>1287</v>
      </c>
      <c r="D149" s="36"/>
      <c r="E149" s="85" t="s">
        <v>72</v>
      </c>
      <c r="F149" s="36" t="s">
        <v>12</v>
      </c>
      <c r="G149" s="56" t="s">
        <v>1044</v>
      </c>
      <c r="H149" s="53">
        <v>0.30486111111111114</v>
      </c>
      <c r="I149" s="6" t="str">
        <f>LEFT(Table1[[#This Row],[تاریخ توقف]],4)</f>
        <v>1404</v>
      </c>
      <c r="J149" s="6" t="str">
        <f>VLOOKUP(Table1[[#This Row],[ماه توقف]],Table2[],3,0)</f>
        <v>تابستان</v>
      </c>
      <c r="K149" s="3">
        <f>_xlfn.NUMBERVALUE(RIGHT(LEFT(Table1[[#This Row],[تاریخ توقف]],7),2))</f>
        <v>5</v>
      </c>
      <c r="L149" s="3" t="str">
        <f>RIGHT(LEFT(Table1[[#This Row],[تاریخ توقف]],10),2)</f>
        <v>09</v>
      </c>
      <c r="M149" s="3">
        <f>HOUR(Table1[[#This Row],[زمان شروع توقف]])</f>
        <v>7</v>
      </c>
      <c r="N149" s="3">
        <f>MINUTE(Table1[[#This Row],[زمان شروع توقف]])</f>
        <v>19</v>
      </c>
      <c r="O149" s="3">
        <f>((Table1[[#This Row],[سال توقف]]*365+IF(Table1[[#This Row],[ماه توقف]]&lt;7,(Table1[[#This Row],[ماه توقف]]-1)*31,6*31+(Table1[[#This Row],[ماه توقف]]-6-1)*30)+(Table1[[#This Row],[روز توقف]])-1)*24+Table1[[#This Row],[ساعت توقف2]])*60+Table1[[#This Row],[دقیقه توقف]]</f>
        <v>738132919</v>
      </c>
      <c r="P149" s="56" t="s">
        <v>1044</v>
      </c>
      <c r="Q149" s="53">
        <v>0.52083333333333337</v>
      </c>
      <c r="R149" s="3" t="str">
        <f>LEFT(Table1[[#This Row],[تاریخ پایان توقف]],4)</f>
        <v>1404</v>
      </c>
      <c r="S149" s="3" t="str">
        <f>_xlfn.IFNA(VLOOKUP(Table1[[#This Row],[ماه رفع توقف]],Table2[],3,0),"در حال تعمیر")</f>
        <v>تابستان</v>
      </c>
      <c r="T149" s="3">
        <f>_xlfn.NUMBERVALUE(RIGHT(LEFT(Table1[[#This Row],[تاریخ پایان توقف]],7),2))</f>
        <v>5</v>
      </c>
      <c r="U149" s="3" t="str">
        <f>RIGHT(LEFT(Table1[[#This Row],[تاریخ پایان توقف]],10),2)</f>
        <v>09</v>
      </c>
      <c r="V149" s="3">
        <f>HOUR(Table1[[#This Row],[زمان پایان توقف]])</f>
        <v>12</v>
      </c>
      <c r="W149" s="3">
        <f>MINUTE(Table1[[#This Row],[زمان پایان توقف]])</f>
        <v>30</v>
      </c>
      <c r="X14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738133230</v>
      </c>
      <c r="Y149" s="42" t="s">
        <v>1046</v>
      </c>
      <c r="Z149" s="83">
        <f>IFERROR((IF(Table1[[#This Row],[تاریخ پایان توقف]]&lt;&gt;"",Table1[[#This Row],[زمان رفع توقف]]-Table1[[#This Row],[زمان توقف]],"")/60),"")</f>
        <v>5.1833333333333336</v>
      </c>
      <c r="AA149" s="3">
        <f>VLOOKUP(E149,Table4[],4,0)</f>
        <v>24</v>
      </c>
      <c r="AB149" s="3">
        <f>VLOOKUP(E149,Table4[],5,0)</f>
        <v>0.2</v>
      </c>
      <c r="AC149" s="3">
        <v>360</v>
      </c>
      <c r="AD149" s="3">
        <f>VLOOKUP(E149,Table4[],7,0)</f>
        <v>720</v>
      </c>
      <c r="AE149" s="83" t="str">
        <f>IF(Table1[[#This Row],[زمان آخرین رفع توقف قبل از توقف فعلی]]="","",(Table1[[#This Row],[زمان توقف]]-Table1[[#This Row],[زمان آخرین رفع توقف قبل از توقف فعلی]])/60)</f>
        <v/>
      </c>
      <c r="AF149"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50" spans="1:32">
      <c r="A150" s="36">
        <v>151</v>
      </c>
      <c r="B150" s="36" t="s">
        <v>97</v>
      </c>
      <c r="C150" s="36" t="s">
        <v>1041</v>
      </c>
      <c r="D150" s="36" t="s">
        <v>37</v>
      </c>
      <c r="E150" s="85" t="s">
        <v>59</v>
      </c>
      <c r="F150" s="36" t="s">
        <v>12</v>
      </c>
      <c r="G150" s="56" t="s">
        <v>1044</v>
      </c>
      <c r="H150" s="53">
        <v>0.38541666666666669</v>
      </c>
      <c r="I150" s="6" t="str">
        <f>LEFT(Table1[[#This Row],[تاریخ توقف]],4)</f>
        <v>1404</v>
      </c>
      <c r="J150" s="6" t="str">
        <f>VLOOKUP(Table1[[#This Row],[ماه توقف]],Table2[],3,0)</f>
        <v>تابستان</v>
      </c>
      <c r="K150" s="3">
        <f>_xlfn.NUMBERVALUE(RIGHT(LEFT(Table1[[#This Row],[تاریخ توقف]],7),2))</f>
        <v>5</v>
      </c>
      <c r="L150" s="3" t="str">
        <f>RIGHT(LEFT(Table1[[#This Row],[تاریخ توقف]],10),2)</f>
        <v>09</v>
      </c>
      <c r="M150" s="3">
        <f>HOUR(Table1[[#This Row],[زمان شروع توقف]])</f>
        <v>9</v>
      </c>
      <c r="N150" s="3">
        <f>MINUTE(Table1[[#This Row],[زمان شروع توقف]])</f>
        <v>15</v>
      </c>
      <c r="O150" s="3">
        <f>((Table1[[#This Row],[سال توقف]]*365+IF(Table1[[#This Row],[ماه توقف]]&lt;7,(Table1[[#This Row],[ماه توقف]]-1)*31,6*31+(Table1[[#This Row],[ماه توقف]]-6-1)*30)+(Table1[[#This Row],[روز توقف]])-1)*24+Table1[[#This Row],[ساعت توقف2]])*60+Table1[[#This Row],[دقیقه توقف]]</f>
        <v>738133035</v>
      </c>
      <c r="P150" s="56" t="s">
        <v>1044</v>
      </c>
      <c r="Q150" s="53">
        <v>0.43055555555555558</v>
      </c>
      <c r="R150" s="3" t="str">
        <f>LEFT(Table1[[#This Row],[تاریخ پایان توقف]],4)</f>
        <v>1404</v>
      </c>
      <c r="S150" s="3" t="str">
        <f>_xlfn.IFNA(VLOOKUP(Table1[[#This Row],[ماه رفع توقف]],Table2[],3,0),"در حال تعمیر")</f>
        <v>تابستان</v>
      </c>
      <c r="T150" s="3">
        <f>_xlfn.NUMBERVALUE(RIGHT(LEFT(Table1[[#This Row],[تاریخ پایان توقف]],7),2))</f>
        <v>5</v>
      </c>
      <c r="U150" s="3" t="str">
        <f>RIGHT(LEFT(Table1[[#This Row],[تاریخ پایان توقف]],10),2)</f>
        <v>09</v>
      </c>
      <c r="V150" s="3">
        <f>HOUR(Table1[[#This Row],[زمان پایان توقف]])</f>
        <v>10</v>
      </c>
      <c r="W150" s="3">
        <f>MINUTE(Table1[[#This Row],[زمان پایان توقف]])</f>
        <v>20</v>
      </c>
      <c r="X15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738133100</v>
      </c>
      <c r="Y150" s="42" t="s">
        <v>1045</v>
      </c>
      <c r="Z150" s="83">
        <f>IFERROR((IF(Table1[[#This Row],[تاریخ پایان توقف]]&lt;&gt;"",Table1[[#This Row],[زمان رفع توقف]]-Table1[[#This Row],[زمان توقف]],"")/60),"")</f>
        <v>1.0833333333333333</v>
      </c>
      <c r="AA150" s="3">
        <f>VLOOKUP(E150,Table4[],4,0)</f>
        <v>24</v>
      </c>
      <c r="AB150" s="3">
        <f>VLOOKUP(E150,Table4[],5,0)</f>
        <v>0.2</v>
      </c>
      <c r="AC150" s="3">
        <v>360</v>
      </c>
      <c r="AD150" s="3">
        <f>VLOOKUP(E150,Table4[],7,0)</f>
        <v>720</v>
      </c>
      <c r="AE150" s="83">
        <f>IF(Table1[[#This Row],[زمان آخرین رفع توقف قبل از توقف فعلی]]="","",(Table1[[#This Row],[زمان توقف]]-Table1[[#This Row],[زمان آخرین رفع توقف قبل از توقف فعلی]])/60)</f>
        <v>24.583333333333332</v>
      </c>
      <c r="AF15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738131560</v>
      </c>
    </row>
    <row r="151" spans="1:32">
      <c r="A151" s="36">
        <v>152</v>
      </c>
      <c r="B151" s="36" t="s">
        <v>98</v>
      </c>
      <c r="C151" s="36" t="s">
        <v>1047</v>
      </c>
      <c r="D151" s="36" t="s">
        <v>583</v>
      </c>
      <c r="E151" s="85" t="s">
        <v>73</v>
      </c>
      <c r="F151" s="36" t="s">
        <v>12</v>
      </c>
      <c r="G151" s="56" t="s">
        <v>1048</v>
      </c>
      <c r="H151" s="53">
        <v>0.53263888888888888</v>
      </c>
      <c r="I151" s="6" t="str">
        <f>LEFT(Table1[[#This Row],[تاریخ توقف]],4)</f>
        <v>1404</v>
      </c>
      <c r="J151" s="6" t="str">
        <f>VLOOKUP(Table1[[#This Row],[ماه توقف]],Table2[],3,0)</f>
        <v>تابستان</v>
      </c>
      <c r="K151" s="3">
        <f>_xlfn.NUMBERVALUE(RIGHT(LEFT(Table1[[#This Row],[تاریخ توقف]],7),2))</f>
        <v>5</v>
      </c>
      <c r="L151" s="3" t="str">
        <f>RIGHT(LEFT(Table1[[#This Row],[تاریخ توقف]],10),2)</f>
        <v>10</v>
      </c>
      <c r="M151" s="3">
        <f>HOUR(Table1[[#This Row],[زمان شروع توقف]])</f>
        <v>12</v>
      </c>
      <c r="N151" s="3">
        <f>MINUTE(Table1[[#This Row],[زمان شروع توقف]])</f>
        <v>47</v>
      </c>
      <c r="O151" s="3">
        <f>((Table1[[#This Row],[سال توقف]]*365+IF(Table1[[#This Row],[ماه توقف]]&lt;7,(Table1[[#This Row],[ماه توقف]]-1)*31,6*31+(Table1[[#This Row],[ماه توقف]]-6-1)*30)+(Table1[[#This Row],[روز توقف]])-1)*24+Table1[[#This Row],[ساعت توقف2]])*60+Table1[[#This Row],[دقیقه توقف]]</f>
        <v>738134687</v>
      </c>
      <c r="P151" s="56" t="s">
        <v>1048</v>
      </c>
      <c r="Q151" s="53">
        <v>0.6875</v>
      </c>
      <c r="R151" s="3" t="str">
        <f>LEFT(Table1[[#This Row],[تاریخ پایان توقف]],4)</f>
        <v>1404</v>
      </c>
      <c r="S151" s="3" t="str">
        <f>_xlfn.IFNA(VLOOKUP(Table1[[#This Row],[ماه رفع توقف]],Table2[],3,0),"در حال تعمیر")</f>
        <v>تابستان</v>
      </c>
      <c r="T151" s="3">
        <f>_xlfn.NUMBERVALUE(RIGHT(LEFT(Table1[[#This Row],[تاریخ پایان توقف]],7),2))</f>
        <v>5</v>
      </c>
      <c r="U151" s="3" t="str">
        <f>RIGHT(LEFT(Table1[[#This Row],[تاریخ پایان توقف]],10),2)</f>
        <v>10</v>
      </c>
      <c r="V151" s="3">
        <f>HOUR(Table1[[#This Row],[زمان پایان توقف]])</f>
        <v>16</v>
      </c>
      <c r="W151" s="3">
        <f>MINUTE(Table1[[#This Row],[زمان پایان توقف]])</f>
        <v>30</v>
      </c>
      <c r="X15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738134910</v>
      </c>
      <c r="Y151" s="42" t="s">
        <v>1049</v>
      </c>
      <c r="Z151" s="83">
        <f>IFERROR((IF(Table1[[#This Row],[تاریخ پایان توقف]]&lt;&gt;"",Table1[[#This Row],[زمان رفع توقف]]-Table1[[#This Row],[زمان توقف]],"")/60),"")</f>
        <v>3.7166666666666668</v>
      </c>
      <c r="AA151" s="3">
        <f>VLOOKUP(E151,Table4[],4,0)</f>
        <v>24</v>
      </c>
      <c r="AB151" s="3">
        <f>VLOOKUP(E151,Table4[],5,0)</f>
        <v>0.2</v>
      </c>
      <c r="AC151" s="3">
        <v>360</v>
      </c>
      <c r="AD151" s="3">
        <f>VLOOKUP(E151,Table4[],7,0)</f>
        <v>720</v>
      </c>
      <c r="AE151" s="83">
        <f>IF(Table1[[#This Row],[زمان آخرین رفع توقف قبل از توقف فعلی]]="","",(Table1[[#This Row],[زمان توقف]]-Table1[[#This Row],[زمان آخرین رفع توقف قبل از توقف فعلی]])/60)</f>
        <v>1588.2833333333333</v>
      </c>
      <c r="AF15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738039390</v>
      </c>
    </row>
    <row r="152" spans="1:32">
      <c r="A152" s="36">
        <v>153</v>
      </c>
      <c r="B152" s="36" t="s">
        <v>98</v>
      </c>
      <c r="C152" s="36" t="s">
        <v>121</v>
      </c>
      <c r="D152" s="36" t="s">
        <v>120</v>
      </c>
      <c r="E152" s="86" t="s">
        <v>122</v>
      </c>
      <c r="F152" s="36" t="s">
        <v>12</v>
      </c>
      <c r="G152" s="56" t="s">
        <v>1051</v>
      </c>
      <c r="H152" s="53">
        <v>0.47222222222222221</v>
      </c>
      <c r="I152" s="6" t="str">
        <f>LEFT(Table1[[#This Row],[تاریخ توقف]],4)</f>
        <v>1404</v>
      </c>
      <c r="J152" s="6" t="str">
        <f>VLOOKUP(Table1[[#This Row],[ماه توقف]],Table2[],3,0)</f>
        <v>تابستان</v>
      </c>
      <c r="K152" s="3">
        <f>_xlfn.NUMBERVALUE(RIGHT(LEFT(Table1[[#This Row],[تاریخ توقف]],7),2))</f>
        <v>5</v>
      </c>
      <c r="L152" s="3" t="str">
        <f>RIGHT(LEFT(Table1[[#This Row],[تاریخ توقف]],10),2)</f>
        <v>11</v>
      </c>
      <c r="M152" s="3">
        <f>HOUR(Table1[[#This Row],[زمان شروع توقف]])</f>
        <v>11</v>
      </c>
      <c r="N152" s="3">
        <f>MINUTE(Table1[[#This Row],[زمان شروع توقف]])</f>
        <v>20</v>
      </c>
      <c r="O152" s="3">
        <f>((Table1[[#This Row],[سال توقف]]*365+IF(Table1[[#This Row],[ماه توقف]]&lt;7,(Table1[[#This Row],[ماه توقف]]-1)*31,6*31+(Table1[[#This Row],[ماه توقف]]-6-1)*30)+(Table1[[#This Row],[روز توقف]])-1)*24+Table1[[#This Row],[ساعت توقف2]])*60+Table1[[#This Row],[دقیقه توقف]]</f>
        <v>738136040</v>
      </c>
      <c r="P152" s="56" t="s">
        <v>1051</v>
      </c>
      <c r="Q152" s="53">
        <v>0.59375</v>
      </c>
      <c r="R152" s="3" t="str">
        <f>LEFT(Table1[[#This Row],[تاریخ پایان توقف]],4)</f>
        <v>1404</v>
      </c>
      <c r="S152" s="3" t="str">
        <f>_xlfn.IFNA(VLOOKUP(Table1[[#This Row],[ماه رفع توقف]],Table2[],3,0),"در حال تعمیر")</f>
        <v>تابستان</v>
      </c>
      <c r="T152" s="3">
        <f>_xlfn.NUMBERVALUE(RIGHT(LEFT(Table1[[#This Row],[تاریخ پایان توقف]],7),2))</f>
        <v>5</v>
      </c>
      <c r="U152" s="3" t="str">
        <f>RIGHT(LEFT(Table1[[#This Row],[تاریخ پایان توقف]],10),2)</f>
        <v>11</v>
      </c>
      <c r="V152" s="3">
        <f>HOUR(Table1[[#This Row],[زمان پایان توقف]])</f>
        <v>14</v>
      </c>
      <c r="W152" s="3">
        <f>MINUTE(Table1[[#This Row],[زمان پایان توقف]])</f>
        <v>15</v>
      </c>
      <c r="X15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738136215</v>
      </c>
      <c r="Y152" s="42"/>
      <c r="Z152" s="83">
        <f>IFERROR((IF(Table1[[#This Row],[تاریخ پایان توقف]]&lt;&gt;"",Table1[[#This Row],[زمان رفع توقف]]-Table1[[#This Row],[زمان توقف]],"")/60),"")</f>
        <v>2.9166666666666665</v>
      </c>
      <c r="AA152" s="3">
        <f>VLOOKUP(E152,Table4[],4,0)</f>
        <v>24</v>
      </c>
      <c r="AB152" s="3">
        <f>VLOOKUP(E152,Table4[],5,0)</f>
        <v>0.2</v>
      </c>
      <c r="AC152" s="3">
        <v>360</v>
      </c>
      <c r="AD152" s="3">
        <f>VLOOKUP(E152,Table4[],7,0)</f>
        <v>720</v>
      </c>
      <c r="AE152" s="83">
        <f>IF(Table1[[#This Row],[زمان آخرین رفع توقف قبل از توقف فعلی]]="","",(Table1[[#This Row],[زمان توقف]]-Table1[[#This Row],[زمان آخرین رفع توقف قبل از توقف فعلی]])/60)</f>
        <v>219</v>
      </c>
      <c r="AF15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738122900</v>
      </c>
    </row>
    <row r="153" spans="1:32">
      <c r="A153" s="36">
        <v>154</v>
      </c>
      <c r="B153" s="36" t="s">
        <v>98</v>
      </c>
      <c r="C153" s="36" t="s">
        <v>185</v>
      </c>
      <c r="D153" s="36" t="s">
        <v>106</v>
      </c>
      <c r="E153" s="86" t="s">
        <v>107</v>
      </c>
      <c r="F153" s="36" t="s">
        <v>12</v>
      </c>
      <c r="G153" s="56" t="s">
        <v>1051</v>
      </c>
      <c r="H153" s="53">
        <v>0.51736111111111116</v>
      </c>
      <c r="I153" s="6" t="str">
        <f>LEFT(Table1[[#This Row],[تاریخ توقف]],4)</f>
        <v>1404</v>
      </c>
      <c r="J153" s="6" t="str">
        <f>VLOOKUP(Table1[[#This Row],[ماه توقف]],Table2[],3,0)</f>
        <v>تابستان</v>
      </c>
      <c r="K153" s="3">
        <f>_xlfn.NUMBERVALUE(RIGHT(LEFT(Table1[[#This Row],[تاریخ توقف]],7),2))</f>
        <v>5</v>
      </c>
      <c r="L153" s="3" t="str">
        <f>RIGHT(LEFT(Table1[[#This Row],[تاریخ توقف]],10),2)</f>
        <v>11</v>
      </c>
      <c r="M153" s="3">
        <f>HOUR(Table1[[#This Row],[زمان شروع توقف]])</f>
        <v>12</v>
      </c>
      <c r="N153" s="3">
        <f>MINUTE(Table1[[#This Row],[زمان شروع توقف]])</f>
        <v>25</v>
      </c>
      <c r="O153" s="3">
        <f>((Table1[[#This Row],[سال توقف]]*365+IF(Table1[[#This Row],[ماه توقف]]&lt;7,(Table1[[#This Row],[ماه توقف]]-1)*31,6*31+(Table1[[#This Row],[ماه توقف]]-6-1)*30)+(Table1[[#This Row],[روز توقف]])-1)*24+Table1[[#This Row],[ساعت توقف2]])*60+Table1[[#This Row],[دقیقه توقف]]</f>
        <v>738136105</v>
      </c>
      <c r="P153" s="56" t="s">
        <v>1051</v>
      </c>
      <c r="Q153" s="53">
        <v>0.66319444444444442</v>
      </c>
      <c r="R153" s="3" t="str">
        <f>LEFT(Table1[[#This Row],[تاریخ پایان توقف]],4)</f>
        <v>1404</v>
      </c>
      <c r="S153" s="3" t="str">
        <f>_xlfn.IFNA(VLOOKUP(Table1[[#This Row],[ماه رفع توقف]],Table2[],3,0),"در حال تعمیر")</f>
        <v>تابستان</v>
      </c>
      <c r="T153" s="3">
        <f>_xlfn.NUMBERVALUE(RIGHT(LEFT(Table1[[#This Row],[تاریخ پایان توقف]],7),2))</f>
        <v>5</v>
      </c>
      <c r="U153" s="3" t="str">
        <f>RIGHT(LEFT(Table1[[#This Row],[تاریخ پایان توقف]],10),2)</f>
        <v>11</v>
      </c>
      <c r="V153" s="3">
        <f>HOUR(Table1[[#This Row],[زمان پایان توقف]])</f>
        <v>15</v>
      </c>
      <c r="W153" s="3">
        <f>MINUTE(Table1[[#This Row],[زمان پایان توقف]])</f>
        <v>55</v>
      </c>
      <c r="X15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738136315</v>
      </c>
      <c r="Y153" s="42"/>
      <c r="Z153" s="83">
        <f>IFERROR((IF(Table1[[#This Row],[تاریخ پایان توقف]]&lt;&gt;"",Table1[[#This Row],[زمان رفع توقف]]-Table1[[#This Row],[زمان توقف]],"")/60),"")</f>
        <v>3.5</v>
      </c>
      <c r="AA153" s="3">
        <f>VLOOKUP(E153,Table4[],4,0)</f>
        <v>24</v>
      </c>
      <c r="AB153" s="3">
        <f>VLOOKUP(E153,Table4[],5,0)</f>
        <v>0.2</v>
      </c>
      <c r="AC153" s="3">
        <v>360</v>
      </c>
      <c r="AD153" s="3">
        <f>VLOOKUP(E153,Table4[],7,0)</f>
        <v>720</v>
      </c>
      <c r="AE153" s="83">
        <f>IF(Table1[[#This Row],[زمان آخرین رفع توقف قبل از توقف فعلی]]="","",(Table1[[#This Row],[زمان توقف]]-Table1[[#This Row],[زمان آخرین رفع توقف قبل از توقف فعلی]])/60)</f>
        <v>1345.9166666666667</v>
      </c>
      <c r="AF15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738055350</v>
      </c>
    </row>
    <row r="154" spans="1:32">
      <c r="A154" s="36">
        <v>155</v>
      </c>
      <c r="B154" s="36" t="s">
        <v>98</v>
      </c>
      <c r="C154" s="36" t="s">
        <v>50</v>
      </c>
      <c r="D154" s="36" t="s">
        <v>45</v>
      </c>
      <c r="E154" s="85" t="s">
        <v>374</v>
      </c>
      <c r="F154" s="36" t="s">
        <v>12</v>
      </c>
      <c r="G154" s="56" t="s">
        <v>1052</v>
      </c>
      <c r="H154" s="53">
        <v>6.9444444444444441E-3</v>
      </c>
      <c r="I154" s="6" t="str">
        <f>LEFT(Table1[[#This Row],[تاریخ توقف]],4)</f>
        <v>1404</v>
      </c>
      <c r="J154" s="6" t="str">
        <f>VLOOKUP(Table1[[#This Row],[ماه توقف]],Table2[],3,0)</f>
        <v>تابستان</v>
      </c>
      <c r="K154" s="3">
        <f>_xlfn.NUMBERVALUE(RIGHT(LEFT(Table1[[#This Row],[تاریخ توقف]],7),2))</f>
        <v>5</v>
      </c>
      <c r="L154" s="3" t="str">
        <f>RIGHT(LEFT(Table1[[#This Row],[تاریخ توقف]],10),2)</f>
        <v>12</v>
      </c>
      <c r="M154" s="3">
        <f>HOUR(Table1[[#This Row],[زمان شروع توقف]])</f>
        <v>0</v>
      </c>
      <c r="N154" s="3">
        <f>MINUTE(Table1[[#This Row],[زمان شروع توقف]])</f>
        <v>10</v>
      </c>
      <c r="O154" s="3">
        <f>((Table1[[#This Row],[سال توقف]]*365+IF(Table1[[#This Row],[ماه توقف]]&lt;7,(Table1[[#This Row],[ماه توقف]]-1)*31,6*31+(Table1[[#This Row],[ماه توقف]]-6-1)*30)+(Table1[[#This Row],[روز توقف]])-1)*24+Table1[[#This Row],[ساعت توقف2]])*60+Table1[[#This Row],[دقیقه توقف]]</f>
        <v>738136810</v>
      </c>
      <c r="P154" s="56" t="s">
        <v>1052</v>
      </c>
      <c r="Q154" s="53">
        <v>2.7777777777777776E-2</v>
      </c>
      <c r="R154" s="3" t="str">
        <f>LEFT(Table1[[#This Row],[تاریخ پایان توقف]],4)</f>
        <v>1404</v>
      </c>
      <c r="S154" s="3" t="str">
        <f>_xlfn.IFNA(VLOOKUP(Table1[[#This Row],[ماه رفع توقف]],Table2[],3,0),"در حال تعمیر")</f>
        <v>تابستان</v>
      </c>
      <c r="T154" s="3">
        <f>_xlfn.NUMBERVALUE(RIGHT(LEFT(Table1[[#This Row],[تاریخ پایان توقف]],7),2))</f>
        <v>5</v>
      </c>
      <c r="U154" s="3" t="str">
        <f>RIGHT(LEFT(Table1[[#This Row],[تاریخ پایان توقف]],10),2)</f>
        <v>12</v>
      </c>
      <c r="V154" s="3">
        <f>HOUR(Table1[[#This Row],[زمان پایان توقف]])</f>
        <v>0</v>
      </c>
      <c r="W154" s="3">
        <f>MINUTE(Table1[[#This Row],[زمان پایان توقف]])</f>
        <v>40</v>
      </c>
      <c r="X15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738136840</v>
      </c>
      <c r="Y154" s="42" t="s">
        <v>1055</v>
      </c>
      <c r="Z154" s="83">
        <f>IFERROR((IF(Table1[[#This Row],[تاریخ پایان توقف]]&lt;&gt;"",Table1[[#This Row],[زمان رفع توقف]]-Table1[[#This Row],[زمان توقف]],"")/60),"")</f>
        <v>0.5</v>
      </c>
      <c r="AA154" s="3">
        <f>VLOOKUP(E154,Table4[],4,0)</f>
        <v>24</v>
      </c>
      <c r="AB154" s="3">
        <f>VLOOKUP(E154,Table4[],5,0)</f>
        <v>0.2</v>
      </c>
      <c r="AC154" s="3">
        <v>360</v>
      </c>
      <c r="AD154" s="3">
        <f>VLOOKUP(E154,Table4[],7,0)</f>
        <v>720</v>
      </c>
      <c r="AE154" s="83">
        <f>IF(Table1[[#This Row],[زمان آخرین رفع توقف قبل از توقف فعلی]]="","",(Table1[[#This Row],[زمان توقف]]-Table1[[#This Row],[زمان آخرین رفع توقف قبل از توقف فعلی]])/60)</f>
        <v>1137.3166666666666</v>
      </c>
      <c r="AF15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738068571</v>
      </c>
    </row>
    <row r="155" spans="1:32">
      <c r="A155" s="36">
        <v>156</v>
      </c>
      <c r="B155" s="36" t="s">
        <v>98</v>
      </c>
      <c r="C155" s="36" t="s">
        <v>1050</v>
      </c>
      <c r="D155" s="36" t="s">
        <v>584</v>
      </c>
      <c r="E155" s="85" t="s">
        <v>224</v>
      </c>
      <c r="F155" s="36" t="s">
        <v>12</v>
      </c>
      <c r="G155" s="56" t="s">
        <v>1052</v>
      </c>
      <c r="H155" s="53">
        <v>0.67361111111111116</v>
      </c>
      <c r="I155" s="6" t="str">
        <f>LEFT(Table1[[#This Row],[تاریخ توقف]],4)</f>
        <v>1404</v>
      </c>
      <c r="J155" s="6" t="str">
        <f>VLOOKUP(Table1[[#This Row],[ماه توقف]],Table2[],3,0)</f>
        <v>تابستان</v>
      </c>
      <c r="K155" s="3">
        <f>_xlfn.NUMBERVALUE(RIGHT(LEFT(Table1[[#This Row],[تاریخ توقف]],7),2))</f>
        <v>5</v>
      </c>
      <c r="L155" s="3" t="str">
        <f>RIGHT(LEFT(Table1[[#This Row],[تاریخ توقف]],10),2)</f>
        <v>12</v>
      </c>
      <c r="M155" s="3">
        <f>HOUR(Table1[[#This Row],[زمان شروع توقف]])</f>
        <v>16</v>
      </c>
      <c r="N155" s="3">
        <f>MINUTE(Table1[[#This Row],[زمان شروع توقف]])</f>
        <v>10</v>
      </c>
      <c r="O155" s="3">
        <f>((Table1[[#This Row],[سال توقف]]*365+IF(Table1[[#This Row],[ماه توقف]]&lt;7,(Table1[[#This Row],[ماه توقف]]-1)*31,6*31+(Table1[[#This Row],[ماه توقف]]-6-1)*30)+(Table1[[#This Row],[روز توقف]])-1)*24+Table1[[#This Row],[ساعت توقف2]])*60+Table1[[#This Row],[دقیقه توقف]]</f>
        <v>738137770</v>
      </c>
      <c r="P155" s="56" t="s">
        <v>1053</v>
      </c>
      <c r="Q155" s="53">
        <v>0.38541666666666669</v>
      </c>
      <c r="R155" s="3" t="str">
        <f>LEFT(Table1[[#This Row],[تاریخ پایان توقف]],4)</f>
        <v>1404</v>
      </c>
      <c r="S155" s="3" t="str">
        <f>_xlfn.IFNA(VLOOKUP(Table1[[#This Row],[ماه رفع توقف]],Table2[],3,0),"در حال تعمیر")</f>
        <v>تابستان</v>
      </c>
      <c r="T155" s="3">
        <f>_xlfn.NUMBERVALUE(RIGHT(LEFT(Table1[[#This Row],[تاریخ پایان توقف]],7),2))</f>
        <v>5</v>
      </c>
      <c r="U155" s="3" t="str">
        <f>RIGHT(LEFT(Table1[[#This Row],[تاریخ پایان توقف]],10),2)</f>
        <v>13</v>
      </c>
      <c r="V155" s="3">
        <f>HOUR(Table1[[#This Row],[زمان پایان توقف]])</f>
        <v>9</v>
      </c>
      <c r="W155" s="3">
        <f>MINUTE(Table1[[#This Row],[زمان پایان توقف]])</f>
        <v>15</v>
      </c>
      <c r="X15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738138795</v>
      </c>
      <c r="Y155" s="42"/>
      <c r="Z155" s="83">
        <f>IFERROR((IF(Table1[[#This Row],[تاریخ پایان توقف]]&lt;&gt;"",Table1[[#This Row],[زمان رفع توقف]]-Table1[[#This Row],[زمان توقف]],"")/60),"")</f>
        <v>17.083333333333332</v>
      </c>
      <c r="AA155" s="3">
        <f>VLOOKUP(E155,Table4[],4,0)</f>
        <v>24</v>
      </c>
      <c r="AB155" s="3">
        <f>VLOOKUP(E155,Table4[],5,0)</f>
        <v>0.2</v>
      </c>
      <c r="AC155" s="3">
        <v>360</v>
      </c>
      <c r="AD155" s="3">
        <f>VLOOKUP(E155,Table4[],7,0)</f>
        <v>720</v>
      </c>
      <c r="AE155" s="83" t="str">
        <f>IF(Table1[[#This Row],[زمان آخرین رفع توقف قبل از توقف فعلی]]="","",(Table1[[#This Row],[زمان توقف]]-Table1[[#This Row],[زمان آخرین رفع توقف قبل از توقف فعلی]])/60)</f>
        <v/>
      </c>
      <c r="AF15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56" spans="1:32">
      <c r="A156" s="36">
        <v>157</v>
      </c>
      <c r="B156" s="36" t="s">
        <v>98</v>
      </c>
      <c r="C156" s="36" t="s">
        <v>116</v>
      </c>
      <c r="D156" s="36" t="s">
        <v>115</v>
      </c>
      <c r="E156" s="86" t="s">
        <v>117</v>
      </c>
      <c r="F156" s="36" t="s">
        <v>12</v>
      </c>
      <c r="G156" s="56" t="s">
        <v>1054</v>
      </c>
      <c r="H156" s="53">
        <v>0.78541666666666665</v>
      </c>
      <c r="I156" s="6" t="str">
        <f>LEFT(Table1[[#This Row],[تاریخ توقف]],4)</f>
        <v>1404</v>
      </c>
      <c r="J156" s="6" t="str">
        <f>VLOOKUP(Table1[[#This Row],[ماه توقف]],Table2[],3,0)</f>
        <v>تابستان</v>
      </c>
      <c r="K156" s="3">
        <f>_xlfn.NUMBERVALUE(RIGHT(LEFT(Table1[[#This Row],[تاریخ توقف]],7),2))</f>
        <v>5</v>
      </c>
      <c r="L156" s="3" t="str">
        <f>RIGHT(LEFT(Table1[[#This Row],[تاریخ توقف]],10),2)</f>
        <v>15</v>
      </c>
      <c r="M156" s="3">
        <f>HOUR(Table1[[#This Row],[زمان شروع توقف]])</f>
        <v>18</v>
      </c>
      <c r="N156" s="3">
        <f>MINUTE(Table1[[#This Row],[زمان شروع توقف]])</f>
        <v>51</v>
      </c>
      <c r="O156" s="3">
        <f>((Table1[[#This Row],[سال توقف]]*365+IF(Table1[[#This Row],[ماه توقف]]&lt;7,(Table1[[#This Row],[ماه توقف]]-1)*31,6*31+(Table1[[#This Row],[ماه توقف]]-6-1)*30)+(Table1[[#This Row],[روز توقف]])-1)*24+Table1[[#This Row],[ساعت توقف2]])*60+Table1[[#This Row],[دقیقه توقف]]</f>
        <v>738142251</v>
      </c>
      <c r="P156" s="56" t="s">
        <v>1057</v>
      </c>
      <c r="Q156" s="53">
        <v>0.54374999999999996</v>
      </c>
      <c r="R156" s="3" t="str">
        <f>LEFT(Table1[[#This Row],[تاریخ پایان توقف]],4)</f>
        <v>1404</v>
      </c>
      <c r="S156" s="3" t="str">
        <f>_xlfn.IFNA(VLOOKUP(Table1[[#This Row],[ماه رفع توقف]],Table2[],3,0),"در حال تعمیر")</f>
        <v>تابستان</v>
      </c>
      <c r="T156" s="3">
        <f>_xlfn.NUMBERVALUE(RIGHT(LEFT(Table1[[#This Row],[تاریخ پایان توقف]],7),2))</f>
        <v>5</v>
      </c>
      <c r="U156" s="3" t="str">
        <f>RIGHT(LEFT(Table1[[#This Row],[تاریخ پایان توقف]],10),2)</f>
        <v>19</v>
      </c>
      <c r="V156" s="3">
        <f>HOUR(Table1[[#This Row],[زمان پایان توقف]])</f>
        <v>13</v>
      </c>
      <c r="W156" s="3">
        <f>MINUTE(Table1[[#This Row],[زمان پایان توقف]])</f>
        <v>3</v>
      </c>
      <c r="X15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738147663</v>
      </c>
      <c r="Y156" s="42" t="s">
        <v>1056</v>
      </c>
      <c r="Z156" s="83">
        <f>IFERROR((IF(Table1[[#This Row],[تاریخ پایان توقف]]&lt;&gt;"",Table1[[#This Row],[زمان رفع توقف]]-Table1[[#This Row],[زمان توقف]],"")/60),"")</f>
        <v>90.2</v>
      </c>
      <c r="AA156" s="3">
        <f>VLOOKUP(E156,Table4[],4,0)</f>
        <v>24</v>
      </c>
      <c r="AB156" s="3">
        <f>VLOOKUP(E156,Table4[],5,0)</f>
        <v>0.2</v>
      </c>
      <c r="AC156" s="3">
        <v>360</v>
      </c>
      <c r="AD156" s="3">
        <f>VLOOKUP(E156,Table4[],7,0)</f>
        <v>720</v>
      </c>
      <c r="AE156" s="83">
        <f>IF(Table1[[#This Row],[زمان آخرین رفع توقف قبل از توقف فعلی]]="","",(Table1[[#This Row],[زمان توقف]]-Table1[[#This Row],[زمان آخرین رفع توقف قبل از توقف فعلی]])/60)</f>
        <v>340.6</v>
      </c>
      <c r="AF15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738121815</v>
      </c>
    </row>
    <row r="157" spans="1:32">
      <c r="A157" s="36">
        <v>158</v>
      </c>
      <c r="B157" s="36" t="s">
        <v>98</v>
      </c>
      <c r="C157" s="36" t="s">
        <v>185</v>
      </c>
      <c r="D157" s="36" t="s">
        <v>106</v>
      </c>
      <c r="E157" s="86" t="s">
        <v>107</v>
      </c>
      <c r="F157" s="36" t="s">
        <v>12</v>
      </c>
      <c r="G157" s="56" t="s">
        <v>1058</v>
      </c>
      <c r="H157" s="53">
        <v>0.38541666666666669</v>
      </c>
      <c r="I157" s="6" t="str">
        <f>LEFT(Table1[[#This Row],[تاریخ توقف]],4)</f>
        <v>1404</v>
      </c>
      <c r="J157" s="6" t="str">
        <f>VLOOKUP(Table1[[#This Row],[ماه توقف]],Table2[],3,0)</f>
        <v>تابستان</v>
      </c>
      <c r="K157" s="3">
        <f>_xlfn.NUMBERVALUE(RIGHT(LEFT(Table1[[#This Row],[تاریخ توقف]],7),2))</f>
        <v>5</v>
      </c>
      <c r="L157" s="3" t="str">
        <f>RIGHT(LEFT(Table1[[#This Row],[تاریخ توقف]],10),2)</f>
        <v>18</v>
      </c>
      <c r="M157" s="3">
        <f>HOUR(Table1[[#This Row],[زمان شروع توقف]])</f>
        <v>9</v>
      </c>
      <c r="N157" s="3">
        <f>MINUTE(Table1[[#This Row],[زمان شروع توقف]])</f>
        <v>15</v>
      </c>
      <c r="O157" s="3">
        <f>((Table1[[#This Row],[سال توقف]]*365+IF(Table1[[#This Row],[ماه توقف]]&lt;7,(Table1[[#This Row],[ماه توقف]]-1)*31,6*31+(Table1[[#This Row],[ماه توقف]]-6-1)*30)+(Table1[[#This Row],[روز توقف]])-1)*24+Table1[[#This Row],[ساعت توقف2]])*60+Table1[[#This Row],[دقیقه توقف]]</f>
        <v>738145995</v>
      </c>
      <c r="P157" s="56" t="s">
        <v>1058</v>
      </c>
      <c r="Q157" s="53">
        <v>0.41041666666666665</v>
      </c>
      <c r="R157" s="3" t="str">
        <f>LEFT(Table1[[#This Row],[تاریخ پایان توقف]],4)</f>
        <v>1404</v>
      </c>
      <c r="S157" s="3" t="str">
        <f>_xlfn.IFNA(VLOOKUP(Table1[[#This Row],[ماه رفع توقف]],Table2[],3,0),"در حال تعمیر")</f>
        <v>تابستان</v>
      </c>
      <c r="T157" s="3">
        <f>_xlfn.NUMBERVALUE(RIGHT(LEFT(Table1[[#This Row],[تاریخ پایان توقف]],7),2))</f>
        <v>5</v>
      </c>
      <c r="U157" s="3" t="str">
        <f>RIGHT(LEFT(Table1[[#This Row],[تاریخ پایان توقف]],10),2)</f>
        <v>18</v>
      </c>
      <c r="V157" s="3">
        <f>HOUR(Table1[[#This Row],[زمان پایان توقف]])</f>
        <v>9</v>
      </c>
      <c r="W157" s="3">
        <f>MINUTE(Table1[[#This Row],[زمان پایان توقف]])</f>
        <v>51</v>
      </c>
      <c r="X15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738146031</v>
      </c>
      <c r="Y157" s="42" t="s">
        <v>1059</v>
      </c>
      <c r="Z157" s="83">
        <f>IFERROR((IF(Table1[[#This Row],[تاریخ پایان توقف]]&lt;&gt;"",Table1[[#This Row],[زمان رفع توقف]]-Table1[[#This Row],[زمان توقف]],"")/60),"")</f>
        <v>0.6</v>
      </c>
      <c r="AA157" s="3">
        <f>VLOOKUP(E157,Table4[],4,0)</f>
        <v>24</v>
      </c>
      <c r="AB157" s="3">
        <f>VLOOKUP(E157,Table4[],5,0)</f>
        <v>0.2</v>
      </c>
      <c r="AC157" s="3">
        <v>360</v>
      </c>
      <c r="AD157" s="3">
        <f>VLOOKUP(E157,Table4[],7,0)</f>
        <v>720</v>
      </c>
      <c r="AE157" s="83">
        <f>IF(Table1[[#This Row],[زمان آخرین رفع توقف قبل از توقف فعلی]]="","",(Table1[[#This Row],[زمان توقف]]-Table1[[#This Row],[زمان آخرین رفع توقف قبل از توقف فعلی]])/60)</f>
        <v>161.33333333333334</v>
      </c>
      <c r="AF15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738136315</v>
      </c>
    </row>
    <row r="158" spans="1:32">
      <c r="A158" s="36">
        <v>159</v>
      </c>
      <c r="B158" s="36" t="s">
        <v>98</v>
      </c>
      <c r="C158" s="36" t="s">
        <v>881</v>
      </c>
      <c r="D158" s="36" t="s">
        <v>905</v>
      </c>
      <c r="E158" s="85" t="s">
        <v>91</v>
      </c>
      <c r="F158" s="36" t="s">
        <v>12</v>
      </c>
      <c r="G158" s="56" t="s">
        <v>1058</v>
      </c>
      <c r="H158" s="53">
        <v>0.39583333333333331</v>
      </c>
      <c r="I158" s="6" t="str">
        <f>LEFT(Table1[[#This Row],[تاریخ توقف]],4)</f>
        <v>1404</v>
      </c>
      <c r="J158" s="6" t="str">
        <f>VLOOKUP(Table1[[#This Row],[ماه توقف]],Table2[],3,0)</f>
        <v>تابستان</v>
      </c>
      <c r="K158" s="3">
        <f>_xlfn.NUMBERVALUE(RIGHT(LEFT(Table1[[#This Row],[تاریخ توقف]],7),2))</f>
        <v>5</v>
      </c>
      <c r="L158" s="3" t="str">
        <f>RIGHT(LEFT(Table1[[#This Row],[تاریخ توقف]],10),2)</f>
        <v>18</v>
      </c>
      <c r="M158" s="3">
        <f>HOUR(Table1[[#This Row],[زمان شروع توقف]])</f>
        <v>9</v>
      </c>
      <c r="N158" s="3">
        <f>MINUTE(Table1[[#This Row],[زمان شروع توقف]])</f>
        <v>30</v>
      </c>
      <c r="O158" s="3">
        <f>((Table1[[#This Row],[سال توقف]]*365+IF(Table1[[#This Row],[ماه توقف]]&lt;7,(Table1[[#This Row],[ماه توقف]]-1)*31,6*31+(Table1[[#This Row],[ماه توقف]]-6-1)*30)+(Table1[[#This Row],[روز توقف]])-1)*24+Table1[[#This Row],[ساعت توقف2]])*60+Table1[[#This Row],[دقیقه توقف]]</f>
        <v>738146010</v>
      </c>
      <c r="P158" s="56" t="s">
        <v>1058</v>
      </c>
      <c r="Q158" s="53">
        <v>0.65416666666666667</v>
      </c>
      <c r="R158" s="3" t="str">
        <f>LEFT(Table1[[#This Row],[تاریخ پایان توقف]],4)</f>
        <v>1404</v>
      </c>
      <c r="S158" s="3" t="str">
        <f>_xlfn.IFNA(VLOOKUP(Table1[[#This Row],[ماه رفع توقف]],Table2[],3,0),"در حال تعمیر")</f>
        <v>تابستان</v>
      </c>
      <c r="T158" s="3">
        <f>_xlfn.NUMBERVALUE(RIGHT(LEFT(Table1[[#This Row],[تاریخ پایان توقف]],7),2))</f>
        <v>5</v>
      </c>
      <c r="U158" s="3" t="str">
        <f>RIGHT(LEFT(Table1[[#This Row],[تاریخ پایان توقف]],10),2)</f>
        <v>18</v>
      </c>
      <c r="V158" s="3">
        <f>HOUR(Table1[[#This Row],[زمان پایان توقف]])</f>
        <v>15</v>
      </c>
      <c r="W158" s="3">
        <f>MINUTE(Table1[[#This Row],[زمان پایان توقف]])</f>
        <v>42</v>
      </c>
      <c r="X15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738146382</v>
      </c>
      <c r="Y158" s="42" t="s">
        <v>1060</v>
      </c>
      <c r="Z158" s="83">
        <f>IFERROR((IF(Table1[[#This Row],[تاریخ پایان توقف]]&lt;&gt;"",Table1[[#This Row],[زمان رفع توقف]]-Table1[[#This Row],[زمان توقف]],"")/60),"")</f>
        <v>6.2</v>
      </c>
      <c r="AA158" s="3">
        <f>VLOOKUP(E158,Table4[],4,0)</f>
        <v>24</v>
      </c>
      <c r="AB158" s="3">
        <f>VLOOKUP(E158,Table4[],5,0)</f>
        <v>0.2</v>
      </c>
      <c r="AC158" s="3">
        <v>360</v>
      </c>
      <c r="AD158" s="3">
        <f>VLOOKUP(E158,Table4[],7,0)</f>
        <v>720</v>
      </c>
      <c r="AE158" s="83">
        <f>IF(Table1[[#This Row],[زمان آخرین رفع توقف قبل از توقف فعلی]]="","",(Table1[[#This Row],[زمان توقف]]-Table1[[#This Row],[زمان آخرین رفع توقف قبل از توقف فعلی]])/60)</f>
        <v>1008.7333333333333</v>
      </c>
      <c r="AF15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738085486</v>
      </c>
    </row>
    <row r="159" spans="1:32">
      <c r="A159" s="36">
        <v>160</v>
      </c>
      <c r="B159" s="36" t="s">
        <v>98</v>
      </c>
      <c r="C159" s="36" t="s">
        <v>116</v>
      </c>
      <c r="D159" s="36" t="s">
        <v>115</v>
      </c>
      <c r="E159" s="86" t="s">
        <v>117</v>
      </c>
      <c r="F159" s="36" t="s">
        <v>12</v>
      </c>
      <c r="G159" s="56" t="s">
        <v>1057</v>
      </c>
      <c r="H159" s="53">
        <v>0.29166666666666669</v>
      </c>
      <c r="I159" s="6" t="str">
        <f>LEFT(Table1[[#This Row],[تاریخ توقف]],4)</f>
        <v>1404</v>
      </c>
      <c r="J159" s="6" t="str">
        <f>VLOOKUP(Table1[[#This Row],[ماه توقف]],Table2[],3,0)</f>
        <v>تابستان</v>
      </c>
      <c r="K159" s="3">
        <f>_xlfn.NUMBERVALUE(RIGHT(LEFT(Table1[[#This Row],[تاریخ توقف]],7),2))</f>
        <v>5</v>
      </c>
      <c r="L159" s="3" t="str">
        <f>RIGHT(LEFT(Table1[[#This Row],[تاریخ توقف]],10),2)</f>
        <v>19</v>
      </c>
      <c r="M159" s="3">
        <f>HOUR(Table1[[#This Row],[زمان شروع توقف]])</f>
        <v>7</v>
      </c>
      <c r="N159" s="3">
        <f>MINUTE(Table1[[#This Row],[زمان شروع توقف]])</f>
        <v>0</v>
      </c>
      <c r="O159" s="3">
        <f>((Table1[[#This Row],[سال توقف]]*365+IF(Table1[[#This Row],[ماه توقف]]&lt;7,(Table1[[#This Row],[ماه توقف]]-1)*31,6*31+(Table1[[#This Row],[ماه توقف]]-6-1)*30)+(Table1[[#This Row],[روز توقف]])-1)*24+Table1[[#This Row],[ساعت توقف2]])*60+Table1[[#This Row],[دقیقه توقف]]</f>
        <v>738147300</v>
      </c>
      <c r="P159" s="56" t="s">
        <v>1057</v>
      </c>
      <c r="Q159" s="53">
        <v>0.85416666666666663</v>
      </c>
      <c r="R159" s="3" t="str">
        <f>LEFT(Table1[[#This Row],[تاریخ پایان توقف]],4)</f>
        <v>1404</v>
      </c>
      <c r="S159" s="3" t="str">
        <f>_xlfn.IFNA(VLOOKUP(Table1[[#This Row],[ماه رفع توقف]],Table2[],3,0),"در حال تعمیر")</f>
        <v>تابستان</v>
      </c>
      <c r="T159" s="3">
        <f>_xlfn.NUMBERVALUE(RIGHT(LEFT(Table1[[#This Row],[تاریخ پایان توقف]],7),2))</f>
        <v>5</v>
      </c>
      <c r="U159" s="3" t="str">
        <f>RIGHT(LEFT(Table1[[#This Row],[تاریخ پایان توقف]],10),2)</f>
        <v>19</v>
      </c>
      <c r="V159" s="3">
        <f>HOUR(Table1[[#This Row],[زمان پایان توقف]])</f>
        <v>20</v>
      </c>
      <c r="W159" s="3">
        <f>MINUTE(Table1[[#This Row],[زمان پایان توقف]])</f>
        <v>30</v>
      </c>
      <c r="X15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738148110</v>
      </c>
      <c r="Y159" s="42" t="s">
        <v>1061</v>
      </c>
      <c r="Z159" s="83">
        <f>IFERROR((IF(Table1[[#This Row],[تاریخ پایان توقف]]&lt;&gt;"",Table1[[#This Row],[زمان رفع توقف]]-Table1[[#This Row],[زمان توقف]],"")/60),"")</f>
        <v>13.5</v>
      </c>
      <c r="AA159" s="3">
        <f>VLOOKUP(E159,Table4[],4,0)</f>
        <v>24</v>
      </c>
      <c r="AB159" s="3">
        <f>VLOOKUP(E159,Table4[],5,0)</f>
        <v>0.2</v>
      </c>
      <c r="AC159" s="3">
        <v>360</v>
      </c>
      <c r="AD159" s="3">
        <f>VLOOKUP(E159,Table4[],7,0)</f>
        <v>720</v>
      </c>
      <c r="AE159" s="83">
        <f>IF(Table1[[#This Row],[زمان آخرین رفع توقف قبل از توقف فعلی]]="","",(Table1[[#This Row],[زمان توقف]]-Table1[[#This Row],[زمان آخرین رفع توقف قبل از توقف فعلی]])/60)</f>
        <v>424.75</v>
      </c>
      <c r="AF15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738121815</v>
      </c>
    </row>
    <row r="160" spans="1:32">
      <c r="A160" s="36">
        <v>161</v>
      </c>
      <c r="B160" s="36" t="s">
        <v>98</v>
      </c>
      <c r="C160" s="36" t="s">
        <v>116</v>
      </c>
      <c r="D160" s="36" t="s">
        <v>115</v>
      </c>
      <c r="E160" s="86" t="s">
        <v>117</v>
      </c>
      <c r="F160" s="36" t="s">
        <v>12</v>
      </c>
      <c r="G160" s="56" t="s">
        <v>1057</v>
      </c>
      <c r="H160" s="53">
        <v>0.44583333333333336</v>
      </c>
      <c r="I160" s="6" t="str">
        <f>LEFT(Table1[[#This Row],[تاریخ توقف]],4)</f>
        <v>1404</v>
      </c>
      <c r="J160" s="6" t="str">
        <f>VLOOKUP(Table1[[#This Row],[ماه توقف]],Table2[],3,0)</f>
        <v>تابستان</v>
      </c>
      <c r="K160" s="3">
        <f>_xlfn.NUMBERVALUE(RIGHT(LEFT(Table1[[#This Row],[تاریخ توقف]],7),2))</f>
        <v>5</v>
      </c>
      <c r="L160" s="3" t="str">
        <f>RIGHT(LEFT(Table1[[#This Row],[تاریخ توقف]],10),2)</f>
        <v>19</v>
      </c>
      <c r="M160" s="3">
        <f>HOUR(Table1[[#This Row],[زمان شروع توقف]])</f>
        <v>10</v>
      </c>
      <c r="N160" s="3">
        <f>MINUTE(Table1[[#This Row],[زمان شروع توقف]])</f>
        <v>42</v>
      </c>
      <c r="O160" s="3">
        <f>((Table1[[#This Row],[سال توقف]]*365+IF(Table1[[#This Row],[ماه توقف]]&lt;7,(Table1[[#This Row],[ماه توقف]]-1)*31,6*31+(Table1[[#This Row],[ماه توقف]]-6-1)*30)+(Table1[[#This Row],[روز توقف]])-1)*24+Table1[[#This Row],[ساعت توقف2]])*60+Table1[[#This Row],[دقیقه توقف]]</f>
        <v>738147522</v>
      </c>
      <c r="P160" s="56" t="s">
        <v>1057</v>
      </c>
      <c r="Q160" s="53">
        <v>0.54374999999999996</v>
      </c>
      <c r="R160" s="3" t="str">
        <f>LEFT(Table1[[#This Row],[تاریخ پایان توقف]],4)</f>
        <v>1404</v>
      </c>
      <c r="S160" s="3" t="str">
        <f>_xlfn.IFNA(VLOOKUP(Table1[[#This Row],[ماه رفع توقف]],Table2[],3,0),"در حال تعمیر")</f>
        <v>تابستان</v>
      </c>
      <c r="T160" s="3">
        <f>_xlfn.NUMBERVALUE(RIGHT(LEFT(Table1[[#This Row],[تاریخ پایان توقف]],7),2))</f>
        <v>5</v>
      </c>
      <c r="U160" s="3" t="str">
        <f>RIGHT(LEFT(Table1[[#This Row],[تاریخ پایان توقف]],10),2)</f>
        <v>19</v>
      </c>
      <c r="V160" s="3">
        <f>HOUR(Table1[[#This Row],[زمان پایان توقف]])</f>
        <v>13</v>
      </c>
      <c r="W160" s="3">
        <f>MINUTE(Table1[[#This Row],[زمان پایان توقف]])</f>
        <v>3</v>
      </c>
      <c r="X16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738147663</v>
      </c>
      <c r="Y160" s="42" t="s">
        <v>1062</v>
      </c>
      <c r="Z160" s="83">
        <f>IFERROR((IF(Table1[[#This Row],[تاریخ پایان توقف]]&lt;&gt;"",Table1[[#This Row],[زمان رفع توقف]]-Table1[[#This Row],[زمان توقف]],"")/60),"")</f>
        <v>2.35</v>
      </c>
      <c r="AA160" s="3">
        <f>VLOOKUP(E160,Table4[],4,0)</f>
        <v>24</v>
      </c>
      <c r="AB160" s="3">
        <f>VLOOKUP(E160,Table4[],5,0)</f>
        <v>0.2</v>
      </c>
      <c r="AC160" s="3">
        <v>360</v>
      </c>
      <c r="AD160" s="3">
        <f>VLOOKUP(E160,Table4[],7,0)</f>
        <v>720</v>
      </c>
      <c r="AE160" s="83">
        <f>IF(Table1[[#This Row],[زمان آخرین رفع توقف قبل از توقف فعلی]]="","",(Table1[[#This Row],[زمان توقف]]-Table1[[#This Row],[زمان آخرین رفع توقف قبل از توقف فعلی]])/60)</f>
        <v>428.45</v>
      </c>
      <c r="AF16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738121815</v>
      </c>
    </row>
    <row r="161" spans="1:32">
      <c r="A161" s="36">
        <v>162</v>
      </c>
      <c r="B161" s="36" t="s">
        <v>98</v>
      </c>
      <c r="C161" s="36" t="s">
        <v>116</v>
      </c>
      <c r="D161" s="36" t="s">
        <v>115</v>
      </c>
      <c r="E161" s="86" t="s">
        <v>117</v>
      </c>
      <c r="F161" s="36" t="s">
        <v>12</v>
      </c>
      <c r="G161" s="56" t="s">
        <v>1057</v>
      </c>
      <c r="H161" s="53">
        <v>0.65277777777777779</v>
      </c>
      <c r="I161" s="6" t="str">
        <f>LEFT(Table1[[#This Row],[تاریخ توقف]],4)</f>
        <v>1404</v>
      </c>
      <c r="J161" s="6" t="str">
        <f>VLOOKUP(Table1[[#This Row],[ماه توقف]],Table2[],3,0)</f>
        <v>تابستان</v>
      </c>
      <c r="K161" s="3">
        <f>_xlfn.NUMBERVALUE(RIGHT(LEFT(Table1[[#This Row],[تاریخ توقف]],7),2))</f>
        <v>5</v>
      </c>
      <c r="L161" s="3" t="str">
        <f>RIGHT(LEFT(Table1[[#This Row],[تاریخ توقف]],10),2)</f>
        <v>19</v>
      </c>
      <c r="M161" s="3">
        <f>HOUR(Table1[[#This Row],[زمان شروع توقف]])</f>
        <v>15</v>
      </c>
      <c r="N161" s="3">
        <f>MINUTE(Table1[[#This Row],[زمان شروع توقف]])</f>
        <v>40</v>
      </c>
      <c r="O161" s="3">
        <f>((Table1[[#This Row],[سال توقف]]*365+IF(Table1[[#This Row],[ماه توقف]]&lt;7,(Table1[[#This Row],[ماه توقف]]-1)*31,6*31+(Table1[[#This Row],[ماه توقف]]-6-1)*30)+(Table1[[#This Row],[روز توقف]])-1)*24+Table1[[#This Row],[ساعت توقف2]])*60+Table1[[#This Row],[دقیقه توقف]]</f>
        <v>738147820</v>
      </c>
      <c r="P161" s="56" t="s">
        <v>1057</v>
      </c>
      <c r="Q161" s="53">
        <v>0.67708333333333337</v>
      </c>
      <c r="R161" s="3" t="str">
        <f>LEFT(Table1[[#This Row],[تاریخ پایان توقف]],4)</f>
        <v>1404</v>
      </c>
      <c r="S161" s="3" t="str">
        <f>_xlfn.IFNA(VLOOKUP(Table1[[#This Row],[ماه رفع توقف]],Table2[],3,0),"در حال تعمیر")</f>
        <v>تابستان</v>
      </c>
      <c r="T161" s="3">
        <f>_xlfn.NUMBERVALUE(RIGHT(LEFT(Table1[[#This Row],[تاریخ پایان توقف]],7),2))</f>
        <v>5</v>
      </c>
      <c r="U161" s="3" t="str">
        <f>RIGHT(LEFT(Table1[[#This Row],[تاریخ پایان توقف]],10),2)</f>
        <v>19</v>
      </c>
      <c r="V161" s="3">
        <f>HOUR(Table1[[#This Row],[زمان پایان توقف]])</f>
        <v>16</v>
      </c>
      <c r="W161" s="3">
        <f>MINUTE(Table1[[#This Row],[زمان پایان توقف]])</f>
        <v>15</v>
      </c>
      <c r="X16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738147855</v>
      </c>
      <c r="Y161" s="42" t="s">
        <v>1063</v>
      </c>
      <c r="Z161" s="83">
        <f>IFERROR((IF(Table1[[#This Row],[تاریخ پایان توقف]]&lt;&gt;"",Table1[[#This Row],[زمان رفع توقف]]-Table1[[#This Row],[زمان توقف]],"")/60),"")</f>
        <v>0.58333333333333337</v>
      </c>
      <c r="AA161" s="3">
        <f>VLOOKUP(E161,Table4[],4,0)</f>
        <v>24</v>
      </c>
      <c r="AB161" s="3">
        <f>VLOOKUP(E161,Table4[],5,0)</f>
        <v>0.2</v>
      </c>
      <c r="AC161" s="3">
        <v>360</v>
      </c>
      <c r="AD161" s="3">
        <f>VLOOKUP(E161,Table4[],7,0)</f>
        <v>720</v>
      </c>
      <c r="AE161" s="83">
        <f>IF(Table1[[#This Row],[زمان آخرین رفع توقف قبل از توقف فعلی]]="","",(Table1[[#This Row],[زمان توقف]]-Table1[[#This Row],[زمان آخرین رفع توقف قبل از توقف فعلی]])/60)</f>
        <v>2.6166666666666667</v>
      </c>
      <c r="AF16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738147663</v>
      </c>
    </row>
    <row r="162" spans="1:32">
      <c r="A162" s="36">
        <v>163</v>
      </c>
      <c r="B162" s="36" t="s">
        <v>99</v>
      </c>
      <c r="C162" s="36" t="s">
        <v>1070</v>
      </c>
      <c r="D162" s="36" t="s">
        <v>1071</v>
      </c>
      <c r="E162" s="85" t="s">
        <v>484</v>
      </c>
      <c r="F162" s="36" t="s">
        <v>11</v>
      </c>
      <c r="G162" s="56" t="s">
        <v>1072</v>
      </c>
      <c r="H162" s="53">
        <v>0.35902777777777778</v>
      </c>
      <c r="I162" s="6" t="str">
        <f>LEFT(Table1[[#This Row],[تاریخ توقف]],4)</f>
        <v>1404</v>
      </c>
      <c r="J162" s="6" t="str">
        <f>VLOOKUP(Table1[[#This Row],[ماه توقف]],Table2[],3,0)</f>
        <v>تابستان</v>
      </c>
      <c r="K162" s="3">
        <f>_xlfn.NUMBERVALUE(RIGHT(LEFT(Table1[[#This Row],[تاریخ توقف]],7),2))</f>
        <v>5</v>
      </c>
      <c r="L162" s="3" t="str">
        <f>RIGHT(LEFT(Table1[[#This Row],[تاریخ توقف]],10),2)</f>
        <v>25</v>
      </c>
      <c r="M162" s="3">
        <f>HOUR(Table1[[#This Row],[زمان شروع توقف]])</f>
        <v>8</v>
      </c>
      <c r="N162" s="3">
        <f>MINUTE(Table1[[#This Row],[زمان شروع توقف]])</f>
        <v>37</v>
      </c>
      <c r="O162" s="3">
        <f>((Table1[[#This Row],[سال توقف]]*365+IF(Table1[[#This Row],[ماه توقف]]&lt;7,(Table1[[#This Row],[ماه توقف]]-1)*31,6*31+(Table1[[#This Row],[ماه توقف]]-6-1)*30)+(Table1[[#This Row],[روز توقف]])-1)*24+Table1[[#This Row],[ساعت توقف2]])*60+Table1[[#This Row],[دقیقه توقف]]</f>
        <v>738156037</v>
      </c>
      <c r="P162" s="56" t="s">
        <v>1072</v>
      </c>
      <c r="Q162" s="53">
        <v>0.375</v>
      </c>
      <c r="R162" s="3" t="str">
        <f>LEFT(Table1[[#This Row],[تاریخ پایان توقف]],4)</f>
        <v>1404</v>
      </c>
      <c r="S162" s="3" t="str">
        <f>_xlfn.IFNA(VLOOKUP(Table1[[#This Row],[ماه رفع توقف]],Table2[],3,0),"در حال تعمیر")</f>
        <v>تابستان</v>
      </c>
      <c r="T162" s="3">
        <f>_xlfn.NUMBERVALUE(RIGHT(LEFT(Table1[[#This Row],[تاریخ پایان توقف]],7),2))</f>
        <v>5</v>
      </c>
      <c r="U162" s="3" t="str">
        <f>RIGHT(LEFT(Table1[[#This Row],[تاریخ پایان توقف]],10),2)</f>
        <v>25</v>
      </c>
      <c r="V162" s="3">
        <f>HOUR(Table1[[#This Row],[زمان پایان توقف]])</f>
        <v>9</v>
      </c>
      <c r="W162" s="3">
        <f>MINUTE(Table1[[#This Row],[زمان پایان توقف]])</f>
        <v>0</v>
      </c>
      <c r="X16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738156060</v>
      </c>
      <c r="Y162" s="44" t="s">
        <v>1217</v>
      </c>
      <c r="Z162" s="83">
        <f>IFERROR((IF(Table1[[#This Row],[تاریخ پایان توقف]]&lt;&gt;"",Table1[[#This Row],[زمان رفع توقف]]-Table1[[#This Row],[زمان توقف]],"")/60),"")</f>
        <v>0.38333333333333336</v>
      </c>
      <c r="AA162" s="3">
        <f>VLOOKUP(E162,Table4[],4,0)</f>
        <v>24</v>
      </c>
      <c r="AB162" s="3">
        <f>VLOOKUP(E162,Table4[],5,0)</f>
        <v>0.2</v>
      </c>
      <c r="AC162" s="3">
        <v>360</v>
      </c>
      <c r="AD162" s="3">
        <f>VLOOKUP(E162,Table4[],7,0)</f>
        <v>720</v>
      </c>
      <c r="AE162" s="83">
        <f>IF(Table1[[#This Row],[زمان آخرین رفع توقف قبل از توقف فعلی]]="","",(Table1[[#This Row],[زمان توقف]]-Table1[[#This Row],[زمان آخرین رفع توقف قبل از توقف فعلی]])/60)</f>
        <v>447.11666666666667</v>
      </c>
      <c r="AF16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738129210</v>
      </c>
    </row>
    <row r="163" spans="1:32">
      <c r="A163" s="36">
        <v>164</v>
      </c>
      <c r="B163" s="36" t="s">
        <v>98</v>
      </c>
      <c r="C163" s="36" t="s">
        <v>881</v>
      </c>
      <c r="D163" s="36" t="s">
        <v>905</v>
      </c>
      <c r="E163" s="85" t="s">
        <v>91</v>
      </c>
      <c r="F163" s="36" t="s">
        <v>12</v>
      </c>
      <c r="G163" s="56" t="s">
        <v>1072</v>
      </c>
      <c r="H163" s="53">
        <v>0.29166666666666669</v>
      </c>
      <c r="I163" s="6" t="str">
        <f>LEFT(Table1[[#This Row],[تاریخ توقف]],4)</f>
        <v>1404</v>
      </c>
      <c r="J163" s="6" t="str">
        <f>VLOOKUP(Table1[[#This Row],[ماه توقف]],Table2[],3,0)</f>
        <v>تابستان</v>
      </c>
      <c r="K163" s="3">
        <f>_xlfn.NUMBERVALUE(RIGHT(LEFT(Table1[[#This Row],[تاریخ توقف]],7),2))</f>
        <v>5</v>
      </c>
      <c r="L163" s="3" t="str">
        <f>RIGHT(LEFT(Table1[[#This Row],[تاریخ توقف]],10),2)</f>
        <v>25</v>
      </c>
      <c r="M163" s="3">
        <f>HOUR(Table1[[#This Row],[زمان شروع توقف]])</f>
        <v>7</v>
      </c>
      <c r="N163" s="3">
        <f>MINUTE(Table1[[#This Row],[زمان شروع توقف]])</f>
        <v>0</v>
      </c>
      <c r="O163" s="3">
        <f>((Table1[[#This Row],[سال توقف]]*365+IF(Table1[[#This Row],[ماه توقف]]&lt;7,(Table1[[#This Row],[ماه توقف]]-1)*31,6*31+(Table1[[#This Row],[ماه توقف]]-6-1)*30)+(Table1[[#This Row],[روز توقف]])-1)*24+Table1[[#This Row],[ساعت توقف2]])*60+Table1[[#This Row],[دقیقه توقف]]</f>
        <v>738155940</v>
      </c>
      <c r="P163" s="56" t="s">
        <v>1072</v>
      </c>
      <c r="Q163" s="53">
        <v>0.39583333333333331</v>
      </c>
      <c r="R163" s="3" t="str">
        <f>LEFT(Table1[[#This Row],[تاریخ پایان توقف]],4)</f>
        <v>1404</v>
      </c>
      <c r="S163" s="3" t="str">
        <f>_xlfn.IFNA(VLOOKUP(Table1[[#This Row],[ماه رفع توقف]],Table2[],3,0),"در حال تعمیر")</f>
        <v>تابستان</v>
      </c>
      <c r="T163" s="3">
        <f>_xlfn.NUMBERVALUE(RIGHT(LEFT(Table1[[#This Row],[تاریخ پایان توقف]],7),2))</f>
        <v>5</v>
      </c>
      <c r="U163" s="3" t="str">
        <f>RIGHT(LEFT(Table1[[#This Row],[تاریخ پایان توقف]],10),2)</f>
        <v>25</v>
      </c>
      <c r="V163" s="3">
        <f>HOUR(Table1[[#This Row],[زمان پایان توقف]])</f>
        <v>9</v>
      </c>
      <c r="W163" s="3">
        <f>MINUTE(Table1[[#This Row],[زمان پایان توقف]])</f>
        <v>30</v>
      </c>
      <c r="X16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738156090</v>
      </c>
      <c r="Y163" s="44" t="s">
        <v>1218</v>
      </c>
      <c r="Z163" s="83">
        <f>IFERROR((IF(Table1[[#This Row],[تاریخ پایان توقف]]&lt;&gt;"",Table1[[#This Row],[زمان رفع توقف]]-Table1[[#This Row],[زمان توقف]],"")/60),"")</f>
        <v>2.5</v>
      </c>
      <c r="AA163" s="3">
        <f>VLOOKUP(E163,Table4[],4,0)</f>
        <v>24</v>
      </c>
      <c r="AB163" s="3">
        <f>VLOOKUP(E163,Table4[],5,0)</f>
        <v>0.2</v>
      </c>
      <c r="AC163" s="3">
        <v>360</v>
      </c>
      <c r="AD163" s="3">
        <f>VLOOKUP(E163,Table4[],7,0)</f>
        <v>720</v>
      </c>
      <c r="AE163" s="83">
        <f>IF(Table1[[#This Row],[زمان آخرین رفع توقف قبل از توقف فعلی]]="","",(Table1[[#This Row],[زمان توقف]]-Table1[[#This Row],[زمان آخرین رفع توقف قبل از توقف فعلی]])/60)</f>
        <v>159.30000000000001</v>
      </c>
      <c r="AF16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738146382</v>
      </c>
    </row>
    <row r="164" spans="1:32">
      <c r="A164" s="36">
        <v>165</v>
      </c>
      <c r="B164" s="36" t="s">
        <v>98</v>
      </c>
      <c r="C164" s="36" t="s">
        <v>50</v>
      </c>
      <c r="D164" s="36" t="s">
        <v>45</v>
      </c>
      <c r="E164" s="85" t="s">
        <v>374</v>
      </c>
      <c r="F164" s="36" t="s">
        <v>12</v>
      </c>
      <c r="G164" s="56" t="s">
        <v>1072</v>
      </c>
      <c r="H164" s="53">
        <v>0.38611111111111113</v>
      </c>
      <c r="I164" s="6" t="str">
        <f>LEFT(Table1[[#This Row],[تاریخ توقف]],4)</f>
        <v>1404</v>
      </c>
      <c r="J164" s="6" t="str">
        <f>VLOOKUP(Table1[[#This Row],[ماه توقف]],Table2[],3,0)</f>
        <v>تابستان</v>
      </c>
      <c r="K164" s="3">
        <f>_xlfn.NUMBERVALUE(RIGHT(LEFT(Table1[[#This Row],[تاریخ توقف]],7),2))</f>
        <v>5</v>
      </c>
      <c r="L164" s="3" t="str">
        <f>RIGHT(LEFT(Table1[[#This Row],[تاریخ توقف]],10),2)</f>
        <v>25</v>
      </c>
      <c r="M164" s="3">
        <f>HOUR(Table1[[#This Row],[زمان شروع توقف]])</f>
        <v>9</v>
      </c>
      <c r="N164" s="3">
        <f>MINUTE(Table1[[#This Row],[زمان شروع توقف]])</f>
        <v>16</v>
      </c>
      <c r="O164" s="3">
        <f>((Table1[[#This Row],[سال توقف]]*365+IF(Table1[[#This Row],[ماه توقف]]&lt;7,(Table1[[#This Row],[ماه توقف]]-1)*31,6*31+(Table1[[#This Row],[ماه توقف]]-6-1)*30)+(Table1[[#This Row],[روز توقف]])-1)*24+Table1[[#This Row],[ساعت توقف2]])*60+Table1[[#This Row],[دقیقه توقف]]</f>
        <v>738156076</v>
      </c>
      <c r="P164" s="56" t="s">
        <v>1072</v>
      </c>
      <c r="Q164" s="53">
        <v>0.40763888888888888</v>
      </c>
      <c r="R164" s="3" t="str">
        <f>LEFT(Table1[[#This Row],[تاریخ پایان توقف]],4)</f>
        <v>1404</v>
      </c>
      <c r="S164" s="3" t="str">
        <f>_xlfn.IFNA(VLOOKUP(Table1[[#This Row],[ماه رفع توقف]],Table2[],3,0),"در حال تعمیر")</f>
        <v>تابستان</v>
      </c>
      <c r="T164" s="3">
        <f>_xlfn.NUMBERVALUE(RIGHT(LEFT(Table1[[#This Row],[تاریخ پایان توقف]],7),2))</f>
        <v>5</v>
      </c>
      <c r="U164" s="3" t="str">
        <f>RIGHT(LEFT(Table1[[#This Row],[تاریخ پایان توقف]],10),2)</f>
        <v>25</v>
      </c>
      <c r="V164" s="3">
        <f>HOUR(Table1[[#This Row],[زمان پایان توقف]])</f>
        <v>9</v>
      </c>
      <c r="W164" s="3">
        <f>MINUTE(Table1[[#This Row],[زمان پایان توقف]])</f>
        <v>47</v>
      </c>
      <c r="X16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738156107</v>
      </c>
      <c r="Y164" s="44" t="s">
        <v>1219</v>
      </c>
      <c r="Z164" s="83">
        <f>IFERROR((IF(Table1[[#This Row],[تاریخ پایان توقف]]&lt;&gt;"",Table1[[#This Row],[زمان رفع توقف]]-Table1[[#This Row],[زمان توقف]],"")/60),"")</f>
        <v>0.51666666666666672</v>
      </c>
      <c r="AA164" s="3">
        <f>VLOOKUP(E164,Table4[],4,0)</f>
        <v>24</v>
      </c>
      <c r="AB164" s="3">
        <f>VLOOKUP(E164,Table4[],5,0)</f>
        <v>0.2</v>
      </c>
      <c r="AC164" s="3">
        <v>360</v>
      </c>
      <c r="AD164" s="3">
        <f>VLOOKUP(E164,Table4[],7,0)</f>
        <v>720</v>
      </c>
      <c r="AE164" s="83">
        <f>IF(Table1[[#This Row],[زمان آخرین رفع توقف قبل از توقف فعلی]]="","",(Table1[[#This Row],[زمان توقف]]-Table1[[#This Row],[زمان آخرین رفع توقف قبل از توقف فعلی]])/60)</f>
        <v>320.60000000000002</v>
      </c>
      <c r="AF16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738136840</v>
      </c>
    </row>
    <row r="165" spans="1:32">
      <c r="A165" s="36">
        <v>166</v>
      </c>
      <c r="B165" s="36" t="s">
        <v>98</v>
      </c>
      <c r="C165" s="36" t="s">
        <v>49</v>
      </c>
      <c r="D165" s="36" t="s">
        <v>44</v>
      </c>
      <c r="E165" s="85" t="s">
        <v>1073</v>
      </c>
      <c r="F165" s="36" t="s">
        <v>12</v>
      </c>
      <c r="G165" s="56" t="s">
        <v>1074</v>
      </c>
      <c r="H165" s="53">
        <v>0.38194444444444442</v>
      </c>
      <c r="I165" s="6" t="str">
        <f>LEFT(Table1[[#This Row],[تاریخ توقف]],4)</f>
        <v>1404</v>
      </c>
      <c r="J165" s="6" t="str">
        <f>VLOOKUP(Table1[[#This Row],[ماه توقف]],Table2[],3,0)</f>
        <v>تابستان</v>
      </c>
      <c r="K165" s="3">
        <f>_xlfn.NUMBERVALUE(RIGHT(LEFT(Table1[[#This Row],[تاریخ توقف]],7),2))</f>
        <v>5</v>
      </c>
      <c r="L165" s="3" t="str">
        <f>RIGHT(LEFT(Table1[[#This Row],[تاریخ توقف]],10),2)</f>
        <v>27</v>
      </c>
      <c r="M165" s="3">
        <f>HOUR(Table1[[#This Row],[زمان شروع توقف]])</f>
        <v>9</v>
      </c>
      <c r="N165" s="3">
        <f>MINUTE(Table1[[#This Row],[زمان شروع توقف]])</f>
        <v>10</v>
      </c>
      <c r="O165" s="3">
        <f>((Table1[[#This Row],[سال توقف]]*365+IF(Table1[[#This Row],[ماه توقف]]&lt;7,(Table1[[#This Row],[ماه توقف]]-1)*31,6*31+(Table1[[#This Row],[ماه توقف]]-6-1)*30)+(Table1[[#This Row],[روز توقف]])-1)*24+Table1[[#This Row],[ساعت توقف2]])*60+Table1[[#This Row],[دقیقه توقف]]</f>
        <v>738158950</v>
      </c>
      <c r="P165" s="56" t="s">
        <v>1074</v>
      </c>
      <c r="Q165" s="53">
        <v>0.54166666666666663</v>
      </c>
      <c r="R165" s="3" t="str">
        <f>LEFT(Table1[[#This Row],[تاریخ پایان توقف]],4)</f>
        <v>1404</v>
      </c>
      <c r="S165" s="3" t="str">
        <f>_xlfn.IFNA(VLOOKUP(Table1[[#This Row],[ماه رفع توقف]],Table2[],3,0),"در حال تعمیر")</f>
        <v>تابستان</v>
      </c>
      <c r="T165" s="3">
        <f>_xlfn.NUMBERVALUE(RIGHT(LEFT(Table1[[#This Row],[تاریخ پایان توقف]],7),2))</f>
        <v>5</v>
      </c>
      <c r="U165" s="3" t="str">
        <f>RIGHT(LEFT(Table1[[#This Row],[تاریخ پایان توقف]],10),2)</f>
        <v>27</v>
      </c>
      <c r="V165" s="3">
        <f>HOUR(Table1[[#This Row],[زمان پایان توقف]])</f>
        <v>13</v>
      </c>
      <c r="W165" s="3">
        <f>MINUTE(Table1[[#This Row],[زمان پایان توقف]])</f>
        <v>0</v>
      </c>
      <c r="X16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738159180</v>
      </c>
      <c r="Y165" s="44" t="s">
        <v>1220</v>
      </c>
      <c r="Z165" s="83">
        <f>IFERROR((IF(Table1[[#This Row],[تاریخ پایان توقف]]&lt;&gt;"",Table1[[#This Row],[زمان رفع توقف]]-Table1[[#This Row],[زمان توقف]],"")/60),"")</f>
        <v>3.8333333333333335</v>
      </c>
      <c r="AA165" s="3">
        <f>VLOOKUP(E165,Table4[],4,0)</f>
        <v>24</v>
      </c>
      <c r="AB165" s="3">
        <f>VLOOKUP(E165,Table4[],5,0)</f>
        <v>0.2</v>
      </c>
      <c r="AC165" s="3">
        <v>360</v>
      </c>
      <c r="AD165" s="3">
        <f>VLOOKUP(E165,Table4[],7,0)</f>
        <v>720</v>
      </c>
      <c r="AE165" s="83" t="str">
        <f>IF(Table1[[#This Row],[زمان آخرین رفع توقف قبل از توقف فعلی]]="","",(Table1[[#This Row],[زمان توقف]]-Table1[[#This Row],[زمان آخرین رفع توقف قبل از توقف فعلی]])/60)</f>
        <v/>
      </c>
      <c r="AF16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66" spans="1:32">
      <c r="A166" s="36">
        <v>167</v>
      </c>
      <c r="B166" s="36" t="s">
        <v>98</v>
      </c>
      <c r="C166" s="36" t="s">
        <v>50</v>
      </c>
      <c r="D166" s="36" t="s">
        <v>45</v>
      </c>
      <c r="E166" s="85" t="s">
        <v>374</v>
      </c>
      <c r="F166" s="36" t="s">
        <v>12</v>
      </c>
      <c r="G166" s="56" t="s">
        <v>1075</v>
      </c>
      <c r="H166" s="53">
        <v>0.35416666666666669</v>
      </c>
      <c r="I166" s="6" t="str">
        <f>LEFT(Table1[[#This Row],[تاریخ توقف]],4)</f>
        <v>1404</v>
      </c>
      <c r="J166" s="6" t="str">
        <f>VLOOKUP(Table1[[#This Row],[ماه توقف]],Table2[],3,0)</f>
        <v>تابستان</v>
      </c>
      <c r="K166" s="3">
        <f>_xlfn.NUMBERVALUE(RIGHT(LEFT(Table1[[#This Row],[تاریخ توقف]],7),2))</f>
        <v>5</v>
      </c>
      <c r="L166" s="3" t="str">
        <f>RIGHT(LEFT(Table1[[#This Row],[تاریخ توقف]],10),2)</f>
        <v>28</v>
      </c>
      <c r="M166" s="3">
        <f>HOUR(Table1[[#This Row],[زمان شروع توقف]])</f>
        <v>8</v>
      </c>
      <c r="N166" s="3">
        <f>MINUTE(Table1[[#This Row],[زمان شروع توقف]])</f>
        <v>30</v>
      </c>
      <c r="O166" s="3">
        <f>((Table1[[#This Row],[سال توقف]]*365+IF(Table1[[#This Row],[ماه توقف]]&lt;7,(Table1[[#This Row],[ماه توقف]]-1)*31,6*31+(Table1[[#This Row],[ماه توقف]]-6-1)*30)+(Table1[[#This Row],[روز توقف]])-1)*24+Table1[[#This Row],[ساعت توقف2]])*60+Table1[[#This Row],[دقیقه توقف]]</f>
        <v>738160350</v>
      </c>
      <c r="P166" s="56" t="s">
        <v>1075</v>
      </c>
      <c r="Q166" s="53">
        <v>0.38541666666666669</v>
      </c>
      <c r="R166" s="3" t="str">
        <f>LEFT(Table1[[#This Row],[تاریخ پایان توقف]],4)</f>
        <v>1404</v>
      </c>
      <c r="S166" s="3" t="str">
        <f>_xlfn.IFNA(VLOOKUP(Table1[[#This Row],[ماه رفع توقف]],Table2[],3,0),"در حال تعمیر")</f>
        <v>تابستان</v>
      </c>
      <c r="T166" s="3">
        <f>_xlfn.NUMBERVALUE(RIGHT(LEFT(Table1[[#This Row],[تاریخ پایان توقف]],7),2))</f>
        <v>5</v>
      </c>
      <c r="U166" s="3" t="str">
        <f>RIGHT(LEFT(Table1[[#This Row],[تاریخ پایان توقف]],10),2)</f>
        <v>28</v>
      </c>
      <c r="V166" s="3">
        <f>HOUR(Table1[[#This Row],[زمان پایان توقف]])</f>
        <v>9</v>
      </c>
      <c r="W166" s="3">
        <f>MINUTE(Table1[[#This Row],[زمان پایان توقف]])</f>
        <v>15</v>
      </c>
      <c r="X16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738160395</v>
      </c>
      <c r="Y166" s="44" t="s">
        <v>1220</v>
      </c>
      <c r="Z166" s="83">
        <f>IFERROR((IF(Table1[[#This Row],[تاریخ پایان توقف]]&lt;&gt;"",Table1[[#This Row],[زمان رفع توقف]]-Table1[[#This Row],[زمان توقف]],"")/60),"")</f>
        <v>0.75</v>
      </c>
      <c r="AA166" s="3">
        <f>VLOOKUP(E166,Table4[],4,0)</f>
        <v>24</v>
      </c>
      <c r="AB166" s="3">
        <f>VLOOKUP(E166,Table4[],5,0)</f>
        <v>0.2</v>
      </c>
      <c r="AC166" s="3">
        <v>360</v>
      </c>
      <c r="AD166" s="3">
        <f>VLOOKUP(E166,Table4[],7,0)</f>
        <v>720</v>
      </c>
      <c r="AE166" s="83">
        <f>IF(Table1[[#This Row],[زمان آخرین رفع توقف قبل از توقف فعلی]]="","",(Table1[[#This Row],[زمان توقف]]-Table1[[#This Row],[زمان آخرین رفع توقف قبل از توقف فعلی]])/60)</f>
        <v>70.716666666666669</v>
      </c>
      <c r="AF16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738156107</v>
      </c>
    </row>
    <row r="167" spans="1:32">
      <c r="A167" s="36">
        <v>168</v>
      </c>
      <c r="B167" s="36" t="s">
        <v>98</v>
      </c>
      <c r="C167" s="36" t="s">
        <v>49</v>
      </c>
      <c r="D167" s="36" t="s">
        <v>44</v>
      </c>
      <c r="E167" s="85" t="s">
        <v>1073</v>
      </c>
      <c r="F167" s="36" t="s">
        <v>12</v>
      </c>
      <c r="G167" s="56" t="s">
        <v>1076</v>
      </c>
      <c r="H167" s="53">
        <v>0.29166666666666669</v>
      </c>
      <c r="I167" s="6" t="str">
        <f>LEFT(Table1[[#This Row],[تاریخ توقف]],4)</f>
        <v>1404</v>
      </c>
      <c r="J167" s="6" t="str">
        <f>VLOOKUP(Table1[[#This Row],[ماه توقف]],Table2[],3,0)</f>
        <v>تابستان</v>
      </c>
      <c r="K167" s="3">
        <f>_xlfn.NUMBERVALUE(RIGHT(LEFT(Table1[[#This Row],[تاریخ توقف]],7),2))</f>
        <v>5</v>
      </c>
      <c r="L167" s="3" t="str">
        <f>RIGHT(LEFT(Table1[[#This Row],[تاریخ توقف]],10),2)</f>
        <v>29</v>
      </c>
      <c r="M167" s="3">
        <f>HOUR(Table1[[#This Row],[زمان شروع توقف]])</f>
        <v>7</v>
      </c>
      <c r="N167" s="3">
        <f>MINUTE(Table1[[#This Row],[زمان شروع توقف]])</f>
        <v>0</v>
      </c>
      <c r="O167" s="3">
        <f>((Table1[[#This Row],[سال توقف]]*365+IF(Table1[[#This Row],[ماه توقف]]&lt;7,(Table1[[#This Row],[ماه توقف]]-1)*31,6*31+(Table1[[#This Row],[ماه توقف]]-6-1)*30)+(Table1[[#This Row],[روز توقف]])-1)*24+Table1[[#This Row],[ساعت توقف2]])*60+Table1[[#This Row],[دقیقه توقف]]</f>
        <v>738161700</v>
      </c>
      <c r="P167" s="56" t="s">
        <v>1076</v>
      </c>
      <c r="Q167" s="53">
        <v>0.35416666666666669</v>
      </c>
      <c r="R167" s="3" t="str">
        <f>LEFT(Table1[[#This Row],[تاریخ پایان توقف]],4)</f>
        <v>1404</v>
      </c>
      <c r="S167" s="3" t="str">
        <f>_xlfn.IFNA(VLOOKUP(Table1[[#This Row],[ماه رفع توقف]],Table2[],3,0),"در حال تعمیر")</f>
        <v>تابستان</v>
      </c>
      <c r="T167" s="3">
        <f>_xlfn.NUMBERVALUE(RIGHT(LEFT(Table1[[#This Row],[تاریخ پایان توقف]],7),2))</f>
        <v>5</v>
      </c>
      <c r="U167" s="3" t="str">
        <f>RIGHT(LEFT(Table1[[#This Row],[تاریخ پایان توقف]],10),2)</f>
        <v>29</v>
      </c>
      <c r="V167" s="3">
        <f>HOUR(Table1[[#This Row],[زمان پایان توقف]])</f>
        <v>8</v>
      </c>
      <c r="W167" s="3">
        <f>MINUTE(Table1[[#This Row],[زمان پایان توقف]])</f>
        <v>30</v>
      </c>
      <c r="X16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738161790</v>
      </c>
      <c r="Y167" s="44"/>
      <c r="Z167" s="83">
        <f>IFERROR((IF(Table1[[#This Row],[تاریخ پایان توقف]]&lt;&gt;"",Table1[[#This Row],[زمان رفع توقف]]-Table1[[#This Row],[زمان توقف]],"")/60),"")</f>
        <v>1.5</v>
      </c>
      <c r="AA167" s="3">
        <f>VLOOKUP(E167,Table4[],4,0)</f>
        <v>24</v>
      </c>
      <c r="AB167" s="3">
        <f>VLOOKUP(E167,Table4[],5,0)</f>
        <v>0.2</v>
      </c>
      <c r="AC167" s="3">
        <v>360</v>
      </c>
      <c r="AD167" s="3">
        <f>VLOOKUP(E167,Table4[],7,0)</f>
        <v>720</v>
      </c>
      <c r="AE167" s="83">
        <f>IF(Table1[[#This Row],[زمان آخرین رفع توقف قبل از توقف فعلی]]="","",(Table1[[#This Row],[زمان توقف]]-Table1[[#This Row],[زمان آخرین رفع توقف قبل از توقف فعلی]])/60)</f>
        <v>42</v>
      </c>
      <c r="AF16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738159180</v>
      </c>
    </row>
    <row r="168" spans="1:32">
      <c r="A168" s="36">
        <v>169</v>
      </c>
      <c r="B168" s="36" t="s">
        <v>99</v>
      </c>
      <c r="C168" s="36" t="s">
        <v>1077</v>
      </c>
      <c r="D168" s="36" t="s">
        <v>1078</v>
      </c>
      <c r="E168" s="85" t="s">
        <v>1079</v>
      </c>
      <c r="F168" s="36" t="s">
        <v>12</v>
      </c>
      <c r="G168" s="56" t="s">
        <v>1080</v>
      </c>
      <c r="H168" s="53">
        <v>0.54166666666666663</v>
      </c>
      <c r="I168" s="6" t="str">
        <f>LEFT(Table1[[#This Row],[تاریخ توقف]],4)</f>
        <v>1404</v>
      </c>
      <c r="J168" s="6" t="str">
        <f>VLOOKUP(Table1[[#This Row],[ماه توقف]],Table2[],3,0)</f>
        <v>تابستان</v>
      </c>
      <c r="K168" s="3">
        <f>_xlfn.NUMBERVALUE(RIGHT(LEFT(Table1[[#This Row],[تاریخ توقف]],7),2))</f>
        <v>6</v>
      </c>
      <c r="L168" s="3" t="str">
        <f>RIGHT(LEFT(Table1[[#This Row],[تاریخ توقف]],10),2)</f>
        <v>03</v>
      </c>
      <c r="M168" s="3">
        <f>HOUR(Table1[[#This Row],[زمان شروع توقف]])</f>
        <v>13</v>
      </c>
      <c r="N168" s="3">
        <f>MINUTE(Table1[[#This Row],[زمان شروع توقف]])</f>
        <v>0</v>
      </c>
      <c r="O168" s="3">
        <f>((Table1[[#This Row],[سال توقف]]*365+IF(Table1[[#This Row],[ماه توقف]]&lt;7,(Table1[[#This Row],[ماه توقف]]-1)*31,6*31+(Table1[[#This Row],[ماه توقف]]-6-1)*30)+(Table1[[#This Row],[روز توقف]])-1)*24+Table1[[#This Row],[ساعت توقف2]])*60+Table1[[#This Row],[دقیقه توقف]]</f>
        <v>738169260</v>
      </c>
      <c r="P168" s="56" t="s">
        <v>1080</v>
      </c>
      <c r="Q168" s="53">
        <v>0.60416666666666663</v>
      </c>
      <c r="R168" s="3" t="str">
        <f>LEFT(Table1[[#This Row],[تاریخ پایان توقف]],4)</f>
        <v>1404</v>
      </c>
      <c r="S168" s="3" t="str">
        <f>_xlfn.IFNA(VLOOKUP(Table1[[#This Row],[ماه رفع توقف]],Table2[],3,0),"در حال تعمیر")</f>
        <v>تابستان</v>
      </c>
      <c r="T168" s="3">
        <f>_xlfn.NUMBERVALUE(RIGHT(LEFT(Table1[[#This Row],[تاریخ پایان توقف]],7),2))</f>
        <v>6</v>
      </c>
      <c r="U168" s="3" t="str">
        <f>RIGHT(LEFT(Table1[[#This Row],[تاریخ پایان توقف]],10),2)</f>
        <v>03</v>
      </c>
      <c r="V168" s="3">
        <f>HOUR(Table1[[#This Row],[زمان پایان توقف]])</f>
        <v>14</v>
      </c>
      <c r="W168" s="3">
        <f>MINUTE(Table1[[#This Row],[زمان پایان توقف]])</f>
        <v>30</v>
      </c>
      <c r="X16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738169350</v>
      </c>
      <c r="Y168" s="44" t="s">
        <v>1221</v>
      </c>
      <c r="Z168" s="83">
        <f>IFERROR((IF(Table1[[#This Row],[تاریخ پایان توقف]]&lt;&gt;"",Table1[[#This Row],[زمان رفع توقف]]-Table1[[#This Row],[زمان توقف]],"")/60),"")</f>
        <v>1.5</v>
      </c>
      <c r="AA168" s="3">
        <f>VLOOKUP(E168,Table4[],4,0)</f>
        <v>24</v>
      </c>
      <c r="AB168" s="3">
        <f>VLOOKUP(E168,Table4[],5,0)</f>
        <v>0.2</v>
      </c>
      <c r="AC168" s="3">
        <v>360</v>
      </c>
      <c r="AD168" s="3">
        <f>VLOOKUP(E168,Table4[],7,0)</f>
        <v>720</v>
      </c>
      <c r="AE168" s="83" t="str">
        <f>IF(Table1[[#This Row],[زمان آخرین رفع توقف قبل از توقف فعلی]]="","",(Table1[[#This Row],[زمان توقف]]-Table1[[#This Row],[زمان آخرین رفع توقف قبل از توقف فعلی]])/60)</f>
        <v/>
      </c>
      <c r="AF168"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69" spans="1:32">
      <c r="A169" s="36">
        <v>170</v>
      </c>
      <c r="B169" s="36" t="s">
        <v>98</v>
      </c>
      <c r="C169" s="36" t="s">
        <v>881</v>
      </c>
      <c r="D169" s="36" t="s">
        <v>905</v>
      </c>
      <c r="E169" s="85" t="s">
        <v>91</v>
      </c>
      <c r="F169" s="36" t="s">
        <v>12</v>
      </c>
      <c r="G169" s="56" t="s">
        <v>1080</v>
      </c>
      <c r="H169" s="53">
        <v>0.68611111111111112</v>
      </c>
      <c r="I169" s="6" t="str">
        <f>LEFT(Table1[[#This Row],[تاریخ توقف]],4)</f>
        <v>1404</v>
      </c>
      <c r="J169" s="6" t="str">
        <f>VLOOKUP(Table1[[#This Row],[ماه توقف]],Table2[],3,0)</f>
        <v>تابستان</v>
      </c>
      <c r="K169" s="3">
        <f>_xlfn.NUMBERVALUE(RIGHT(LEFT(Table1[[#This Row],[تاریخ توقف]],7),2))</f>
        <v>6</v>
      </c>
      <c r="L169" s="3" t="str">
        <f>RIGHT(LEFT(Table1[[#This Row],[تاریخ توقف]],10),2)</f>
        <v>03</v>
      </c>
      <c r="M169" s="3">
        <f>HOUR(Table1[[#This Row],[زمان شروع توقف]])</f>
        <v>16</v>
      </c>
      <c r="N169" s="3">
        <f>MINUTE(Table1[[#This Row],[زمان شروع توقف]])</f>
        <v>28</v>
      </c>
      <c r="O169" s="3">
        <f>((Table1[[#This Row],[سال توقف]]*365+IF(Table1[[#This Row],[ماه توقف]]&lt;7,(Table1[[#This Row],[ماه توقف]]-1)*31,6*31+(Table1[[#This Row],[ماه توقف]]-6-1)*30)+(Table1[[#This Row],[روز توقف]])-1)*24+Table1[[#This Row],[ساعت توقف2]])*60+Table1[[#This Row],[دقیقه توقف]]</f>
        <v>738169468</v>
      </c>
      <c r="P169" s="56" t="s">
        <v>1082</v>
      </c>
      <c r="Q169" s="53">
        <v>0.6875</v>
      </c>
      <c r="R169" s="3" t="str">
        <f>LEFT(Table1[[#This Row],[تاریخ پایان توقف]],4)</f>
        <v>1404</v>
      </c>
      <c r="S169" s="3" t="str">
        <f>_xlfn.IFNA(VLOOKUP(Table1[[#This Row],[ماه رفع توقف]],Table2[],3,0),"در حال تعمیر")</f>
        <v>تابستان</v>
      </c>
      <c r="T169" s="3">
        <f>_xlfn.NUMBERVALUE(RIGHT(LEFT(Table1[[#This Row],[تاریخ پایان توقف]],7),2))</f>
        <v>6</v>
      </c>
      <c r="U169" s="3" t="str">
        <f>RIGHT(LEFT(Table1[[#This Row],[تاریخ پایان توقف]],10),2)</f>
        <v>05</v>
      </c>
      <c r="V169" s="3">
        <f>HOUR(Table1[[#This Row],[زمان پایان توقف]])</f>
        <v>16</v>
      </c>
      <c r="W169" s="3">
        <f>MINUTE(Table1[[#This Row],[زمان پایان توقف]])</f>
        <v>30</v>
      </c>
      <c r="X16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738172350</v>
      </c>
      <c r="Y169" s="49" t="s">
        <v>1222</v>
      </c>
      <c r="Z169" s="83">
        <f>IFERROR((IF(Table1[[#This Row],[تاریخ پایان توقف]]&lt;&gt;"",Table1[[#This Row],[زمان رفع توقف]]-Table1[[#This Row],[زمان توقف]],"")/60),"")</f>
        <v>48.033333333333331</v>
      </c>
      <c r="AA169" s="3">
        <f>VLOOKUP(E169,Table4[],4,0)</f>
        <v>24</v>
      </c>
      <c r="AB169" s="3">
        <f>VLOOKUP(E169,Table4[],5,0)</f>
        <v>0.2</v>
      </c>
      <c r="AC169" s="3">
        <v>360</v>
      </c>
      <c r="AD169" s="3">
        <f>VLOOKUP(E169,Table4[],7,0)</f>
        <v>720</v>
      </c>
      <c r="AE169" s="83">
        <f>IF(Table1[[#This Row],[زمان آخرین رفع توقف قبل از توقف فعلی]]="","",(Table1[[#This Row],[زمان توقف]]-Table1[[#This Row],[زمان آخرین رفع توقف قبل از توقف فعلی]])/60)</f>
        <v>222.96666666666667</v>
      </c>
      <c r="AF16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738156090</v>
      </c>
    </row>
    <row r="170" spans="1:32">
      <c r="A170" s="36">
        <v>171</v>
      </c>
      <c r="B170" s="36" t="s">
        <v>98</v>
      </c>
      <c r="C170" s="36" t="s">
        <v>1081</v>
      </c>
      <c r="D170" s="36" t="s">
        <v>585</v>
      </c>
      <c r="E170" s="85" t="s">
        <v>225</v>
      </c>
      <c r="F170" s="36" t="s">
        <v>12</v>
      </c>
      <c r="G170" s="56" t="s">
        <v>1082</v>
      </c>
      <c r="H170" s="53">
        <v>0.35069444444444442</v>
      </c>
      <c r="I170" s="6" t="str">
        <f>LEFT(Table1[[#This Row],[تاریخ توقف]],4)</f>
        <v>1404</v>
      </c>
      <c r="J170" s="6" t="str">
        <f>VLOOKUP(Table1[[#This Row],[ماه توقف]],Table2[],3,0)</f>
        <v>تابستان</v>
      </c>
      <c r="K170" s="3">
        <f>_xlfn.NUMBERVALUE(RIGHT(LEFT(Table1[[#This Row],[تاریخ توقف]],7),2))</f>
        <v>6</v>
      </c>
      <c r="L170" s="3" t="str">
        <f>RIGHT(LEFT(Table1[[#This Row],[تاریخ توقف]],10),2)</f>
        <v>05</v>
      </c>
      <c r="M170" s="3">
        <f>HOUR(Table1[[#This Row],[زمان شروع توقف]])</f>
        <v>8</v>
      </c>
      <c r="N170" s="3">
        <f>MINUTE(Table1[[#This Row],[زمان شروع توقف]])</f>
        <v>25</v>
      </c>
      <c r="O170" s="3">
        <f>((Table1[[#This Row],[سال توقف]]*365+IF(Table1[[#This Row],[ماه توقف]]&lt;7,(Table1[[#This Row],[ماه توقف]]-1)*31,6*31+(Table1[[#This Row],[ماه توقف]]-6-1)*30)+(Table1[[#This Row],[روز توقف]])-1)*24+Table1[[#This Row],[ساعت توقف2]])*60+Table1[[#This Row],[دقیقه توقف]]</f>
        <v>738171865</v>
      </c>
      <c r="P170" s="56" t="s">
        <v>1082</v>
      </c>
      <c r="Q170" s="53">
        <v>0.37152777777777779</v>
      </c>
      <c r="R170" s="3" t="str">
        <f>LEFT(Table1[[#This Row],[تاریخ پایان توقف]],4)</f>
        <v>1404</v>
      </c>
      <c r="S170" s="3" t="str">
        <f>_xlfn.IFNA(VLOOKUP(Table1[[#This Row],[ماه رفع توقف]],Table2[],3,0),"در حال تعمیر")</f>
        <v>تابستان</v>
      </c>
      <c r="T170" s="3">
        <f>_xlfn.NUMBERVALUE(RIGHT(LEFT(Table1[[#This Row],[تاریخ پایان توقف]],7),2))</f>
        <v>6</v>
      </c>
      <c r="U170" s="3" t="str">
        <f>RIGHT(LEFT(Table1[[#This Row],[تاریخ پایان توقف]],10),2)</f>
        <v>05</v>
      </c>
      <c r="V170" s="3">
        <f>HOUR(Table1[[#This Row],[زمان پایان توقف]])</f>
        <v>8</v>
      </c>
      <c r="W170" s="3">
        <f>MINUTE(Table1[[#This Row],[زمان پایان توقف]])</f>
        <v>55</v>
      </c>
      <c r="X17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738171895</v>
      </c>
      <c r="Y170" s="44"/>
      <c r="Z170" s="83">
        <f>IFERROR((IF(Table1[[#This Row],[تاریخ پایان توقف]]&lt;&gt;"",Table1[[#This Row],[زمان رفع توقف]]-Table1[[#This Row],[زمان توقف]],"")/60),"")</f>
        <v>0.5</v>
      </c>
      <c r="AA170" s="3">
        <f>VLOOKUP(E170,Table4[],4,0)</f>
        <v>24</v>
      </c>
      <c r="AB170" s="3">
        <f>VLOOKUP(E170,Table4[],5,0)</f>
        <v>0.2</v>
      </c>
      <c r="AC170" s="3">
        <v>360</v>
      </c>
      <c r="AD170" s="3">
        <f>VLOOKUP(E170,Table4[],7,0)</f>
        <v>720</v>
      </c>
      <c r="AE170" s="83">
        <f>IF(Table1[[#This Row],[زمان آخرین رفع توقف قبل از توقف فعلی]]="","",(Table1[[#This Row],[زمان توقف]]-Table1[[#This Row],[زمان آخرین رفع توقف قبل از توقف فعلی]])/60)</f>
        <v>3214.0833333333335</v>
      </c>
      <c r="AF17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737979020</v>
      </c>
    </row>
    <row r="171" spans="1:32">
      <c r="A171" s="36">
        <v>172</v>
      </c>
      <c r="B171" s="36" t="s">
        <v>98</v>
      </c>
      <c r="C171" s="36" t="s">
        <v>1081</v>
      </c>
      <c r="D171" s="36" t="s">
        <v>585</v>
      </c>
      <c r="E171" s="85" t="s">
        <v>225</v>
      </c>
      <c r="F171" s="36" t="s">
        <v>12</v>
      </c>
      <c r="G171" s="56" t="s">
        <v>1082</v>
      </c>
      <c r="H171" s="53">
        <v>0.42569444444444443</v>
      </c>
      <c r="I171" s="6" t="str">
        <f>LEFT(Table1[[#This Row],[تاریخ توقف]],4)</f>
        <v>1404</v>
      </c>
      <c r="J171" s="6" t="str">
        <f>VLOOKUP(Table1[[#This Row],[ماه توقف]],Table2[],3,0)</f>
        <v>تابستان</v>
      </c>
      <c r="K171" s="3">
        <f>_xlfn.NUMBERVALUE(RIGHT(LEFT(Table1[[#This Row],[تاریخ توقف]],7),2))</f>
        <v>6</v>
      </c>
      <c r="L171" s="3" t="str">
        <f>RIGHT(LEFT(Table1[[#This Row],[تاریخ توقف]],10),2)</f>
        <v>05</v>
      </c>
      <c r="M171" s="3">
        <f>HOUR(Table1[[#This Row],[زمان شروع توقف]])</f>
        <v>10</v>
      </c>
      <c r="N171" s="3">
        <f>MINUTE(Table1[[#This Row],[زمان شروع توقف]])</f>
        <v>13</v>
      </c>
      <c r="O171" s="3">
        <f>((Table1[[#This Row],[سال توقف]]*365+IF(Table1[[#This Row],[ماه توقف]]&lt;7,(Table1[[#This Row],[ماه توقف]]-1)*31,6*31+(Table1[[#This Row],[ماه توقف]]-6-1)*30)+(Table1[[#This Row],[روز توقف]])-1)*24+Table1[[#This Row],[ساعت توقف2]])*60+Table1[[#This Row],[دقیقه توقف]]</f>
        <v>738171973</v>
      </c>
      <c r="P171" s="56" t="s">
        <v>1082</v>
      </c>
      <c r="Q171" s="53">
        <v>0.44097222222222221</v>
      </c>
      <c r="R171" s="3" t="str">
        <f>LEFT(Table1[[#This Row],[تاریخ پایان توقف]],4)</f>
        <v>1404</v>
      </c>
      <c r="S171" s="3" t="str">
        <f>_xlfn.IFNA(VLOOKUP(Table1[[#This Row],[ماه رفع توقف]],Table2[],3,0),"در حال تعمیر")</f>
        <v>تابستان</v>
      </c>
      <c r="T171" s="3">
        <f>_xlfn.NUMBERVALUE(RIGHT(LEFT(Table1[[#This Row],[تاریخ پایان توقف]],7),2))</f>
        <v>6</v>
      </c>
      <c r="U171" s="3" t="str">
        <f>RIGHT(LEFT(Table1[[#This Row],[تاریخ پایان توقف]],10),2)</f>
        <v>05</v>
      </c>
      <c r="V171" s="3">
        <f>HOUR(Table1[[#This Row],[زمان پایان توقف]])</f>
        <v>10</v>
      </c>
      <c r="W171" s="3">
        <f>MINUTE(Table1[[#This Row],[زمان پایان توقف]])</f>
        <v>35</v>
      </c>
      <c r="X17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738171995</v>
      </c>
      <c r="Y171" s="44"/>
      <c r="Z171" s="83">
        <f>IFERROR((IF(Table1[[#This Row],[تاریخ پایان توقف]]&lt;&gt;"",Table1[[#This Row],[زمان رفع توقف]]-Table1[[#This Row],[زمان توقف]],"")/60),"")</f>
        <v>0.36666666666666664</v>
      </c>
      <c r="AA171" s="3">
        <f>VLOOKUP(E171,Table4[],4,0)</f>
        <v>24</v>
      </c>
      <c r="AB171" s="3">
        <f>VLOOKUP(E171,Table4[],5,0)</f>
        <v>0.2</v>
      </c>
      <c r="AC171" s="3">
        <v>360</v>
      </c>
      <c r="AD171" s="3">
        <f>VLOOKUP(E171,Table4[],7,0)</f>
        <v>720</v>
      </c>
      <c r="AE171" s="83">
        <f>IF(Table1[[#This Row],[زمان آخرین رفع توقف قبل از توقف فعلی]]="","",(Table1[[#This Row],[زمان توقف]]-Table1[[#This Row],[زمان آخرین رفع توقف قبل از توقف فعلی]])/60)</f>
        <v>1.3</v>
      </c>
      <c r="AF17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738171895</v>
      </c>
    </row>
    <row r="172" spans="1:32">
      <c r="A172" s="36">
        <v>173</v>
      </c>
      <c r="B172" s="36" t="s">
        <v>98</v>
      </c>
      <c r="C172" s="36" t="s">
        <v>50</v>
      </c>
      <c r="D172" s="36" t="s">
        <v>45</v>
      </c>
      <c r="E172" s="85" t="s">
        <v>374</v>
      </c>
      <c r="F172" s="36" t="s">
        <v>12</v>
      </c>
      <c r="G172" s="56" t="s">
        <v>1065</v>
      </c>
      <c r="H172" s="53">
        <v>0.45833333333333331</v>
      </c>
      <c r="I172" s="6" t="str">
        <f>LEFT(Table1[[#This Row],[تاریخ توقف]],4)</f>
        <v>1404</v>
      </c>
      <c r="J172" s="6" t="str">
        <f>VLOOKUP(Table1[[#This Row],[ماه توقف]],Table2[],3,0)</f>
        <v>تابستان</v>
      </c>
      <c r="K172" s="3">
        <f>_xlfn.NUMBERVALUE(RIGHT(LEFT(Table1[[#This Row],[تاریخ توقف]],7),2))</f>
        <v>6</v>
      </c>
      <c r="L172" s="3" t="str">
        <f>RIGHT(LEFT(Table1[[#This Row],[تاریخ توقف]],10),2)</f>
        <v>06</v>
      </c>
      <c r="M172" s="3">
        <f>HOUR(Table1[[#This Row],[زمان شروع توقف]])</f>
        <v>11</v>
      </c>
      <c r="N172" s="3">
        <f>MINUTE(Table1[[#This Row],[زمان شروع توقف]])</f>
        <v>0</v>
      </c>
      <c r="O172" s="3">
        <f>((Table1[[#This Row],[سال توقف]]*365+IF(Table1[[#This Row],[ماه توقف]]&lt;7,(Table1[[#This Row],[ماه توقف]]-1)*31,6*31+(Table1[[#This Row],[ماه توقف]]-6-1)*30)+(Table1[[#This Row],[روز توقف]])-1)*24+Table1[[#This Row],[ساعت توقف2]])*60+Table1[[#This Row],[دقیقه توقف]]</f>
        <v>738173460</v>
      </c>
      <c r="P172" s="56" t="s">
        <v>1065</v>
      </c>
      <c r="Q172" s="53">
        <v>0.47638888888888886</v>
      </c>
      <c r="R172" s="3" t="str">
        <f>LEFT(Table1[[#This Row],[تاریخ پایان توقف]],4)</f>
        <v>1404</v>
      </c>
      <c r="S172" s="3" t="str">
        <f>_xlfn.IFNA(VLOOKUP(Table1[[#This Row],[ماه رفع توقف]],Table2[],3,0),"در حال تعمیر")</f>
        <v>تابستان</v>
      </c>
      <c r="T172" s="3">
        <f>_xlfn.NUMBERVALUE(RIGHT(LEFT(Table1[[#This Row],[تاریخ پایان توقف]],7),2))</f>
        <v>6</v>
      </c>
      <c r="U172" s="3" t="str">
        <f>RIGHT(LEFT(Table1[[#This Row],[تاریخ پایان توقف]],10),2)</f>
        <v>06</v>
      </c>
      <c r="V172" s="3">
        <f>HOUR(Table1[[#This Row],[زمان پایان توقف]])</f>
        <v>11</v>
      </c>
      <c r="W172" s="3">
        <f>MINUTE(Table1[[#This Row],[زمان پایان توقف]])</f>
        <v>26</v>
      </c>
      <c r="X17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738173486</v>
      </c>
      <c r="Y172" s="44"/>
      <c r="Z172" s="83">
        <f>IFERROR((IF(Table1[[#This Row],[تاریخ پایان توقف]]&lt;&gt;"",Table1[[#This Row],[زمان رفع توقف]]-Table1[[#This Row],[زمان توقف]],"")/60),"")</f>
        <v>0.43333333333333335</v>
      </c>
      <c r="AA172" s="3">
        <f>VLOOKUP(E172,Table4[],4,0)</f>
        <v>24</v>
      </c>
      <c r="AB172" s="3">
        <f>VLOOKUP(E172,Table4[],5,0)</f>
        <v>0.2</v>
      </c>
      <c r="AC172" s="3">
        <v>360</v>
      </c>
      <c r="AD172" s="3">
        <f>VLOOKUP(E172,Table4[],7,0)</f>
        <v>720</v>
      </c>
      <c r="AE172" s="83">
        <f>IF(Table1[[#This Row],[زمان آخرین رفع توقف قبل از توقف فعلی]]="","",(Table1[[#This Row],[زمان توقف]]-Table1[[#This Row],[زمان آخرین رفع توقف قبل از توقف فعلی]])/60)</f>
        <v>217.75</v>
      </c>
      <c r="AF17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738160395</v>
      </c>
    </row>
    <row r="173" spans="1:32">
      <c r="A173" s="36">
        <v>174</v>
      </c>
      <c r="B173" s="36" t="s">
        <v>98</v>
      </c>
      <c r="C173" s="36" t="s">
        <v>1047</v>
      </c>
      <c r="D173" s="36" t="s">
        <v>1083</v>
      </c>
      <c r="E173" s="85" t="s">
        <v>73</v>
      </c>
      <c r="F173" s="36" t="s">
        <v>12</v>
      </c>
      <c r="G173" s="56" t="s">
        <v>1084</v>
      </c>
      <c r="H173" s="53">
        <v>0.34722222222222221</v>
      </c>
      <c r="I173" s="6" t="str">
        <f>LEFT(Table1[[#This Row],[تاریخ توقف]],4)</f>
        <v>1404</v>
      </c>
      <c r="J173" s="6" t="str">
        <f>VLOOKUP(Table1[[#This Row],[ماه توقف]],Table2[],3,0)</f>
        <v>تابستان</v>
      </c>
      <c r="K173" s="3">
        <f>_xlfn.NUMBERVALUE(RIGHT(LEFT(Table1[[#This Row],[تاریخ توقف]],7),2))</f>
        <v>6</v>
      </c>
      <c r="L173" s="3" t="str">
        <f>RIGHT(LEFT(Table1[[#This Row],[تاریخ توقف]],10),2)</f>
        <v>08</v>
      </c>
      <c r="M173" s="3">
        <f>HOUR(Table1[[#This Row],[زمان شروع توقف]])</f>
        <v>8</v>
      </c>
      <c r="N173" s="3">
        <f>MINUTE(Table1[[#This Row],[زمان شروع توقف]])</f>
        <v>20</v>
      </c>
      <c r="O173" s="3">
        <f>((Table1[[#This Row],[سال توقف]]*365+IF(Table1[[#This Row],[ماه توقف]]&lt;7,(Table1[[#This Row],[ماه توقف]]-1)*31,6*31+(Table1[[#This Row],[ماه توقف]]-6-1)*30)+(Table1[[#This Row],[روز توقف]])-1)*24+Table1[[#This Row],[ساعت توقف2]])*60+Table1[[#This Row],[دقیقه توقف]]</f>
        <v>738176180</v>
      </c>
      <c r="P173" s="56" t="s">
        <v>1084</v>
      </c>
      <c r="Q173" s="53">
        <v>0.35486111111111113</v>
      </c>
      <c r="R173" s="3" t="str">
        <f>LEFT(Table1[[#This Row],[تاریخ پایان توقف]],4)</f>
        <v>1404</v>
      </c>
      <c r="S173" s="3" t="str">
        <f>_xlfn.IFNA(VLOOKUP(Table1[[#This Row],[ماه رفع توقف]],Table2[],3,0),"در حال تعمیر")</f>
        <v>تابستان</v>
      </c>
      <c r="T173" s="3">
        <f>_xlfn.NUMBERVALUE(RIGHT(LEFT(Table1[[#This Row],[تاریخ پایان توقف]],7),2))</f>
        <v>6</v>
      </c>
      <c r="U173" s="3" t="str">
        <f>RIGHT(LEFT(Table1[[#This Row],[تاریخ پایان توقف]],10),2)</f>
        <v>08</v>
      </c>
      <c r="V173" s="3">
        <f>HOUR(Table1[[#This Row],[زمان پایان توقف]])</f>
        <v>8</v>
      </c>
      <c r="W173" s="3">
        <f>MINUTE(Table1[[#This Row],[زمان پایان توقف]])</f>
        <v>31</v>
      </c>
      <c r="X17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738176191</v>
      </c>
      <c r="Y173" s="44"/>
      <c r="Z173" s="83">
        <f>IFERROR((IF(Table1[[#This Row],[تاریخ پایان توقف]]&lt;&gt;"",Table1[[#This Row],[زمان رفع توقف]]-Table1[[#This Row],[زمان توقف]],"")/60),"")</f>
        <v>0.18333333333333332</v>
      </c>
      <c r="AA173" s="3">
        <f>VLOOKUP(E173,Table4[],4,0)</f>
        <v>24</v>
      </c>
      <c r="AB173" s="3">
        <f>VLOOKUP(E173,Table4[],5,0)</f>
        <v>0.2</v>
      </c>
      <c r="AC173" s="3">
        <v>360</v>
      </c>
      <c r="AD173" s="3">
        <f>VLOOKUP(E173,Table4[],7,0)</f>
        <v>720</v>
      </c>
      <c r="AE173" s="83">
        <f>IF(Table1[[#This Row],[زمان آخرین رفع توقف قبل از توقف فعلی]]="","",(Table1[[#This Row],[زمان توقف]]-Table1[[#This Row],[زمان آخرین رفع توقف قبل از توقف فعلی]])/60)</f>
        <v>687.83333333333337</v>
      </c>
      <c r="AF17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738134910</v>
      </c>
    </row>
    <row r="174" spans="1:32">
      <c r="A174" s="36">
        <v>175</v>
      </c>
      <c r="B174" s="36" t="s">
        <v>98</v>
      </c>
      <c r="C174" s="36" t="s">
        <v>50</v>
      </c>
      <c r="D174" s="36" t="s">
        <v>45</v>
      </c>
      <c r="E174" s="85" t="s">
        <v>374</v>
      </c>
      <c r="F174" s="36" t="s">
        <v>12</v>
      </c>
      <c r="G174" s="56" t="s">
        <v>1084</v>
      </c>
      <c r="H174" s="53">
        <v>0.60416666666666663</v>
      </c>
      <c r="I174" s="6" t="str">
        <f>LEFT(Table1[[#This Row],[تاریخ توقف]],4)</f>
        <v>1404</v>
      </c>
      <c r="J174" s="6" t="str">
        <f>VLOOKUP(Table1[[#This Row],[ماه توقف]],Table2[],3,0)</f>
        <v>تابستان</v>
      </c>
      <c r="K174" s="3">
        <f>_xlfn.NUMBERVALUE(RIGHT(LEFT(Table1[[#This Row],[تاریخ توقف]],7),2))</f>
        <v>6</v>
      </c>
      <c r="L174" s="3" t="str">
        <f>RIGHT(LEFT(Table1[[#This Row],[تاریخ توقف]],10),2)</f>
        <v>08</v>
      </c>
      <c r="M174" s="3">
        <f>HOUR(Table1[[#This Row],[زمان شروع توقف]])</f>
        <v>14</v>
      </c>
      <c r="N174" s="3">
        <f>MINUTE(Table1[[#This Row],[زمان شروع توقف]])</f>
        <v>30</v>
      </c>
      <c r="O174" s="3">
        <f>((Table1[[#This Row],[سال توقف]]*365+IF(Table1[[#This Row],[ماه توقف]]&lt;7,(Table1[[#This Row],[ماه توقف]]-1)*31,6*31+(Table1[[#This Row],[ماه توقف]]-6-1)*30)+(Table1[[#This Row],[روز توقف]])-1)*24+Table1[[#This Row],[ساعت توقف2]])*60+Table1[[#This Row],[دقیقه توقف]]</f>
        <v>738176550</v>
      </c>
      <c r="P174" s="56" t="s">
        <v>1084</v>
      </c>
      <c r="Q174" s="53">
        <v>0.61458333333333337</v>
      </c>
      <c r="R174" s="3" t="str">
        <f>LEFT(Table1[[#This Row],[تاریخ پایان توقف]],4)</f>
        <v>1404</v>
      </c>
      <c r="S174" s="3" t="str">
        <f>_xlfn.IFNA(VLOOKUP(Table1[[#This Row],[ماه رفع توقف]],Table2[],3,0),"در حال تعمیر")</f>
        <v>تابستان</v>
      </c>
      <c r="T174" s="3">
        <f>_xlfn.NUMBERVALUE(RIGHT(LEFT(Table1[[#This Row],[تاریخ پایان توقف]],7),2))</f>
        <v>6</v>
      </c>
      <c r="U174" s="3" t="str">
        <f>RIGHT(LEFT(Table1[[#This Row],[تاریخ پایان توقف]],10),2)</f>
        <v>08</v>
      </c>
      <c r="V174" s="3">
        <f>HOUR(Table1[[#This Row],[زمان پایان توقف]])</f>
        <v>14</v>
      </c>
      <c r="W174" s="3">
        <f>MINUTE(Table1[[#This Row],[زمان پایان توقف]])</f>
        <v>45</v>
      </c>
      <c r="X17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738176565</v>
      </c>
      <c r="Y174" s="44"/>
      <c r="Z174" s="83">
        <f>IFERROR((IF(Table1[[#This Row],[تاریخ پایان توقف]]&lt;&gt;"",Table1[[#This Row],[زمان رفع توقف]]-Table1[[#This Row],[زمان توقف]],"")/60),"")</f>
        <v>0.25</v>
      </c>
      <c r="AA174" s="3">
        <f>VLOOKUP(E174,Table4[],4,0)</f>
        <v>24</v>
      </c>
      <c r="AB174" s="3">
        <f>VLOOKUP(E174,Table4[],5,0)</f>
        <v>0.2</v>
      </c>
      <c r="AC174" s="3">
        <v>360</v>
      </c>
      <c r="AD174" s="3">
        <f>VLOOKUP(E174,Table4[],7,0)</f>
        <v>720</v>
      </c>
      <c r="AE174" s="83">
        <f>IF(Table1[[#This Row],[زمان آخرین رفع توقف قبل از توقف فعلی]]="","",(Table1[[#This Row],[زمان توقف]]-Table1[[#This Row],[زمان آخرین رفع توقف قبل از توقف فعلی]])/60)</f>
        <v>51.06666666666667</v>
      </c>
      <c r="AF17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738173486</v>
      </c>
    </row>
    <row r="175" spans="1:32">
      <c r="A175" s="36">
        <v>176</v>
      </c>
      <c r="B175" s="36" t="s">
        <v>98</v>
      </c>
      <c r="C175" s="36" t="s">
        <v>881</v>
      </c>
      <c r="D175" s="36" t="s">
        <v>905</v>
      </c>
      <c r="E175" s="85" t="s">
        <v>91</v>
      </c>
      <c r="F175" s="36" t="s">
        <v>12</v>
      </c>
      <c r="G175" s="56" t="s">
        <v>1085</v>
      </c>
      <c r="H175" s="53">
        <v>0.38541666666666669</v>
      </c>
      <c r="I175" s="6" t="str">
        <f>LEFT(Table1[[#This Row],[تاریخ توقف]],4)</f>
        <v>1404</v>
      </c>
      <c r="J175" s="6" t="str">
        <f>VLOOKUP(Table1[[#This Row],[ماه توقف]],Table2[],3,0)</f>
        <v>تابستان</v>
      </c>
      <c r="K175" s="3">
        <f>_xlfn.NUMBERVALUE(RIGHT(LEFT(Table1[[#This Row],[تاریخ توقف]],7),2))</f>
        <v>6</v>
      </c>
      <c r="L175" s="3" t="str">
        <f>RIGHT(LEFT(Table1[[#This Row],[تاریخ توقف]],10),2)</f>
        <v>09</v>
      </c>
      <c r="M175" s="3">
        <f>HOUR(Table1[[#This Row],[زمان شروع توقف]])</f>
        <v>9</v>
      </c>
      <c r="N175" s="3">
        <f>MINUTE(Table1[[#This Row],[زمان شروع توقف]])</f>
        <v>15</v>
      </c>
      <c r="O175" s="3">
        <f>((Table1[[#This Row],[سال توقف]]*365+IF(Table1[[#This Row],[ماه توقف]]&lt;7,(Table1[[#This Row],[ماه توقف]]-1)*31,6*31+(Table1[[#This Row],[ماه توقف]]-6-1)*30)+(Table1[[#This Row],[روز توقف]])-1)*24+Table1[[#This Row],[ساعت توقف2]])*60+Table1[[#This Row],[دقیقه توقف]]</f>
        <v>738177675</v>
      </c>
      <c r="P175" s="56" t="s">
        <v>1085</v>
      </c>
      <c r="Q175" s="53">
        <v>0.49652777777777779</v>
      </c>
      <c r="R175" s="3" t="str">
        <f>LEFT(Table1[[#This Row],[تاریخ پایان توقف]],4)</f>
        <v>1404</v>
      </c>
      <c r="S175" s="3" t="str">
        <f>_xlfn.IFNA(VLOOKUP(Table1[[#This Row],[ماه رفع توقف]],Table2[],3,0),"در حال تعمیر")</f>
        <v>تابستان</v>
      </c>
      <c r="T175" s="3">
        <f>_xlfn.NUMBERVALUE(RIGHT(LEFT(Table1[[#This Row],[تاریخ پایان توقف]],7),2))</f>
        <v>6</v>
      </c>
      <c r="U175" s="3" t="str">
        <f>RIGHT(LEFT(Table1[[#This Row],[تاریخ پایان توقف]],10),2)</f>
        <v>09</v>
      </c>
      <c r="V175" s="3">
        <f>HOUR(Table1[[#This Row],[زمان پایان توقف]])</f>
        <v>11</v>
      </c>
      <c r="W175" s="3">
        <f>MINUTE(Table1[[#This Row],[زمان پایان توقف]])</f>
        <v>55</v>
      </c>
      <c r="X17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738177835</v>
      </c>
      <c r="Y175" s="44" t="s">
        <v>1223</v>
      </c>
      <c r="Z175" s="83">
        <f>IFERROR((IF(Table1[[#This Row],[تاریخ پایان توقف]]&lt;&gt;"",Table1[[#This Row],[زمان رفع توقف]]-Table1[[#This Row],[زمان توقف]],"")/60),"")</f>
        <v>2.6666666666666665</v>
      </c>
      <c r="AA175" s="3">
        <f>VLOOKUP(E175,Table4[],4,0)</f>
        <v>24</v>
      </c>
      <c r="AB175" s="3">
        <f>VLOOKUP(E175,Table4[],5,0)</f>
        <v>0.2</v>
      </c>
      <c r="AC175" s="3">
        <v>360</v>
      </c>
      <c r="AD175" s="3">
        <f>VLOOKUP(E175,Table4[],7,0)</f>
        <v>720</v>
      </c>
      <c r="AE175" s="83">
        <f>IF(Table1[[#This Row],[زمان آخرین رفع توقف قبل از توقف فعلی]]="","",(Table1[[#This Row],[زمان توقف]]-Table1[[#This Row],[زمان آخرین رفع توقف قبل از توقف فعلی]])/60)</f>
        <v>88.75</v>
      </c>
      <c r="AF17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738172350</v>
      </c>
    </row>
    <row r="176" spans="1:32">
      <c r="A176" s="36">
        <v>177</v>
      </c>
      <c r="B176" s="36" t="s">
        <v>98</v>
      </c>
      <c r="C176" s="36" t="s">
        <v>633</v>
      </c>
      <c r="D176" s="36" t="s">
        <v>34</v>
      </c>
      <c r="E176" s="85" t="s">
        <v>53</v>
      </c>
      <c r="F176" s="36" t="s">
        <v>12</v>
      </c>
      <c r="G176" s="56" t="s">
        <v>1086</v>
      </c>
      <c r="H176" s="53">
        <v>0.39166666666666666</v>
      </c>
      <c r="I176" s="6" t="str">
        <f>LEFT(Table1[[#This Row],[تاریخ توقف]],4)</f>
        <v>1404</v>
      </c>
      <c r="J176" s="6" t="str">
        <f>VLOOKUP(Table1[[#This Row],[ماه توقف]],Table2[],3,0)</f>
        <v>تابستان</v>
      </c>
      <c r="K176" s="3">
        <f>_xlfn.NUMBERVALUE(RIGHT(LEFT(Table1[[#This Row],[تاریخ توقف]],7),2))</f>
        <v>6</v>
      </c>
      <c r="L176" s="3" t="str">
        <f>RIGHT(LEFT(Table1[[#This Row],[تاریخ توقف]],10),2)</f>
        <v>11</v>
      </c>
      <c r="M176" s="3">
        <f>HOUR(Table1[[#This Row],[زمان شروع توقف]])</f>
        <v>9</v>
      </c>
      <c r="N176" s="3">
        <f>MINUTE(Table1[[#This Row],[زمان شروع توقف]])</f>
        <v>24</v>
      </c>
      <c r="O176" s="3">
        <f>((Table1[[#This Row],[سال توقف]]*365+IF(Table1[[#This Row],[ماه توقف]]&lt;7,(Table1[[#This Row],[ماه توقف]]-1)*31,6*31+(Table1[[#This Row],[ماه توقف]]-6-1)*30)+(Table1[[#This Row],[روز توقف]])-1)*24+Table1[[#This Row],[ساعت توقف2]])*60+Table1[[#This Row],[دقیقه توقف]]</f>
        <v>738180564</v>
      </c>
      <c r="P176" s="56" t="s">
        <v>1086</v>
      </c>
      <c r="Q176" s="53">
        <v>0.40277777777777779</v>
      </c>
      <c r="R176" s="3" t="str">
        <f>LEFT(Table1[[#This Row],[تاریخ پایان توقف]],4)</f>
        <v>1404</v>
      </c>
      <c r="S176" s="3" t="str">
        <f>_xlfn.IFNA(VLOOKUP(Table1[[#This Row],[ماه رفع توقف]],Table2[],3,0),"در حال تعمیر")</f>
        <v>تابستان</v>
      </c>
      <c r="T176" s="3">
        <f>_xlfn.NUMBERVALUE(RIGHT(LEFT(Table1[[#This Row],[تاریخ پایان توقف]],7),2))</f>
        <v>6</v>
      </c>
      <c r="U176" s="3" t="str">
        <f>RIGHT(LEFT(Table1[[#This Row],[تاریخ پایان توقف]],10),2)</f>
        <v>11</v>
      </c>
      <c r="V176" s="3">
        <f>HOUR(Table1[[#This Row],[زمان پایان توقف]])</f>
        <v>9</v>
      </c>
      <c r="W176" s="3">
        <f>MINUTE(Table1[[#This Row],[زمان پایان توقف]])</f>
        <v>40</v>
      </c>
      <c r="X17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738180580</v>
      </c>
      <c r="Y176" s="44" t="s">
        <v>1224</v>
      </c>
      <c r="Z176" s="83">
        <f>IFERROR((IF(Table1[[#This Row],[تاریخ پایان توقف]]&lt;&gt;"",Table1[[#This Row],[زمان رفع توقف]]-Table1[[#This Row],[زمان توقف]],"")/60),"")</f>
        <v>0.26666666666666666</v>
      </c>
      <c r="AA176" s="3">
        <f>VLOOKUP(E176,Table4[],4,0)</f>
        <v>24</v>
      </c>
      <c r="AB176" s="3">
        <f>VLOOKUP(E176,Table4[],5,0)</f>
        <v>0.2</v>
      </c>
      <c r="AC176" s="3">
        <v>360</v>
      </c>
      <c r="AD176" s="3">
        <f>VLOOKUP(E176,Table4[],7,0)</f>
        <v>720</v>
      </c>
      <c r="AE176" s="83">
        <f>IF(Table1[[#This Row],[زمان آخرین رفع توقف قبل از توقف فعلی]]="","",(Table1[[#This Row],[زمان توقف]]-Table1[[#This Row],[زمان آخرین رفع توقف قبل از توقف فعلی]])/60)</f>
        <v>4406.2833333333338</v>
      </c>
      <c r="AF17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737916187</v>
      </c>
    </row>
    <row r="177" spans="1:32">
      <c r="A177" s="36">
        <v>178</v>
      </c>
      <c r="B177" s="36" t="s">
        <v>98</v>
      </c>
      <c r="C177" s="36" t="s">
        <v>1087</v>
      </c>
      <c r="D177" s="36" t="s">
        <v>1088</v>
      </c>
      <c r="E177" s="85" t="s">
        <v>1089</v>
      </c>
      <c r="F177" s="36" t="s">
        <v>12</v>
      </c>
      <c r="G177" s="56" t="s">
        <v>1086</v>
      </c>
      <c r="H177" s="53">
        <v>0.60902777777777772</v>
      </c>
      <c r="I177" s="6" t="str">
        <f>LEFT(Table1[[#This Row],[تاریخ توقف]],4)</f>
        <v>1404</v>
      </c>
      <c r="J177" s="6" t="str">
        <f>VLOOKUP(Table1[[#This Row],[ماه توقف]],Table2[],3,0)</f>
        <v>تابستان</v>
      </c>
      <c r="K177" s="3">
        <f>_xlfn.NUMBERVALUE(RIGHT(LEFT(Table1[[#This Row],[تاریخ توقف]],7),2))</f>
        <v>6</v>
      </c>
      <c r="L177" s="3" t="str">
        <f>RIGHT(LEFT(Table1[[#This Row],[تاریخ توقف]],10),2)</f>
        <v>11</v>
      </c>
      <c r="M177" s="3">
        <f>HOUR(Table1[[#This Row],[زمان شروع توقف]])</f>
        <v>14</v>
      </c>
      <c r="N177" s="3">
        <f>MINUTE(Table1[[#This Row],[زمان شروع توقف]])</f>
        <v>37</v>
      </c>
      <c r="O177" s="3">
        <f>((Table1[[#This Row],[سال توقف]]*365+IF(Table1[[#This Row],[ماه توقف]]&lt;7,(Table1[[#This Row],[ماه توقف]]-1)*31,6*31+(Table1[[#This Row],[ماه توقف]]-6-1)*30)+(Table1[[#This Row],[روز توقف]])-1)*24+Table1[[#This Row],[ساعت توقف2]])*60+Table1[[#This Row],[دقیقه توقف]]</f>
        <v>738180877</v>
      </c>
      <c r="P177" s="56" t="s">
        <v>1314</v>
      </c>
      <c r="Q177" s="53">
        <v>0.44444444444444398</v>
      </c>
      <c r="R177" s="3" t="str">
        <f>LEFT(Table1[[#This Row],[تاریخ پایان توقف]],4)</f>
        <v>1404</v>
      </c>
      <c r="S177" s="3" t="str">
        <f>_xlfn.IFNA(VLOOKUP(Table1[[#This Row],[ماه رفع توقف]],Table2[],3,0),"در حال تعمیر")</f>
        <v>پاییز</v>
      </c>
      <c r="T177" s="3">
        <f>_xlfn.NUMBERVALUE(RIGHT(LEFT(Table1[[#This Row],[تاریخ پایان توقف]],7),2))</f>
        <v>7</v>
      </c>
      <c r="U177" s="3" t="str">
        <f>RIGHT(LEFT(Table1[[#This Row],[تاریخ پایان توقف]],10),2)</f>
        <v>12</v>
      </c>
      <c r="V177" s="3">
        <f>HOUR(Table1[[#This Row],[زمان پایان توقف]])</f>
        <v>10</v>
      </c>
      <c r="W177" s="3">
        <f>MINUTE(Table1[[#This Row],[زمان پایان توقف]])</f>
        <v>40</v>
      </c>
      <c r="X17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738226720</v>
      </c>
      <c r="Y177" s="44" t="s">
        <v>1225</v>
      </c>
      <c r="Z177" s="83">
        <f>IFERROR((IF(Table1[[#This Row],[تاریخ پایان توقف]]&lt;&gt;"",Table1[[#This Row],[زمان رفع توقف]]-Table1[[#This Row],[زمان توقف]],"")/60),"")</f>
        <v>764.05</v>
      </c>
      <c r="AA177" s="3">
        <f>VLOOKUP(E177,Table4[],4,0)</f>
        <v>24</v>
      </c>
      <c r="AB177" s="3">
        <f>VLOOKUP(E177,Table4[],5,0)</f>
        <v>0.2</v>
      </c>
      <c r="AC177" s="3">
        <v>360</v>
      </c>
      <c r="AD177" s="3">
        <f>VLOOKUP(E177,Table4[],7,0)</f>
        <v>720</v>
      </c>
      <c r="AE177" s="83" t="str">
        <f>IF(Table1[[#This Row],[زمان آخرین رفع توقف قبل از توقف فعلی]]="","",(Table1[[#This Row],[زمان توقف]]-Table1[[#This Row],[زمان آخرین رفع توقف قبل از توقف فعلی]])/60)</f>
        <v/>
      </c>
      <c r="AF17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178" spans="1:32">
      <c r="A178" s="36">
        <v>179</v>
      </c>
      <c r="B178" s="36" t="s">
        <v>98</v>
      </c>
      <c r="C178" s="36" t="s">
        <v>50</v>
      </c>
      <c r="D178" s="36" t="s">
        <v>45</v>
      </c>
      <c r="E178" s="85" t="s">
        <v>374</v>
      </c>
      <c r="F178" s="36" t="s">
        <v>12</v>
      </c>
      <c r="G178" s="56" t="s">
        <v>1090</v>
      </c>
      <c r="H178" s="53">
        <v>0.92638888888888893</v>
      </c>
      <c r="I178" s="6" t="str">
        <f>LEFT(Table1[[#This Row],[تاریخ توقف]],4)</f>
        <v>1404</v>
      </c>
      <c r="J178" s="6" t="str">
        <f>VLOOKUP(Table1[[#This Row],[ماه توقف]],Table2[],3,0)</f>
        <v>تابستان</v>
      </c>
      <c r="K178" s="3">
        <f>_xlfn.NUMBERVALUE(RIGHT(LEFT(Table1[[#This Row],[تاریخ توقف]],7),2))</f>
        <v>6</v>
      </c>
      <c r="L178" s="3" t="str">
        <f>RIGHT(LEFT(Table1[[#This Row],[تاریخ توقف]],10),2)</f>
        <v>17</v>
      </c>
      <c r="M178" s="3">
        <f>HOUR(Table1[[#This Row],[زمان شروع توقف]])</f>
        <v>22</v>
      </c>
      <c r="N178" s="3">
        <f>MINUTE(Table1[[#This Row],[زمان شروع توقف]])</f>
        <v>14</v>
      </c>
      <c r="O178" s="3">
        <f>((Table1[[#This Row],[سال توقف]]*365+IF(Table1[[#This Row],[ماه توقف]]&lt;7,(Table1[[#This Row],[ماه توقف]]-1)*31,6*31+(Table1[[#This Row],[ماه توقف]]-6-1)*30)+(Table1[[#This Row],[روز توقف]])-1)*24+Table1[[#This Row],[ساعت توقف2]])*60+Table1[[#This Row],[دقیقه توقف]]</f>
        <v>738189974</v>
      </c>
      <c r="P178" s="56" t="s">
        <v>1090</v>
      </c>
      <c r="Q178" s="53">
        <v>0.95</v>
      </c>
      <c r="R178" s="3" t="str">
        <f>LEFT(Table1[[#This Row],[تاریخ پایان توقف]],4)</f>
        <v>1404</v>
      </c>
      <c r="S178" s="3" t="str">
        <f>_xlfn.IFNA(VLOOKUP(Table1[[#This Row],[ماه رفع توقف]],Table2[],3,0),"در حال تعمیر")</f>
        <v>تابستان</v>
      </c>
      <c r="T178" s="3">
        <f>_xlfn.NUMBERVALUE(RIGHT(LEFT(Table1[[#This Row],[تاریخ پایان توقف]],7),2))</f>
        <v>6</v>
      </c>
      <c r="U178" s="3" t="str">
        <f>RIGHT(LEFT(Table1[[#This Row],[تاریخ پایان توقف]],10),2)</f>
        <v>17</v>
      </c>
      <c r="V178" s="3">
        <f>HOUR(Table1[[#This Row],[زمان پایان توقف]])</f>
        <v>22</v>
      </c>
      <c r="W178" s="3">
        <f>MINUTE(Table1[[#This Row],[زمان پایان توقف]])</f>
        <v>48</v>
      </c>
      <c r="X17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738190008</v>
      </c>
      <c r="Y178" s="44" t="s">
        <v>1226</v>
      </c>
      <c r="Z178" s="83">
        <f>IFERROR((IF(Table1[[#This Row],[تاریخ پایان توقف]]&lt;&gt;"",Table1[[#This Row],[زمان رفع توقف]]-Table1[[#This Row],[زمان توقف]],"")/60),"")</f>
        <v>0.56666666666666665</v>
      </c>
      <c r="AA178" s="3">
        <f>VLOOKUP(E178,Table4[],4,0)</f>
        <v>24</v>
      </c>
      <c r="AB178" s="3">
        <f>VLOOKUP(E178,Table4[],5,0)</f>
        <v>0.2</v>
      </c>
      <c r="AC178" s="3">
        <v>360</v>
      </c>
      <c r="AD178" s="3">
        <f>VLOOKUP(E178,Table4[],7,0)</f>
        <v>720</v>
      </c>
      <c r="AE178" s="83">
        <f>IF(Table1[[#This Row],[زمان آخرین رفع توقف قبل از توقف فعلی]]="","",(Table1[[#This Row],[زمان توقف]]-Table1[[#This Row],[زمان آخرین رفع توقف قبل از توقف فعلی]])/60)</f>
        <v>223.48333333333332</v>
      </c>
      <c r="AF17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738176565</v>
      </c>
    </row>
    <row r="179" spans="1:32">
      <c r="A179" s="36">
        <v>180</v>
      </c>
      <c r="B179" s="36" t="s">
        <v>98</v>
      </c>
      <c r="C179" s="36" t="s">
        <v>50</v>
      </c>
      <c r="D179" s="36" t="s">
        <v>45</v>
      </c>
      <c r="E179" s="85" t="s">
        <v>374</v>
      </c>
      <c r="F179" s="36" t="s">
        <v>12</v>
      </c>
      <c r="G179" s="56" t="s">
        <v>1091</v>
      </c>
      <c r="H179" s="53">
        <v>0.47013888888888888</v>
      </c>
      <c r="I179" s="6" t="str">
        <f>LEFT(Table1[[#This Row],[تاریخ توقف]],4)</f>
        <v>1404</v>
      </c>
      <c r="J179" s="6" t="str">
        <f>VLOOKUP(Table1[[#This Row],[ماه توقف]],Table2[],3,0)</f>
        <v>تابستان</v>
      </c>
      <c r="K179" s="3">
        <f>_xlfn.NUMBERVALUE(RIGHT(LEFT(Table1[[#This Row],[تاریخ توقف]],7),2))</f>
        <v>6</v>
      </c>
      <c r="L179" s="3" t="str">
        <f>RIGHT(LEFT(Table1[[#This Row],[تاریخ توقف]],10),2)</f>
        <v>18</v>
      </c>
      <c r="M179" s="3">
        <f>HOUR(Table1[[#This Row],[زمان شروع توقف]])</f>
        <v>11</v>
      </c>
      <c r="N179" s="3">
        <f>MINUTE(Table1[[#This Row],[زمان شروع توقف]])</f>
        <v>17</v>
      </c>
      <c r="O179" s="3">
        <f>((Table1[[#This Row],[سال توقف]]*365+IF(Table1[[#This Row],[ماه توقف]]&lt;7,(Table1[[#This Row],[ماه توقف]]-1)*31,6*31+(Table1[[#This Row],[ماه توقف]]-6-1)*30)+(Table1[[#This Row],[روز توقف]])-1)*24+Table1[[#This Row],[ساعت توقف2]])*60+Table1[[#This Row],[دقیقه توقف]]</f>
        <v>738190757</v>
      </c>
      <c r="P179" s="56" t="s">
        <v>1091</v>
      </c>
      <c r="Q179" s="53">
        <v>0.4826388888888889</v>
      </c>
      <c r="R179" s="3" t="str">
        <f>LEFT(Table1[[#This Row],[تاریخ پایان توقف]],4)</f>
        <v>1404</v>
      </c>
      <c r="S179" s="3" t="str">
        <f>_xlfn.IFNA(VLOOKUP(Table1[[#This Row],[ماه رفع توقف]],Table2[],3,0),"در حال تعمیر")</f>
        <v>تابستان</v>
      </c>
      <c r="T179" s="3">
        <f>_xlfn.NUMBERVALUE(RIGHT(LEFT(Table1[[#This Row],[تاریخ پایان توقف]],7),2))</f>
        <v>6</v>
      </c>
      <c r="U179" s="3" t="str">
        <f>RIGHT(LEFT(Table1[[#This Row],[تاریخ پایان توقف]],10),2)</f>
        <v>18</v>
      </c>
      <c r="V179" s="3">
        <f>HOUR(Table1[[#This Row],[زمان پایان توقف]])</f>
        <v>11</v>
      </c>
      <c r="W179" s="3">
        <f>MINUTE(Table1[[#This Row],[زمان پایان توقف]])</f>
        <v>35</v>
      </c>
      <c r="X17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738190775</v>
      </c>
      <c r="Y179" s="44" t="s">
        <v>1227</v>
      </c>
      <c r="Z179" s="83">
        <f>IFERROR((IF(Table1[[#This Row],[تاریخ پایان توقف]]&lt;&gt;"",Table1[[#This Row],[زمان رفع توقف]]-Table1[[#This Row],[زمان توقف]],"")/60),"")</f>
        <v>0.3</v>
      </c>
      <c r="AA179" s="3">
        <f>VLOOKUP(E179,Table4[],4,0)</f>
        <v>24</v>
      </c>
      <c r="AB179" s="3">
        <f>VLOOKUP(E179,Table4[],5,0)</f>
        <v>0.2</v>
      </c>
      <c r="AC179" s="3">
        <v>360</v>
      </c>
      <c r="AD179" s="3">
        <f>VLOOKUP(E179,Table4[],7,0)</f>
        <v>720</v>
      </c>
      <c r="AE179" s="83">
        <f>IF(Table1[[#This Row],[زمان آخرین رفع توقف قبل از توقف فعلی]]="","",(Table1[[#This Row],[زمان توقف]]-Table1[[#This Row],[زمان آخرین رفع توقف قبل از توقف فعلی]])/60)</f>
        <v>12.483333333333333</v>
      </c>
      <c r="AF17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738190008</v>
      </c>
    </row>
    <row r="180" spans="1:32" ht="60">
      <c r="A180" s="36">
        <v>181</v>
      </c>
      <c r="B180" s="36" t="s">
        <v>97</v>
      </c>
      <c r="C180" s="36" t="s">
        <v>633</v>
      </c>
      <c r="D180" s="36" t="s">
        <v>34</v>
      </c>
      <c r="E180" s="85" t="s">
        <v>53</v>
      </c>
      <c r="F180" s="36" t="s">
        <v>12</v>
      </c>
      <c r="G180" s="56" t="s">
        <v>1092</v>
      </c>
      <c r="H180" s="53">
        <v>0.3888888888888889</v>
      </c>
      <c r="I180" s="6" t="str">
        <f>LEFT(Table1[[#This Row],[تاریخ توقف]],4)</f>
        <v>1404</v>
      </c>
      <c r="J180" s="6" t="str">
        <f>VLOOKUP(Table1[[#This Row],[ماه توقف]],Table2[],3,0)</f>
        <v>تابستان</v>
      </c>
      <c r="K180" s="3">
        <f>_xlfn.NUMBERVALUE(RIGHT(LEFT(Table1[[#This Row],[تاریخ توقف]],7),2))</f>
        <v>6</v>
      </c>
      <c r="L180" s="3" t="str">
        <f>RIGHT(LEFT(Table1[[#This Row],[تاریخ توقف]],10),2)</f>
        <v>19</v>
      </c>
      <c r="M180" s="3">
        <f>HOUR(Table1[[#This Row],[زمان شروع توقف]])</f>
        <v>9</v>
      </c>
      <c r="N180" s="3">
        <f>MINUTE(Table1[[#This Row],[زمان شروع توقف]])</f>
        <v>20</v>
      </c>
      <c r="O180" s="3">
        <f>((Table1[[#This Row],[سال توقف]]*365+IF(Table1[[#This Row],[ماه توقف]]&lt;7,(Table1[[#This Row],[ماه توقف]]-1)*31,6*31+(Table1[[#This Row],[ماه توقف]]-6-1)*30)+(Table1[[#This Row],[روز توقف]])-1)*24+Table1[[#This Row],[ساعت توقف2]])*60+Table1[[#This Row],[دقیقه توقف]]</f>
        <v>738192080</v>
      </c>
      <c r="P180" s="56" t="s">
        <v>1092</v>
      </c>
      <c r="Q180" s="53">
        <v>0.40972222222222221</v>
      </c>
      <c r="R180" s="3" t="str">
        <f>LEFT(Table1[[#This Row],[تاریخ پایان توقف]],4)</f>
        <v>1404</v>
      </c>
      <c r="S180" s="3" t="str">
        <f>_xlfn.IFNA(VLOOKUP(Table1[[#This Row],[ماه رفع توقف]],Table2[],3,0),"در حال تعمیر")</f>
        <v>تابستان</v>
      </c>
      <c r="T180" s="3">
        <f>_xlfn.NUMBERVALUE(RIGHT(LEFT(Table1[[#This Row],[تاریخ پایان توقف]],7),2))</f>
        <v>6</v>
      </c>
      <c r="U180" s="3" t="str">
        <f>RIGHT(LEFT(Table1[[#This Row],[تاریخ پایان توقف]],10),2)</f>
        <v>19</v>
      </c>
      <c r="V180" s="3">
        <f>HOUR(Table1[[#This Row],[زمان پایان توقف]])</f>
        <v>9</v>
      </c>
      <c r="W180" s="3">
        <f>MINUTE(Table1[[#This Row],[زمان پایان توقف]])</f>
        <v>50</v>
      </c>
      <c r="X18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738192110</v>
      </c>
      <c r="Y180" s="49" t="s">
        <v>1228</v>
      </c>
      <c r="Z180" s="83">
        <f>IFERROR((IF(Table1[[#This Row],[تاریخ پایان توقف]]&lt;&gt;"",Table1[[#This Row],[زمان رفع توقف]]-Table1[[#This Row],[زمان توقف]],"")/60),"")</f>
        <v>0.5</v>
      </c>
      <c r="AA180" s="3">
        <f>VLOOKUP(E180,Table4[],4,0)</f>
        <v>24</v>
      </c>
      <c r="AB180" s="3">
        <f>VLOOKUP(E180,Table4[],5,0)</f>
        <v>0.2</v>
      </c>
      <c r="AC180" s="3">
        <v>360</v>
      </c>
      <c r="AD180" s="3">
        <f>VLOOKUP(E180,Table4[],7,0)</f>
        <v>720</v>
      </c>
      <c r="AE180" s="83">
        <f>IF(Table1[[#This Row],[زمان آخرین رفع توقف قبل از توقف فعلی]]="","",(Table1[[#This Row],[زمان توقف]]-Table1[[#This Row],[زمان آخرین رفع توقف قبل از توقف فعلی]])/60)</f>
        <v>191.66666666666666</v>
      </c>
      <c r="AF18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738180580</v>
      </c>
    </row>
    <row r="181" spans="1:32">
      <c r="A181" s="36">
        <v>182</v>
      </c>
      <c r="B181" s="36" t="s">
        <v>99</v>
      </c>
      <c r="C181" s="36" t="s">
        <v>1093</v>
      </c>
      <c r="D181" s="36" t="s">
        <v>1078</v>
      </c>
      <c r="E181" s="85" t="s">
        <v>1079</v>
      </c>
      <c r="F181" s="36" t="s">
        <v>12</v>
      </c>
      <c r="G181" s="56" t="s">
        <v>1094</v>
      </c>
      <c r="H181" s="53">
        <v>0.81944444444444442</v>
      </c>
      <c r="I181" s="6" t="str">
        <f>LEFT(Table1[[#This Row],[تاریخ توقف]],4)</f>
        <v>1404</v>
      </c>
      <c r="J181" s="6" t="str">
        <f>VLOOKUP(Table1[[#This Row],[ماه توقف]],Table2[],3,0)</f>
        <v>تابستان</v>
      </c>
      <c r="K181" s="3">
        <f>_xlfn.NUMBERVALUE(RIGHT(LEFT(Table1[[#This Row],[تاریخ توقف]],7),2))</f>
        <v>6</v>
      </c>
      <c r="L181" s="3" t="str">
        <f>RIGHT(LEFT(Table1[[#This Row],[تاریخ توقف]],10),2)</f>
        <v>23</v>
      </c>
      <c r="M181" s="3">
        <f>HOUR(Table1[[#This Row],[زمان شروع توقف]])</f>
        <v>19</v>
      </c>
      <c r="N181" s="3">
        <f>MINUTE(Table1[[#This Row],[زمان شروع توقف]])</f>
        <v>40</v>
      </c>
      <c r="O181" s="3">
        <f>((Table1[[#This Row],[سال توقف]]*365+IF(Table1[[#This Row],[ماه توقف]]&lt;7,(Table1[[#This Row],[ماه توقف]]-1)*31,6*31+(Table1[[#This Row],[ماه توقف]]-6-1)*30)+(Table1[[#This Row],[روز توقف]])-1)*24+Table1[[#This Row],[ساعت توقف2]])*60+Table1[[#This Row],[دقیقه توقف]]</f>
        <v>738198460</v>
      </c>
      <c r="P181" s="56" t="s">
        <v>1094</v>
      </c>
      <c r="Q181" s="53">
        <v>0.88194444444444442</v>
      </c>
      <c r="R181" s="3" t="str">
        <f>LEFT(Table1[[#This Row],[تاریخ پایان توقف]],4)</f>
        <v>1404</v>
      </c>
      <c r="S181" s="3" t="str">
        <f>_xlfn.IFNA(VLOOKUP(Table1[[#This Row],[ماه رفع توقف]],Table2[],3,0),"در حال تعمیر")</f>
        <v>تابستان</v>
      </c>
      <c r="T181" s="3">
        <f>_xlfn.NUMBERVALUE(RIGHT(LEFT(Table1[[#This Row],[تاریخ پایان توقف]],7),2))</f>
        <v>6</v>
      </c>
      <c r="U181" s="3" t="str">
        <f>RIGHT(LEFT(Table1[[#This Row],[تاریخ پایان توقف]],10),2)</f>
        <v>23</v>
      </c>
      <c r="V181" s="3">
        <f>HOUR(Table1[[#This Row],[زمان پایان توقف]])</f>
        <v>21</v>
      </c>
      <c r="W181" s="3">
        <f>MINUTE(Table1[[#This Row],[زمان پایان توقف]])</f>
        <v>10</v>
      </c>
      <c r="X18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738198550</v>
      </c>
      <c r="Y181" s="44" t="s">
        <v>1229</v>
      </c>
      <c r="Z181" s="83">
        <f>IFERROR((IF(Table1[[#This Row],[تاریخ پایان توقف]]&lt;&gt;"",Table1[[#This Row],[زمان رفع توقف]]-Table1[[#This Row],[زمان توقف]],"")/60),"")</f>
        <v>1.5</v>
      </c>
      <c r="AA181" s="3">
        <f>VLOOKUP(E181,Table4[],4,0)</f>
        <v>24</v>
      </c>
      <c r="AB181" s="3">
        <f>VLOOKUP(E181,Table4[],5,0)</f>
        <v>0.2</v>
      </c>
      <c r="AC181" s="3">
        <v>360</v>
      </c>
      <c r="AD181" s="3">
        <f>VLOOKUP(E181,Table4[],7,0)</f>
        <v>720</v>
      </c>
      <c r="AE181" s="83">
        <f>IF(Table1[[#This Row],[زمان آخرین رفع توقف قبل از توقف فعلی]]="","",(Table1[[#This Row],[زمان توقف]]-Table1[[#This Row],[زمان آخرین رفع توقف قبل از توقف فعلی]])/60)</f>
        <v>485.16666666666669</v>
      </c>
      <c r="AF18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738169350</v>
      </c>
    </row>
    <row r="182" spans="1:32">
      <c r="A182" s="36">
        <v>183</v>
      </c>
      <c r="B182" s="36" t="s">
        <v>98</v>
      </c>
      <c r="C182" s="36" t="s">
        <v>1050</v>
      </c>
      <c r="D182" s="36" t="s">
        <v>1095</v>
      </c>
      <c r="E182" s="85" t="s">
        <v>224</v>
      </c>
      <c r="F182" s="36" t="s">
        <v>12</v>
      </c>
      <c r="G182" s="56" t="s">
        <v>1096</v>
      </c>
      <c r="H182" s="53">
        <v>0.56944444444444442</v>
      </c>
      <c r="I182" s="6" t="str">
        <f>LEFT(Table1[[#This Row],[تاریخ توقف]],4)</f>
        <v>1404</v>
      </c>
      <c r="J182" s="6" t="str">
        <f>VLOOKUP(Table1[[#This Row],[ماه توقف]],Table2[],3,0)</f>
        <v>تابستان</v>
      </c>
      <c r="K182" s="3">
        <f>_xlfn.NUMBERVALUE(RIGHT(LEFT(Table1[[#This Row],[تاریخ توقف]],7),2))</f>
        <v>6</v>
      </c>
      <c r="L182" s="3" t="str">
        <f>RIGHT(LEFT(Table1[[#This Row],[تاریخ توقف]],10),2)</f>
        <v>24</v>
      </c>
      <c r="M182" s="3">
        <f>HOUR(Table1[[#This Row],[زمان شروع توقف]])</f>
        <v>13</v>
      </c>
      <c r="N182" s="3">
        <f>MINUTE(Table1[[#This Row],[زمان شروع توقف]])</f>
        <v>40</v>
      </c>
      <c r="O182" s="3">
        <f>((Table1[[#This Row],[سال توقف]]*365+IF(Table1[[#This Row],[ماه توقف]]&lt;7,(Table1[[#This Row],[ماه توقف]]-1)*31,6*31+(Table1[[#This Row],[ماه توقف]]-6-1)*30)+(Table1[[#This Row],[روز توقف]])-1)*24+Table1[[#This Row],[ساعت توقف2]])*60+Table1[[#This Row],[دقیقه توقف]]</f>
        <v>738199540</v>
      </c>
      <c r="P182" s="56" t="s">
        <v>1096</v>
      </c>
      <c r="Q182" s="53">
        <v>0.67361111111111116</v>
      </c>
      <c r="R182" s="3" t="str">
        <f>LEFT(Table1[[#This Row],[تاریخ پایان توقف]],4)</f>
        <v>1404</v>
      </c>
      <c r="S182" s="3" t="str">
        <f>_xlfn.IFNA(VLOOKUP(Table1[[#This Row],[ماه رفع توقف]],Table2[],3,0),"در حال تعمیر")</f>
        <v>تابستان</v>
      </c>
      <c r="T182" s="3">
        <f>_xlfn.NUMBERVALUE(RIGHT(LEFT(Table1[[#This Row],[تاریخ پایان توقف]],7),2))</f>
        <v>6</v>
      </c>
      <c r="U182" s="3" t="str">
        <f>RIGHT(LEFT(Table1[[#This Row],[تاریخ پایان توقف]],10),2)</f>
        <v>24</v>
      </c>
      <c r="V182" s="3">
        <f>HOUR(Table1[[#This Row],[زمان پایان توقف]])</f>
        <v>16</v>
      </c>
      <c r="W182" s="3">
        <f>MINUTE(Table1[[#This Row],[زمان پایان توقف]])</f>
        <v>10</v>
      </c>
      <c r="X18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738199690</v>
      </c>
      <c r="Y182" s="44"/>
      <c r="Z182" s="83">
        <f>IFERROR((IF(Table1[[#This Row],[تاریخ پایان توقف]]&lt;&gt;"",Table1[[#This Row],[زمان رفع توقف]]-Table1[[#This Row],[زمان توقف]],"")/60),"")</f>
        <v>2.5</v>
      </c>
      <c r="AA182" s="3">
        <f>VLOOKUP(E182,Table4[],4,0)</f>
        <v>24</v>
      </c>
      <c r="AB182" s="3">
        <f>VLOOKUP(E182,Table4[],5,0)</f>
        <v>0.2</v>
      </c>
      <c r="AC182" s="3">
        <v>360</v>
      </c>
      <c r="AD182" s="3">
        <f>VLOOKUP(E182,Table4[],7,0)</f>
        <v>720</v>
      </c>
      <c r="AE182" s="83">
        <f>IF(Table1[[#This Row],[زمان آخرین رفع توقف قبل از توقف فعلی]]="","",(Table1[[#This Row],[زمان توقف]]-Table1[[#This Row],[زمان آخرین رفع توقف قبل از توقف فعلی]])/60)</f>
        <v>1012.4166666666666</v>
      </c>
      <c r="AF18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738138795</v>
      </c>
    </row>
    <row r="183" spans="1:32">
      <c r="A183" s="36">
        <v>184</v>
      </c>
      <c r="B183" s="36" t="s">
        <v>99</v>
      </c>
      <c r="C183" s="36" t="s">
        <v>1093</v>
      </c>
      <c r="D183" s="36" t="s">
        <v>1078</v>
      </c>
      <c r="E183" s="85" t="s">
        <v>1079</v>
      </c>
      <c r="F183" s="36" t="s">
        <v>12</v>
      </c>
      <c r="G183" s="56" t="s">
        <v>1096</v>
      </c>
      <c r="H183" s="53">
        <v>0.40625</v>
      </c>
      <c r="I183" s="6" t="str">
        <f>LEFT(Table1[[#This Row],[تاریخ توقف]],4)</f>
        <v>1404</v>
      </c>
      <c r="J183" s="6" t="str">
        <f>VLOOKUP(Table1[[#This Row],[ماه توقف]],Table2[],3,0)</f>
        <v>تابستان</v>
      </c>
      <c r="K183" s="3">
        <f>_xlfn.NUMBERVALUE(RIGHT(LEFT(Table1[[#This Row],[تاریخ توقف]],7),2))</f>
        <v>6</v>
      </c>
      <c r="L183" s="3" t="str">
        <f>RIGHT(LEFT(Table1[[#This Row],[تاریخ توقف]],10),2)</f>
        <v>24</v>
      </c>
      <c r="M183" s="3">
        <f>HOUR(Table1[[#This Row],[زمان شروع توقف]])</f>
        <v>9</v>
      </c>
      <c r="N183" s="3">
        <f>MINUTE(Table1[[#This Row],[زمان شروع توقف]])</f>
        <v>45</v>
      </c>
      <c r="O183" s="3">
        <f>((Table1[[#This Row],[سال توقف]]*365+IF(Table1[[#This Row],[ماه توقف]]&lt;7,(Table1[[#This Row],[ماه توقف]]-1)*31,6*31+(Table1[[#This Row],[ماه توقف]]-6-1)*30)+(Table1[[#This Row],[روز توقف]])-1)*24+Table1[[#This Row],[ساعت توقف2]])*60+Table1[[#This Row],[دقیقه توقف]]</f>
        <v>738199305</v>
      </c>
      <c r="P183" s="56" t="s">
        <v>1096</v>
      </c>
      <c r="Q183" s="53">
        <v>0.4548611111111111</v>
      </c>
      <c r="R183" s="3" t="str">
        <f>LEFT(Table1[[#This Row],[تاریخ پایان توقف]],4)</f>
        <v>1404</v>
      </c>
      <c r="S183" s="3" t="str">
        <f>_xlfn.IFNA(VLOOKUP(Table1[[#This Row],[ماه رفع توقف]],Table2[],3,0),"در حال تعمیر")</f>
        <v>تابستان</v>
      </c>
      <c r="T183" s="3">
        <f>_xlfn.NUMBERVALUE(RIGHT(LEFT(Table1[[#This Row],[تاریخ پایان توقف]],7),2))</f>
        <v>6</v>
      </c>
      <c r="U183" s="3" t="str">
        <f>RIGHT(LEFT(Table1[[#This Row],[تاریخ پایان توقف]],10),2)</f>
        <v>24</v>
      </c>
      <c r="V183" s="3">
        <f>HOUR(Table1[[#This Row],[زمان پایان توقف]])</f>
        <v>10</v>
      </c>
      <c r="W183" s="3">
        <f>MINUTE(Table1[[#This Row],[زمان پایان توقف]])</f>
        <v>55</v>
      </c>
      <c r="X18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738199375</v>
      </c>
      <c r="Y183" s="44" t="s">
        <v>1230</v>
      </c>
      <c r="Z183" s="83">
        <f>IFERROR((IF(Table1[[#This Row],[تاریخ پایان توقف]]&lt;&gt;"",Table1[[#This Row],[زمان رفع توقف]]-Table1[[#This Row],[زمان توقف]],"")/60),"")</f>
        <v>1.1666666666666667</v>
      </c>
      <c r="AA183" s="3">
        <f>VLOOKUP(E183,Table4[],4,0)</f>
        <v>24</v>
      </c>
      <c r="AB183" s="3">
        <f>VLOOKUP(E183,Table4[],5,0)</f>
        <v>0.2</v>
      </c>
      <c r="AC183" s="3">
        <v>360</v>
      </c>
      <c r="AD183" s="3">
        <f>VLOOKUP(E183,Table4[],7,0)</f>
        <v>720</v>
      </c>
      <c r="AE183" s="83">
        <f>IF(Table1[[#This Row],[زمان آخرین رفع توقف قبل از توقف فعلی]]="","",(Table1[[#This Row],[زمان توقف]]-Table1[[#This Row],[زمان آخرین رفع توقف قبل از توقف فعلی]])/60)</f>
        <v>12.583333333333334</v>
      </c>
      <c r="AF18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738198550</v>
      </c>
    </row>
    <row r="184" spans="1:32">
      <c r="A184" s="36">
        <v>185</v>
      </c>
      <c r="B184" s="36" t="s">
        <v>98</v>
      </c>
      <c r="C184" s="36" t="s">
        <v>881</v>
      </c>
      <c r="D184" s="36" t="s">
        <v>905</v>
      </c>
      <c r="E184" s="85" t="s">
        <v>91</v>
      </c>
      <c r="F184" s="36" t="s">
        <v>12</v>
      </c>
      <c r="G184" s="56" t="s">
        <v>1096</v>
      </c>
      <c r="H184" s="53">
        <v>0.78125</v>
      </c>
      <c r="I184" s="6" t="str">
        <f>LEFT(Table1[[#This Row],[تاریخ توقف]],4)</f>
        <v>1404</v>
      </c>
      <c r="J184" s="6" t="str">
        <f>VLOOKUP(Table1[[#This Row],[ماه توقف]],Table2[],3,0)</f>
        <v>تابستان</v>
      </c>
      <c r="K184" s="3">
        <f>_xlfn.NUMBERVALUE(RIGHT(LEFT(Table1[[#This Row],[تاریخ توقف]],7),2))</f>
        <v>6</v>
      </c>
      <c r="L184" s="3" t="str">
        <f>RIGHT(LEFT(Table1[[#This Row],[تاریخ توقف]],10),2)</f>
        <v>24</v>
      </c>
      <c r="M184" s="3">
        <f>HOUR(Table1[[#This Row],[زمان شروع توقف]])</f>
        <v>18</v>
      </c>
      <c r="N184" s="3">
        <f>MINUTE(Table1[[#This Row],[زمان شروع توقف]])</f>
        <v>45</v>
      </c>
      <c r="O184" s="3">
        <f>((Table1[[#This Row],[سال توقف]]*365+IF(Table1[[#This Row],[ماه توقف]]&lt;7,(Table1[[#This Row],[ماه توقف]]-1)*31,6*31+(Table1[[#This Row],[ماه توقف]]-6-1)*30)+(Table1[[#This Row],[روز توقف]])-1)*24+Table1[[#This Row],[ساعت توقف2]])*60+Table1[[#This Row],[دقیقه توقف]]</f>
        <v>738199845</v>
      </c>
      <c r="P184" s="56" t="s">
        <v>1096</v>
      </c>
      <c r="Q184" s="53">
        <v>0.79722222222222228</v>
      </c>
      <c r="R184" s="3" t="str">
        <f>LEFT(Table1[[#This Row],[تاریخ پایان توقف]],4)</f>
        <v>1404</v>
      </c>
      <c r="S184" s="3" t="str">
        <f>_xlfn.IFNA(VLOOKUP(Table1[[#This Row],[ماه رفع توقف]],Table2[],3,0),"در حال تعمیر")</f>
        <v>تابستان</v>
      </c>
      <c r="T184" s="3">
        <f>_xlfn.NUMBERVALUE(RIGHT(LEFT(Table1[[#This Row],[تاریخ پایان توقف]],7),2))</f>
        <v>6</v>
      </c>
      <c r="U184" s="3" t="str">
        <f>RIGHT(LEFT(Table1[[#This Row],[تاریخ پایان توقف]],10),2)</f>
        <v>24</v>
      </c>
      <c r="V184" s="3">
        <f>HOUR(Table1[[#This Row],[زمان پایان توقف]])</f>
        <v>19</v>
      </c>
      <c r="W184" s="3">
        <f>MINUTE(Table1[[#This Row],[زمان پایان توقف]])</f>
        <v>8</v>
      </c>
      <c r="X18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738199868</v>
      </c>
      <c r="Y184" s="44" t="s">
        <v>1231</v>
      </c>
      <c r="Z184" s="83">
        <f>IFERROR((IF(Table1[[#This Row],[تاریخ پایان توقف]]&lt;&gt;"",Table1[[#This Row],[زمان رفع توقف]]-Table1[[#This Row],[زمان توقف]],"")/60),"")</f>
        <v>0.38333333333333336</v>
      </c>
      <c r="AA184" s="3">
        <f>VLOOKUP(E184,Table4[],4,0)</f>
        <v>24</v>
      </c>
      <c r="AB184" s="3">
        <f>VLOOKUP(E184,Table4[],5,0)</f>
        <v>0.2</v>
      </c>
      <c r="AC184" s="3">
        <v>360</v>
      </c>
      <c r="AD184" s="3">
        <f>VLOOKUP(E184,Table4[],7,0)</f>
        <v>720</v>
      </c>
      <c r="AE184" s="83">
        <f>IF(Table1[[#This Row],[زمان آخرین رفع توقف قبل از توقف فعلی]]="","",(Table1[[#This Row],[زمان توقف]]-Table1[[#This Row],[زمان آخرین رفع توقف قبل از توقف فعلی]])/60)</f>
        <v>366.83333333333331</v>
      </c>
      <c r="AF18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738177835</v>
      </c>
    </row>
    <row r="185" spans="1:32">
      <c r="A185" s="36">
        <v>186</v>
      </c>
      <c r="B185" s="36" t="s">
        <v>98</v>
      </c>
      <c r="C185" s="36" t="s">
        <v>881</v>
      </c>
      <c r="D185" s="36" t="s">
        <v>905</v>
      </c>
      <c r="E185" s="85" t="s">
        <v>91</v>
      </c>
      <c r="F185" s="36" t="s">
        <v>12</v>
      </c>
      <c r="G185" s="56" t="s">
        <v>1096</v>
      </c>
      <c r="H185" s="53">
        <v>0.97638888888888886</v>
      </c>
      <c r="I185" s="6" t="str">
        <f>LEFT(Table1[[#This Row],[تاریخ توقف]],4)</f>
        <v>1404</v>
      </c>
      <c r="J185" s="6" t="str">
        <f>VLOOKUP(Table1[[#This Row],[ماه توقف]],Table2[],3,0)</f>
        <v>تابستان</v>
      </c>
      <c r="K185" s="3">
        <f>_xlfn.NUMBERVALUE(RIGHT(LEFT(Table1[[#This Row],[تاریخ توقف]],7),2))</f>
        <v>6</v>
      </c>
      <c r="L185" s="3" t="str">
        <f>RIGHT(LEFT(Table1[[#This Row],[تاریخ توقف]],10),2)</f>
        <v>24</v>
      </c>
      <c r="M185" s="3">
        <f>HOUR(Table1[[#This Row],[زمان شروع توقف]])</f>
        <v>23</v>
      </c>
      <c r="N185" s="3">
        <f>MINUTE(Table1[[#This Row],[زمان شروع توقف]])</f>
        <v>26</v>
      </c>
      <c r="O185" s="3">
        <f>((Table1[[#This Row],[سال توقف]]*365+IF(Table1[[#This Row],[ماه توقف]]&lt;7,(Table1[[#This Row],[ماه توقف]]-1)*31,6*31+(Table1[[#This Row],[ماه توقف]]-6-1)*30)+(Table1[[#This Row],[روز توقف]])-1)*24+Table1[[#This Row],[ساعت توقف2]])*60+Table1[[#This Row],[دقیقه توقف]]</f>
        <v>738200126</v>
      </c>
      <c r="P185" s="56" t="s">
        <v>1117</v>
      </c>
      <c r="Q185" s="53"/>
      <c r="R185" s="3" t="str">
        <f>LEFT(Table1[[#This Row],[تاریخ پایان توقف]],4)</f>
        <v>1404</v>
      </c>
      <c r="S185" s="3" t="str">
        <f>_xlfn.IFNA(VLOOKUP(Table1[[#This Row],[ماه رفع توقف]],Table2[],3,0),"در حال تعمیر")</f>
        <v>تابستان</v>
      </c>
      <c r="T185" s="3">
        <f>_xlfn.NUMBERVALUE(RIGHT(LEFT(Table1[[#This Row],[تاریخ پایان توقف]],7),2))</f>
        <v>6</v>
      </c>
      <c r="U185" s="3" t="str">
        <f>RIGHT(LEFT(Table1[[#This Row],[تاریخ پایان توقف]],10),2)</f>
        <v>25</v>
      </c>
      <c r="V185" s="3">
        <f>HOUR(Table1[[#This Row],[زمان پایان توقف]])</f>
        <v>0</v>
      </c>
      <c r="W185" s="3">
        <f>MINUTE(Table1[[#This Row],[زمان پایان توقف]])</f>
        <v>0</v>
      </c>
      <c r="X18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738200160</v>
      </c>
      <c r="Y185" s="44" t="s">
        <v>1232</v>
      </c>
      <c r="Z185" s="83">
        <f>IFERROR((IF(Table1[[#This Row],[تاریخ پایان توقف]]&lt;&gt;"",Table1[[#This Row],[زمان رفع توقف]]-Table1[[#This Row],[زمان توقف]],"")/60),"")</f>
        <v>0.56666666666666665</v>
      </c>
      <c r="AA185" s="3">
        <f>VLOOKUP(E185,Table4[],4,0)</f>
        <v>24</v>
      </c>
      <c r="AB185" s="3">
        <f>VLOOKUP(E185,Table4[],5,0)</f>
        <v>0.2</v>
      </c>
      <c r="AC185" s="3">
        <v>360</v>
      </c>
      <c r="AD185" s="3">
        <f>VLOOKUP(E185,Table4[],7,0)</f>
        <v>720</v>
      </c>
      <c r="AE185" s="83">
        <f>IF(Table1[[#This Row],[زمان آخرین رفع توقف قبل از توقف فعلی]]="","",(Table1[[#This Row],[زمان توقف]]-Table1[[#This Row],[زمان آخرین رفع توقف قبل از توقف فعلی]])/60)</f>
        <v>4.3</v>
      </c>
      <c r="AF18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738199868</v>
      </c>
    </row>
    <row r="186" spans="1:32">
      <c r="A186" s="36">
        <v>187</v>
      </c>
      <c r="B186" s="36" t="s">
        <v>98</v>
      </c>
      <c r="C186" s="36" t="s">
        <v>116</v>
      </c>
      <c r="D186" s="36" t="s">
        <v>115</v>
      </c>
      <c r="E186" s="86" t="s">
        <v>117</v>
      </c>
      <c r="F186" s="36" t="s">
        <v>12</v>
      </c>
      <c r="G186" s="56" t="s">
        <v>1097</v>
      </c>
      <c r="H186" s="53">
        <v>0.86458333333333337</v>
      </c>
      <c r="I186" s="6" t="str">
        <f>LEFT(Table1[[#This Row],[تاریخ توقف]],4)</f>
        <v>1404</v>
      </c>
      <c r="J186" s="6" t="str">
        <f>VLOOKUP(Table1[[#This Row],[ماه توقف]],Table2[],3,0)</f>
        <v>تابستان</v>
      </c>
      <c r="K186" s="3">
        <f>_xlfn.NUMBERVALUE(RIGHT(LEFT(Table1[[#This Row],[تاریخ توقف]],7),2))</f>
        <v>6</v>
      </c>
      <c r="L186" s="3" t="str">
        <f>RIGHT(LEFT(Table1[[#This Row],[تاریخ توقف]],10),2)</f>
        <v>26</v>
      </c>
      <c r="M186" s="3">
        <f>HOUR(Table1[[#This Row],[زمان شروع توقف]])</f>
        <v>20</v>
      </c>
      <c r="N186" s="3">
        <f>MINUTE(Table1[[#This Row],[زمان شروع توقف]])</f>
        <v>45</v>
      </c>
      <c r="O186" s="3">
        <f>((Table1[[#This Row],[سال توقف]]*365+IF(Table1[[#This Row],[ماه توقف]]&lt;7,(Table1[[#This Row],[ماه توقف]]-1)*31,6*31+(Table1[[#This Row],[ماه توقف]]-6-1)*30)+(Table1[[#This Row],[روز توقف]])-1)*24+Table1[[#This Row],[ساعت توقف2]])*60+Table1[[#This Row],[دقیقه توقف]]</f>
        <v>738202845</v>
      </c>
      <c r="P186" s="56" t="s">
        <v>1097</v>
      </c>
      <c r="Q186" s="53">
        <v>0.87361111111111112</v>
      </c>
      <c r="R186" s="3" t="str">
        <f>LEFT(Table1[[#This Row],[تاریخ پایان توقف]],4)</f>
        <v>1404</v>
      </c>
      <c r="S186" s="3" t="str">
        <f>_xlfn.IFNA(VLOOKUP(Table1[[#This Row],[ماه رفع توقف]],Table2[],3,0),"در حال تعمیر")</f>
        <v>تابستان</v>
      </c>
      <c r="T186" s="3">
        <f>_xlfn.NUMBERVALUE(RIGHT(LEFT(Table1[[#This Row],[تاریخ پایان توقف]],7),2))</f>
        <v>6</v>
      </c>
      <c r="U186" s="3" t="str">
        <f>RIGHT(LEFT(Table1[[#This Row],[تاریخ پایان توقف]],10),2)</f>
        <v>26</v>
      </c>
      <c r="V186" s="3">
        <f>HOUR(Table1[[#This Row],[زمان پایان توقف]])</f>
        <v>20</v>
      </c>
      <c r="W186" s="3">
        <f>MINUTE(Table1[[#This Row],[زمان پایان توقف]])</f>
        <v>58</v>
      </c>
      <c r="X18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738202858</v>
      </c>
      <c r="Y186" s="44" t="s">
        <v>1233</v>
      </c>
      <c r="Z186" s="83">
        <f>IFERROR((IF(Table1[[#This Row],[تاریخ پایان توقف]]&lt;&gt;"",Table1[[#This Row],[زمان رفع توقف]]-Table1[[#This Row],[زمان توقف]],"")/60),"")</f>
        <v>0.21666666666666667</v>
      </c>
      <c r="AA186" s="3">
        <f>VLOOKUP(E186,Table4[],4,0)</f>
        <v>24</v>
      </c>
      <c r="AB186" s="3">
        <f>VLOOKUP(E186,Table4[],5,0)</f>
        <v>0.2</v>
      </c>
      <c r="AC186" s="3">
        <v>360</v>
      </c>
      <c r="AD186" s="3">
        <f>VLOOKUP(E186,Table4[],7,0)</f>
        <v>720</v>
      </c>
      <c r="AE186" s="83">
        <f>IF(Table1[[#This Row],[زمان آخرین رفع توقف قبل از توقف فعلی]]="","",(Table1[[#This Row],[زمان توقف]]-Table1[[#This Row],[زمان آخرین رفع توقف قبل از توقف فعلی]])/60)</f>
        <v>912.25</v>
      </c>
      <c r="AF18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738148110</v>
      </c>
    </row>
    <row r="187" spans="1:32">
      <c r="A187" s="36">
        <v>188</v>
      </c>
      <c r="B187" s="36" t="s">
        <v>97</v>
      </c>
      <c r="C187" s="36" t="s">
        <v>1098</v>
      </c>
      <c r="D187" s="36" t="s">
        <v>1029</v>
      </c>
      <c r="E187" s="85" t="s">
        <v>279</v>
      </c>
      <c r="F187" s="36" t="s">
        <v>12</v>
      </c>
      <c r="G187" s="56" t="s">
        <v>1099</v>
      </c>
      <c r="H187" s="53">
        <v>0.38541666666666669</v>
      </c>
      <c r="I187" s="6" t="str">
        <f>LEFT(Table1[[#This Row],[تاریخ توقف]],4)</f>
        <v>1404</v>
      </c>
      <c r="J187" s="6" t="str">
        <f>VLOOKUP(Table1[[#This Row],[ماه توقف]],Table2[],3,0)</f>
        <v>تابستان</v>
      </c>
      <c r="K187" s="3">
        <f>_xlfn.NUMBERVALUE(RIGHT(LEFT(Table1[[#This Row],[تاریخ توقف]],7),2))</f>
        <v>6</v>
      </c>
      <c r="L187" s="3" t="str">
        <f>RIGHT(LEFT(Table1[[#This Row],[تاریخ توقف]],10),2)</f>
        <v>27</v>
      </c>
      <c r="M187" s="3">
        <f>HOUR(Table1[[#This Row],[زمان شروع توقف]])</f>
        <v>9</v>
      </c>
      <c r="N187" s="3">
        <f>MINUTE(Table1[[#This Row],[زمان شروع توقف]])</f>
        <v>15</v>
      </c>
      <c r="O187" s="3">
        <f>((Table1[[#This Row],[سال توقف]]*365+IF(Table1[[#This Row],[ماه توقف]]&lt;7,(Table1[[#This Row],[ماه توقف]]-1)*31,6*31+(Table1[[#This Row],[ماه توقف]]-6-1)*30)+(Table1[[#This Row],[روز توقف]])-1)*24+Table1[[#This Row],[ساعت توقف2]])*60+Table1[[#This Row],[دقیقه توقف]]</f>
        <v>738203595</v>
      </c>
      <c r="P187" s="56" t="s">
        <v>1099</v>
      </c>
      <c r="Q187" s="53">
        <v>0.47569444444444442</v>
      </c>
      <c r="R187" s="3" t="str">
        <f>LEFT(Table1[[#This Row],[تاریخ پایان توقف]],4)</f>
        <v>1404</v>
      </c>
      <c r="S187" s="3" t="str">
        <f>_xlfn.IFNA(VLOOKUP(Table1[[#This Row],[ماه رفع توقف]],Table2[],3,0),"در حال تعمیر")</f>
        <v>تابستان</v>
      </c>
      <c r="T187" s="3">
        <f>_xlfn.NUMBERVALUE(RIGHT(LEFT(Table1[[#This Row],[تاریخ پایان توقف]],7),2))</f>
        <v>6</v>
      </c>
      <c r="U187" s="3" t="str">
        <f>RIGHT(LEFT(Table1[[#This Row],[تاریخ پایان توقف]],10),2)</f>
        <v>27</v>
      </c>
      <c r="V187" s="3">
        <f>HOUR(Table1[[#This Row],[زمان پایان توقف]])</f>
        <v>11</v>
      </c>
      <c r="W187" s="3">
        <f>MINUTE(Table1[[#This Row],[زمان پایان توقف]])</f>
        <v>25</v>
      </c>
      <c r="X18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738203725</v>
      </c>
      <c r="Y187" s="42" t="s">
        <v>1234</v>
      </c>
      <c r="Z187" s="83">
        <f>IFERROR((IF(Table1[[#This Row],[تاریخ پایان توقف]]&lt;&gt;"",Table1[[#This Row],[زمان رفع توقف]]-Table1[[#This Row],[زمان توقف]],"")/60),"")</f>
        <v>2.1666666666666665</v>
      </c>
      <c r="AA187" s="3">
        <f>VLOOKUP(E187,Table4[],4,0)</f>
        <v>24</v>
      </c>
      <c r="AB187" s="3">
        <f>VLOOKUP(E187,Table4[],5,0)</f>
        <v>0.2</v>
      </c>
      <c r="AC187" s="3">
        <v>360</v>
      </c>
      <c r="AD187" s="3">
        <f>VLOOKUP(E187,Table4[],7,0)</f>
        <v>720</v>
      </c>
      <c r="AE187" s="83">
        <f>IF(Table1[[#This Row],[زمان آخرین رفع توقف قبل از توقف فعلی]]="","",(Table1[[#This Row],[زمان توقف]]-Table1[[#This Row],[زمان آخرین رفع توقف قبل از توقف فعلی]])/60)</f>
        <v>1236.0833333333333</v>
      </c>
      <c r="AF18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738129430</v>
      </c>
    </row>
    <row r="188" spans="1:32">
      <c r="A188" s="36">
        <v>189</v>
      </c>
      <c r="B188" s="36" t="s">
        <v>98</v>
      </c>
      <c r="C188" s="36" t="s">
        <v>1050</v>
      </c>
      <c r="D188" s="36" t="s">
        <v>1095</v>
      </c>
      <c r="E188" s="85" t="s">
        <v>224</v>
      </c>
      <c r="F188" s="36" t="s">
        <v>12</v>
      </c>
      <c r="G188" s="56" t="s">
        <v>1099</v>
      </c>
      <c r="H188" s="53">
        <v>0.40625</v>
      </c>
      <c r="I188" s="6" t="str">
        <f>LEFT(Table1[[#This Row],[تاریخ توقف]],4)</f>
        <v>1404</v>
      </c>
      <c r="J188" s="6" t="str">
        <f>VLOOKUP(Table1[[#This Row],[ماه توقف]],Table2[],3,0)</f>
        <v>تابستان</v>
      </c>
      <c r="K188" s="3">
        <f>_xlfn.NUMBERVALUE(RIGHT(LEFT(Table1[[#This Row],[تاریخ توقف]],7),2))</f>
        <v>6</v>
      </c>
      <c r="L188" s="3" t="str">
        <f>RIGHT(LEFT(Table1[[#This Row],[تاریخ توقف]],10),2)</f>
        <v>27</v>
      </c>
      <c r="M188" s="3">
        <f>HOUR(Table1[[#This Row],[زمان شروع توقف]])</f>
        <v>9</v>
      </c>
      <c r="N188" s="3">
        <f>MINUTE(Table1[[#This Row],[زمان شروع توقف]])</f>
        <v>45</v>
      </c>
      <c r="O188" s="3">
        <f>((Table1[[#This Row],[سال توقف]]*365+IF(Table1[[#This Row],[ماه توقف]]&lt;7,(Table1[[#This Row],[ماه توقف]]-1)*31,6*31+(Table1[[#This Row],[ماه توقف]]-6-1)*30)+(Table1[[#This Row],[روز توقف]])-1)*24+Table1[[#This Row],[ساعت توقف2]])*60+Table1[[#This Row],[دقیقه توقف]]</f>
        <v>738203625</v>
      </c>
      <c r="P188" s="56" t="s">
        <v>1099</v>
      </c>
      <c r="Q188" s="53">
        <v>0.4284722222222222</v>
      </c>
      <c r="R188" s="3" t="str">
        <f>LEFT(Table1[[#This Row],[تاریخ پایان توقف]],4)</f>
        <v>1404</v>
      </c>
      <c r="S188" s="3" t="str">
        <f>_xlfn.IFNA(VLOOKUP(Table1[[#This Row],[ماه رفع توقف]],Table2[],3,0),"در حال تعمیر")</f>
        <v>تابستان</v>
      </c>
      <c r="T188" s="3">
        <f>_xlfn.NUMBERVALUE(RIGHT(LEFT(Table1[[#This Row],[تاریخ پایان توقف]],7),2))</f>
        <v>6</v>
      </c>
      <c r="U188" s="3" t="str">
        <f>RIGHT(LEFT(Table1[[#This Row],[تاریخ پایان توقف]],10),2)</f>
        <v>27</v>
      </c>
      <c r="V188" s="3">
        <f>HOUR(Table1[[#This Row],[زمان پایان توقف]])</f>
        <v>10</v>
      </c>
      <c r="W188" s="3">
        <f>MINUTE(Table1[[#This Row],[زمان پایان توقف]])</f>
        <v>17</v>
      </c>
      <c r="X18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738203657</v>
      </c>
      <c r="Y188" s="42" t="s">
        <v>1235</v>
      </c>
      <c r="Z188" s="83">
        <f>IFERROR((IF(Table1[[#This Row],[تاریخ پایان توقف]]&lt;&gt;"",Table1[[#This Row],[زمان رفع توقف]]-Table1[[#This Row],[زمان توقف]],"")/60),"")</f>
        <v>0.53333333333333333</v>
      </c>
      <c r="AA188" s="3">
        <f>VLOOKUP(E188,Table4[],4,0)</f>
        <v>24</v>
      </c>
      <c r="AB188" s="3">
        <f>VLOOKUP(E188,Table4[],5,0)</f>
        <v>0.2</v>
      </c>
      <c r="AC188" s="3">
        <v>360</v>
      </c>
      <c r="AD188" s="3">
        <f>VLOOKUP(E188,Table4[],7,0)</f>
        <v>720</v>
      </c>
      <c r="AE188" s="83">
        <f>IF(Table1[[#This Row],[زمان آخرین رفع توقف قبل از توقف فعلی]]="","",(Table1[[#This Row],[زمان توقف]]-Table1[[#This Row],[زمان آخرین رفع توقف قبل از توقف فعلی]])/60)</f>
        <v>65.583333333333329</v>
      </c>
      <c r="AF18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738199690</v>
      </c>
    </row>
    <row r="189" spans="1:32">
      <c r="A189" s="36">
        <v>190</v>
      </c>
      <c r="B189" s="36" t="s">
        <v>98</v>
      </c>
      <c r="C189" s="36" t="s">
        <v>881</v>
      </c>
      <c r="D189" s="36" t="s">
        <v>905</v>
      </c>
      <c r="E189" s="85" t="s">
        <v>91</v>
      </c>
      <c r="F189" s="36" t="s">
        <v>12</v>
      </c>
      <c r="G189" s="56" t="s">
        <v>1099</v>
      </c>
      <c r="H189" s="53">
        <v>0.60416666666666663</v>
      </c>
      <c r="I189" s="6" t="str">
        <f>LEFT(Table1[[#This Row],[تاریخ توقف]],4)</f>
        <v>1404</v>
      </c>
      <c r="J189" s="6" t="str">
        <f>VLOOKUP(Table1[[#This Row],[ماه توقف]],Table2[],3,0)</f>
        <v>تابستان</v>
      </c>
      <c r="K189" s="3">
        <f>_xlfn.NUMBERVALUE(RIGHT(LEFT(Table1[[#This Row],[تاریخ توقف]],7),2))</f>
        <v>6</v>
      </c>
      <c r="L189" s="3" t="str">
        <f>RIGHT(LEFT(Table1[[#This Row],[تاریخ توقف]],10),2)</f>
        <v>27</v>
      </c>
      <c r="M189" s="3">
        <f>HOUR(Table1[[#This Row],[زمان شروع توقف]])</f>
        <v>14</v>
      </c>
      <c r="N189" s="3">
        <f>MINUTE(Table1[[#This Row],[زمان شروع توقف]])</f>
        <v>30</v>
      </c>
      <c r="O189" s="3">
        <f>((Table1[[#This Row],[سال توقف]]*365+IF(Table1[[#This Row],[ماه توقف]]&lt;7,(Table1[[#This Row],[ماه توقف]]-1)*31,6*31+(Table1[[#This Row],[ماه توقف]]-6-1)*30)+(Table1[[#This Row],[روز توقف]])-1)*24+Table1[[#This Row],[ساعت توقف2]])*60+Table1[[#This Row],[دقیقه توقف]]</f>
        <v>738203910</v>
      </c>
      <c r="P189" s="56" t="s">
        <v>1099</v>
      </c>
      <c r="Q189" s="53">
        <v>0.64583333333333337</v>
      </c>
      <c r="R189" s="3" t="str">
        <f>LEFT(Table1[[#This Row],[تاریخ پایان توقف]],4)</f>
        <v>1404</v>
      </c>
      <c r="S189" s="3" t="str">
        <f>_xlfn.IFNA(VLOOKUP(Table1[[#This Row],[ماه رفع توقف]],Table2[],3,0),"در حال تعمیر")</f>
        <v>تابستان</v>
      </c>
      <c r="T189" s="3">
        <f>_xlfn.NUMBERVALUE(RIGHT(LEFT(Table1[[#This Row],[تاریخ پایان توقف]],7),2))</f>
        <v>6</v>
      </c>
      <c r="U189" s="3" t="str">
        <f>RIGHT(LEFT(Table1[[#This Row],[تاریخ پایان توقف]],10),2)</f>
        <v>27</v>
      </c>
      <c r="V189" s="3">
        <f>HOUR(Table1[[#This Row],[زمان پایان توقف]])</f>
        <v>15</v>
      </c>
      <c r="W189" s="3">
        <f>MINUTE(Table1[[#This Row],[زمان پایان توقف]])</f>
        <v>30</v>
      </c>
      <c r="X18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738203970</v>
      </c>
      <c r="Y189" s="42" t="s">
        <v>1236</v>
      </c>
      <c r="Z189" s="83">
        <f>IFERROR((IF(Table1[[#This Row],[تاریخ پایان توقف]]&lt;&gt;"",Table1[[#This Row],[زمان رفع توقف]]-Table1[[#This Row],[زمان توقف]],"")/60),"")</f>
        <v>1</v>
      </c>
      <c r="AA189" s="3">
        <f>VLOOKUP(E189,Table4[],4,0)</f>
        <v>24</v>
      </c>
      <c r="AB189" s="3">
        <f>VLOOKUP(E189,Table4[],5,0)</f>
        <v>0.2</v>
      </c>
      <c r="AC189" s="3">
        <v>360</v>
      </c>
      <c r="AD189" s="3">
        <f>VLOOKUP(E189,Table4[],7,0)</f>
        <v>720</v>
      </c>
      <c r="AE189" s="83">
        <f>IF(Table1[[#This Row],[زمان آخرین رفع توقف قبل از توقف فعلی]]="","",(Table1[[#This Row],[زمان توقف]]-Table1[[#This Row],[زمان آخرین رفع توقف قبل از توقف فعلی]])/60)</f>
        <v>62.5</v>
      </c>
      <c r="AF18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738200160</v>
      </c>
    </row>
    <row r="190" spans="1:32">
      <c r="A190" s="36">
        <v>191</v>
      </c>
      <c r="B190" s="36" t="s">
        <v>98</v>
      </c>
      <c r="C190" s="36" t="s">
        <v>121</v>
      </c>
      <c r="D190" s="36" t="s">
        <v>120</v>
      </c>
      <c r="E190" s="86" t="s">
        <v>122</v>
      </c>
      <c r="F190" s="36" t="s">
        <v>12</v>
      </c>
      <c r="G190" s="56" t="s">
        <v>1099</v>
      </c>
      <c r="H190" s="53">
        <v>0.70833333333333337</v>
      </c>
      <c r="I190" s="6" t="str">
        <f>LEFT(Table1[[#This Row],[تاریخ توقف]],4)</f>
        <v>1404</v>
      </c>
      <c r="J190" s="6" t="str">
        <f>VLOOKUP(Table1[[#This Row],[ماه توقف]],Table2[],3,0)</f>
        <v>تابستان</v>
      </c>
      <c r="K190" s="3">
        <f>_xlfn.NUMBERVALUE(RIGHT(LEFT(Table1[[#This Row],[تاریخ توقف]],7),2))</f>
        <v>6</v>
      </c>
      <c r="L190" s="3" t="str">
        <f>RIGHT(LEFT(Table1[[#This Row],[تاریخ توقف]],10),2)</f>
        <v>27</v>
      </c>
      <c r="M190" s="3">
        <f>HOUR(Table1[[#This Row],[زمان شروع توقف]])</f>
        <v>17</v>
      </c>
      <c r="N190" s="3">
        <f>MINUTE(Table1[[#This Row],[زمان شروع توقف]])</f>
        <v>0</v>
      </c>
      <c r="O190" s="3">
        <f>((Table1[[#This Row],[سال توقف]]*365+IF(Table1[[#This Row],[ماه توقف]]&lt;7,(Table1[[#This Row],[ماه توقف]]-1)*31,6*31+(Table1[[#This Row],[ماه توقف]]-6-1)*30)+(Table1[[#This Row],[روز توقف]])-1)*24+Table1[[#This Row],[ساعت توقف2]])*60+Table1[[#This Row],[دقیقه توقف]]</f>
        <v>738204060</v>
      </c>
      <c r="P190" s="56" t="s">
        <v>1099</v>
      </c>
      <c r="Q190" s="53">
        <v>0.73958333333333337</v>
      </c>
      <c r="R190" s="3" t="str">
        <f>LEFT(Table1[[#This Row],[تاریخ پایان توقف]],4)</f>
        <v>1404</v>
      </c>
      <c r="S190" s="3" t="str">
        <f>_xlfn.IFNA(VLOOKUP(Table1[[#This Row],[ماه رفع توقف]],Table2[],3,0),"در حال تعمیر")</f>
        <v>تابستان</v>
      </c>
      <c r="T190" s="3">
        <f>_xlfn.NUMBERVALUE(RIGHT(LEFT(Table1[[#This Row],[تاریخ پایان توقف]],7),2))</f>
        <v>6</v>
      </c>
      <c r="U190" s="3" t="str">
        <f>RIGHT(LEFT(Table1[[#This Row],[تاریخ پایان توقف]],10),2)</f>
        <v>27</v>
      </c>
      <c r="V190" s="3">
        <f>HOUR(Table1[[#This Row],[زمان پایان توقف]])</f>
        <v>17</v>
      </c>
      <c r="W190" s="3">
        <f>MINUTE(Table1[[#This Row],[زمان پایان توقف]])</f>
        <v>45</v>
      </c>
      <c r="X19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738204105</v>
      </c>
      <c r="Y190" s="42" t="s">
        <v>1237</v>
      </c>
      <c r="Z190" s="83">
        <f>IFERROR((IF(Table1[[#This Row],[تاریخ پایان توقف]]&lt;&gt;"",Table1[[#This Row],[زمان رفع توقف]]-Table1[[#This Row],[زمان توقف]],"")/60),"")</f>
        <v>0.75</v>
      </c>
      <c r="AA190" s="3">
        <f>VLOOKUP(E190,Table4[],4,0)</f>
        <v>24</v>
      </c>
      <c r="AB190" s="3">
        <f>VLOOKUP(E190,Table4[],5,0)</f>
        <v>0.2</v>
      </c>
      <c r="AC190" s="3">
        <v>360</v>
      </c>
      <c r="AD190" s="3">
        <f>VLOOKUP(E190,Table4[],7,0)</f>
        <v>720</v>
      </c>
      <c r="AE190" s="83">
        <f>IF(Table1[[#This Row],[زمان آخرین رفع توقف قبل از توقف فعلی]]="","",(Table1[[#This Row],[زمان توقف]]-Table1[[#This Row],[زمان آخرین رفع توقف قبل از توقف فعلی]])/60)</f>
        <v>1130.75</v>
      </c>
      <c r="AF19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738136215</v>
      </c>
    </row>
    <row r="191" spans="1:32">
      <c r="A191" s="36">
        <v>192</v>
      </c>
      <c r="B191" s="36" t="s">
        <v>98</v>
      </c>
      <c r="C191" s="36" t="s">
        <v>50</v>
      </c>
      <c r="D191" s="36" t="s">
        <v>45</v>
      </c>
      <c r="E191" s="85" t="s">
        <v>374</v>
      </c>
      <c r="F191" s="36" t="s">
        <v>12</v>
      </c>
      <c r="G191" s="56" t="s">
        <v>1100</v>
      </c>
      <c r="H191" s="53">
        <v>0.34722222222222221</v>
      </c>
      <c r="I191" s="6" t="str">
        <f>LEFT(Table1[[#This Row],[تاریخ توقف]],4)</f>
        <v>1404</v>
      </c>
      <c r="J191" s="6" t="str">
        <f>VLOOKUP(Table1[[#This Row],[ماه توقف]],Table2[],3,0)</f>
        <v>تابستان</v>
      </c>
      <c r="K191" s="3">
        <f>_xlfn.NUMBERVALUE(RIGHT(LEFT(Table1[[#This Row],[تاریخ توقف]],7),2))</f>
        <v>6</v>
      </c>
      <c r="L191" s="3" t="str">
        <f>RIGHT(LEFT(Table1[[#This Row],[تاریخ توقف]],10),2)</f>
        <v>28</v>
      </c>
      <c r="M191" s="3">
        <f>HOUR(Table1[[#This Row],[زمان شروع توقف]])</f>
        <v>8</v>
      </c>
      <c r="N191" s="3">
        <f>MINUTE(Table1[[#This Row],[زمان شروع توقف]])</f>
        <v>20</v>
      </c>
      <c r="O191" s="3">
        <f>((Table1[[#This Row],[سال توقف]]*365+IF(Table1[[#This Row],[ماه توقف]]&lt;7,(Table1[[#This Row],[ماه توقف]]-1)*31,6*31+(Table1[[#This Row],[ماه توقف]]-6-1)*30)+(Table1[[#This Row],[روز توقف]])-1)*24+Table1[[#This Row],[ساعت توقف2]])*60+Table1[[#This Row],[دقیقه توقف]]</f>
        <v>738204980</v>
      </c>
      <c r="P191" s="56" t="s">
        <v>1100</v>
      </c>
      <c r="Q191" s="53">
        <v>0.43055555555555558</v>
      </c>
      <c r="R191" s="3" t="str">
        <f>LEFT(Table1[[#This Row],[تاریخ پایان توقف]],4)</f>
        <v>1404</v>
      </c>
      <c r="S191" s="3" t="str">
        <f>_xlfn.IFNA(VLOOKUP(Table1[[#This Row],[ماه رفع توقف]],Table2[],3,0),"در حال تعمیر")</f>
        <v>تابستان</v>
      </c>
      <c r="T191" s="3">
        <f>_xlfn.NUMBERVALUE(RIGHT(LEFT(Table1[[#This Row],[تاریخ پایان توقف]],7),2))</f>
        <v>6</v>
      </c>
      <c r="U191" s="3" t="str">
        <f>RIGHT(LEFT(Table1[[#This Row],[تاریخ پایان توقف]],10),2)</f>
        <v>28</v>
      </c>
      <c r="V191" s="3">
        <f>HOUR(Table1[[#This Row],[زمان پایان توقف]])</f>
        <v>10</v>
      </c>
      <c r="W191" s="3">
        <f>MINUTE(Table1[[#This Row],[زمان پایان توقف]])</f>
        <v>20</v>
      </c>
      <c r="X19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738205100</v>
      </c>
      <c r="Y191" s="42"/>
      <c r="Z191" s="83">
        <f>IFERROR((IF(Table1[[#This Row],[تاریخ پایان توقف]]&lt;&gt;"",Table1[[#This Row],[زمان رفع توقف]]-Table1[[#This Row],[زمان توقف]],"")/60),"")</f>
        <v>2</v>
      </c>
      <c r="AA191" s="3">
        <f>VLOOKUP(E191,Table4[],4,0)</f>
        <v>24</v>
      </c>
      <c r="AB191" s="3">
        <f>VLOOKUP(E191,Table4[],5,0)</f>
        <v>0.2</v>
      </c>
      <c r="AC191" s="3">
        <v>360</v>
      </c>
      <c r="AD191" s="3">
        <f>VLOOKUP(E191,Table4[],7,0)</f>
        <v>720</v>
      </c>
      <c r="AE191" s="83">
        <f>IF(Table1[[#This Row],[زمان آخرین رفع توقف قبل از توقف فعلی]]="","",(Table1[[#This Row],[زمان توقف]]-Table1[[#This Row],[زمان آخرین رفع توقف قبل از توقف فعلی]])/60)</f>
        <v>236.75</v>
      </c>
      <c r="AF19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738190775</v>
      </c>
    </row>
    <row r="192" spans="1:32" ht="30">
      <c r="A192" s="36">
        <v>193</v>
      </c>
      <c r="B192" s="36" t="s">
        <v>97</v>
      </c>
      <c r="C192" s="36" t="s">
        <v>1101</v>
      </c>
      <c r="D192" s="36" t="s">
        <v>39</v>
      </c>
      <c r="E192" s="85" t="s">
        <v>56</v>
      </c>
      <c r="F192" s="36" t="s">
        <v>12</v>
      </c>
      <c r="G192" s="56" t="s">
        <v>1102</v>
      </c>
      <c r="H192" s="53">
        <v>0.33333333333333331</v>
      </c>
      <c r="I192" s="6" t="str">
        <f>LEFT(Table1[[#This Row],[تاریخ توقف]],4)</f>
        <v>1404</v>
      </c>
      <c r="J192" s="6" t="str">
        <f>VLOOKUP(Table1[[#This Row],[ماه توقف]],Table2[],3,0)</f>
        <v>تابستان</v>
      </c>
      <c r="K192" s="3">
        <f>_xlfn.NUMBERVALUE(RIGHT(LEFT(Table1[[#This Row],[تاریخ توقف]],7),2))</f>
        <v>6</v>
      </c>
      <c r="L192" s="3" t="str">
        <f>RIGHT(LEFT(Table1[[#This Row],[تاریخ توقف]],10),2)</f>
        <v>30</v>
      </c>
      <c r="M192" s="3">
        <f>HOUR(Table1[[#This Row],[زمان شروع توقف]])</f>
        <v>8</v>
      </c>
      <c r="N192" s="3">
        <f>MINUTE(Table1[[#This Row],[زمان شروع توقف]])</f>
        <v>0</v>
      </c>
      <c r="O192" s="3">
        <f>((Table1[[#This Row],[سال توقف]]*365+IF(Table1[[#This Row],[ماه توقف]]&lt;7,(Table1[[#This Row],[ماه توقف]]-1)*31,6*31+(Table1[[#This Row],[ماه توقف]]-6-1)*30)+(Table1[[#This Row],[روز توقف]])-1)*24+Table1[[#This Row],[ساعت توقف2]])*60+Table1[[#This Row],[دقیقه توقف]]</f>
        <v>738207840</v>
      </c>
      <c r="P192" s="56" t="s">
        <v>1102</v>
      </c>
      <c r="Q192" s="53">
        <v>0.36527777777777776</v>
      </c>
      <c r="R192" s="3" t="str">
        <f>LEFT(Table1[[#This Row],[تاریخ پایان توقف]],4)</f>
        <v>1404</v>
      </c>
      <c r="S192" s="3" t="str">
        <f>_xlfn.IFNA(VLOOKUP(Table1[[#This Row],[ماه رفع توقف]],Table2[],3,0),"در حال تعمیر")</f>
        <v>تابستان</v>
      </c>
      <c r="T192" s="3">
        <f>_xlfn.NUMBERVALUE(RIGHT(LEFT(Table1[[#This Row],[تاریخ پایان توقف]],7),2))</f>
        <v>6</v>
      </c>
      <c r="U192" s="3" t="str">
        <f>RIGHT(LEFT(Table1[[#This Row],[تاریخ پایان توقف]],10),2)</f>
        <v>30</v>
      </c>
      <c r="V192" s="3">
        <f>HOUR(Table1[[#This Row],[زمان پایان توقف]])</f>
        <v>8</v>
      </c>
      <c r="W192" s="3">
        <f>MINUTE(Table1[[#This Row],[زمان پایان توقف]])</f>
        <v>46</v>
      </c>
      <c r="X19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738207886</v>
      </c>
      <c r="Y192" s="50" t="s">
        <v>1238</v>
      </c>
      <c r="Z192" s="83">
        <f>IFERROR((IF(Table1[[#This Row],[تاریخ پایان توقف]]&lt;&gt;"",Table1[[#This Row],[زمان رفع توقف]]-Table1[[#This Row],[زمان توقف]],"")/60),"")</f>
        <v>0.76666666666666672</v>
      </c>
      <c r="AA192" s="3">
        <f>VLOOKUP(E192,Table4[],4,0)</f>
        <v>24</v>
      </c>
      <c r="AB192" s="3">
        <f>VLOOKUP(E192,Table4[],5,0)</f>
        <v>0.2</v>
      </c>
      <c r="AC192" s="3">
        <v>360</v>
      </c>
      <c r="AD192" s="3">
        <f>VLOOKUP(E192,Table4[],7,0)</f>
        <v>720</v>
      </c>
      <c r="AE192" s="83">
        <f>IF(Table1[[#This Row],[زمان آخرین رفع توقف قبل از توقف فعلی]]="","",(Table1[[#This Row],[زمان توقف]]-Table1[[#This Row],[زمان آخرین رفع توقف قبل از توقف فعلی]])/60)</f>
        <v>6499.1333333333332</v>
      </c>
      <c r="AF19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737817892</v>
      </c>
    </row>
    <row r="193" spans="1:32">
      <c r="A193" s="36">
        <v>194</v>
      </c>
      <c r="B193" s="36" t="s">
        <v>75</v>
      </c>
      <c r="C193" s="36" t="s">
        <v>116</v>
      </c>
      <c r="D193" s="36" t="s">
        <v>115</v>
      </c>
      <c r="E193" s="86" t="s">
        <v>117</v>
      </c>
      <c r="F193" s="36" t="s">
        <v>12</v>
      </c>
      <c r="G193" s="56" t="s">
        <v>1103</v>
      </c>
      <c r="H193" s="53">
        <v>0.83333333333333337</v>
      </c>
      <c r="I193" s="6" t="str">
        <f>LEFT(Table1[[#This Row],[تاریخ توقف]],4)</f>
        <v>1404</v>
      </c>
      <c r="J193" s="6" t="str">
        <f>VLOOKUP(Table1[[#This Row],[ماه توقف]],Table2[],3,0)</f>
        <v>پاییز</v>
      </c>
      <c r="K193" s="3">
        <f>_xlfn.NUMBERVALUE(RIGHT(LEFT(Table1[[#This Row],[تاریخ توقف]],7),2))</f>
        <v>7</v>
      </c>
      <c r="L193" s="3" t="str">
        <f>RIGHT(LEFT(Table1[[#This Row],[تاریخ توقف]],10),2)</f>
        <v>01</v>
      </c>
      <c r="M193" s="3">
        <f>HOUR(Table1[[#This Row],[زمان شروع توقف]])</f>
        <v>20</v>
      </c>
      <c r="N193" s="3">
        <f>MINUTE(Table1[[#This Row],[زمان شروع توقف]])</f>
        <v>0</v>
      </c>
      <c r="O193" s="3">
        <f>((Table1[[#This Row],[سال توقف]]*365+IF(Table1[[#This Row],[ماه توقف]]&lt;7,(Table1[[#This Row],[ماه توقف]]-1)*31,6*31+(Table1[[#This Row],[ماه توقف]]-6-1)*30)+(Table1[[#This Row],[روز توقف]])-1)*24+Table1[[#This Row],[ساعت توقف2]])*60+Table1[[#This Row],[دقیقه توقف]]</f>
        <v>738211440</v>
      </c>
      <c r="P193" s="56" t="s">
        <v>1103</v>
      </c>
      <c r="Q193" s="53">
        <v>0.86111111111111116</v>
      </c>
      <c r="R193" s="3" t="str">
        <f>LEFT(Table1[[#This Row],[تاریخ پایان توقف]],4)</f>
        <v>1404</v>
      </c>
      <c r="S193" s="3" t="str">
        <f>_xlfn.IFNA(VLOOKUP(Table1[[#This Row],[ماه رفع توقف]],Table2[],3,0),"در حال تعمیر")</f>
        <v>پاییز</v>
      </c>
      <c r="T193" s="3">
        <f>_xlfn.NUMBERVALUE(RIGHT(LEFT(Table1[[#This Row],[تاریخ پایان توقف]],7),2))</f>
        <v>7</v>
      </c>
      <c r="U193" s="3" t="str">
        <f>RIGHT(LEFT(Table1[[#This Row],[تاریخ پایان توقف]],10),2)</f>
        <v>01</v>
      </c>
      <c r="V193" s="3">
        <f>HOUR(Table1[[#This Row],[زمان پایان توقف]])</f>
        <v>20</v>
      </c>
      <c r="W193" s="3">
        <f>MINUTE(Table1[[#This Row],[زمان پایان توقف]])</f>
        <v>40</v>
      </c>
      <c r="X19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738211480</v>
      </c>
      <c r="Y193" s="42" t="s">
        <v>1239</v>
      </c>
      <c r="Z193" s="83">
        <f>IFERROR((IF(Table1[[#This Row],[تاریخ پایان توقف]]&lt;&gt;"",Table1[[#This Row],[زمان رفع توقف]]-Table1[[#This Row],[زمان توقف]],"")/60),"")</f>
        <v>0.66666666666666663</v>
      </c>
      <c r="AA193" s="3">
        <f>VLOOKUP(E193,Table4[],4,0)</f>
        <v>24</v>
      </c>
      <c r="AB193" s="3">
        <f>VLOOKUP(E193,Table4[],5,0)</f>
        <v>0.2</v>
      </c>
      <c r="AC193" s="3">
        <v>360</v>
      </c>
      <c r="AD193" s="3">
        <f>VLOOKUP(E193,Table4[],7,0)</f>
        <v>720</v>
      </c>
      <c r="AE193" s="83">
        <f>IF(Table1[[#This Row],[زمان آخرین رفع توقف قبل از توقف فعلی]]="","",(Table1[[#This Row],[زمان توقف]]-Table1[[#This Row],[زمان آخرین رفع توقف قبل از توقف فعلی]])/60)</f>
        <v>143.03333333333333</v>
      </c>
      <c r="AF19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738202858</v>
      </c>
    </row>
    <row r="194" spans="1:32">
      <c r="A194" s="36">
        <v>195</v>
      </c>
      <c r="B194" s="36" t="s">
        <v>98</v>
      </c>
      <c r="C194" s="36" t="s">
        <v>50</v>
      </c>
      <c r="D194" s="36" t="s">
        <v>45</v>
      </c>
      <c r="E194" s="85" t="s">
        <v>374</v>
      </c>
      <c r="F194" s="36" t="s">
        <v>12</v>
      </c>
      <c r="G194" s="56" t="s">
        <v>1104</v>
      </c>
      <c r="H194" s="53">
        <v>0.63541666666666663</v>
      </c>
      <c r="I194" s="6" t="str">
        <f>LEFT(Table1[[#This Row],[تاریخ توقف]],4)</f>
        <v>1404</v>
      </c>
      <c r="J194" s="6" t="str">
        <f>VLOOKUP(Table1[[#This Row],[ماه توقف]],Table2[],3,0)</f>
        <v>پاییز</v>
      </c>
      <c r="K194" s="3">
        <f>_xlfn.NUMBERVALUE(RIGHT(LEFT(Table1[[#This Row],[تاریخ توقف]],7),2))</f>
        <v>7</v>
      </c>
      <c r="L194" s="3" t="str">
        <f>RIGHT(LEFT(Table1[[#This Row],[تاریخ توقف]],10),2)</f>
        <v>02</v>
      </c>
      <c r="M194" s="3">
        <f>HOUR(Table1[[#This Row],[زمان شروع توقف]])</f>
        <v>15</v>
      </c>
      <c r="N194" s="3">
        <f>MINUTE(Table1[[#This Row],[زمان شروع توقف]])</f>
        <v>15</v>
      </c>
      <c r="O194" s="3">
        <f>((Table1[[#This Row],[سال توقف]]*365+IF(Table1[[#This Row],[ماه توقف]]&lt;7,(Table1[[#This Row],[ماه توقف]]-1)*31,6*31+(Table1[[#This Row],[ماه توقف]]-6-1)*30)+(Table1[[#This Row],[روز توقف]])-1)*24+Table1[[#This Row],[ساعت توقف2]])*60+Table1[[#This Row],[دقیقه توقف]]</f>
        <v>738212595</v>
      </c>
      <c r="P194" s="56" t="s">
        <v>1105</v>
      </c>
      <c r="Q194" s="53">
        <v>0.45833333333333331</v>
      </c>
      <c r="R194" s="3" t="str">
        <f>LEFT(Table1[[#This Row],[تاریخ پایان توقف]],4)</f>
        <v>1404</v>
      </c>
      <c r="S194" s="3" t="str">
        <f>_xlfn.IFNA(VLOOKUP(Table1[[#This Row],[ماه رفع توقف]],Table2[],3,0),"در حال تعمیر")</f>
        <v>پاییز</v>
      </c>
      <c r="T194" s="3">
        <f>_xlfn.NUMBERVALUE(RIGHT(LEFT(Table1[[#This Row],[تاریخ پایان توقف]],7),2))</f>
        <v>7</v>
      </c>
      <c r="U194" s="3" t="str">
        <f>RIGHT(LEFT(Table1[[#This Row],[تاریخ پایان توقف]],10),2)</f>
        <v>03</v>
      </c>
      <c r="V194" s="3">
        <f>HOUR(Table1[[#This Row],[زمان پایان توقف]])</f>
        <v>11</v>
      </c>
      <c r="W194" s="3">
        <f>MINUTE(Table1[[#This Row],[زمان پایان توقف]])</f>
        <v>0</v>
      </c>
      <c r="X19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738213780</v>
      </c>
      <c r="Y194" s="50" t="s">
        <v>1240</v>
      </c>
      <c r="Z194" s="83">
        <f>IFERROR((IF(Table1[[#This Row],[تاریخ پایان توقف]]&lt;&gt;"",Table1[[#This Row],[زمان رفع توقف]]-Table1[[#This Row],[زمان توقف]],"")/60),"")</f>
        <v>19.75</v>
      </c>
      <c r="AA194" s="3">
        <f>VLOOKUP(E194,Table4[],4,0)</f>
        <v>24</v>
      </c>
      <c r="AB194" s="3">
        <f>VLOOKUP(E194,Table4[],5,0)</f>
        <v>0.2</v>
      </c>
      <c r="AC194" s="3">
        <v>360</v>
      </c>
      <c r="AD194" s="3">
        <f>VLOOKUP(E194,Table4[],7,0)</f>
        <v>720</v>
      </c>
      <c r="AE194" s="83">
        <f>IF(Table1[[#This Row],[زمان آخرین رفع توقف قبل از توقف فعلی]]="","",(Table1[[#This Row],[زمان توقف]]-Table1[[#This Row],[زمان آخرین رفع توقف قبل از توقف فعلی]])/60)</f>
        <v>124.91666666666667</v>
      </c>
      <c r="AF19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738205100</v>
      </c>
    </row>
    <row r="195" spans="1:32">
      <c r="A195" s="36">
        <v>196</v>
      </c>
      <c r="B195" s="36" t="s">
        <v>99</v>
      </c>
      <c r="C195" s="36" t="s">
        <v>1093</v>
      </c>
      <c r="D195" s="36" t="s">
        <v>1078</v>
      </c>
      <c r="E195" s="85" t="s">
        <v>1079</v>
      </c>
      <c r="F195" s="36" t="s">
        <v>12</v>
      </c>
      <c r="G195" s="56" t="s">
        <v>1105</v>
      </c>
      <c r="H195" s="53">
        <v>0.57291666666666663</v>
      </c>
      <c r="I195" s="6" t="str">
        <f>LEFT(Table1[[#This Row],[تاریخ توقف]],4)</f>
        <v>1404</v>
      </c>
      <c r="J195" s="6" t="str">
        <f>VLOOKUP(Table1[[#This Row],[ماه توقف]],Table2[],3,0)</f>
        <v>پاییز</v>
      </c>
      <c r="K195" s="3">
        <f>_xlfn.NUMBERVALUE(RIGHT(LEFT(Table1[[#This Row],[تاریخ توقف]],7),2))</f>
        <v>7</v>
      </c>
      <c r="L195" s="3" t="str">
        <f>RIGHT(LEFT(Table1[[#This Row],[تاریخ توقف]],10),2)</f>
        <v>03</v>
      </c>
      <c r="M195" s="3">
        <f>HOUR(Table1[[#This Row],[زمان شروع توقف]])</f>
        <v>13</v>
      </c>
      <c r="N195" s="3">
        <f>MINUTE(Table1[[#This Row],[زمان شروع توقف]])</f>
        <v>45</v>
      </c>
      <c r="O195" s="3">
        <f>((Table1[[#This Row],[سال توقف]]*365+IF(Table1[[#This Row],[ماه توقف]]&lt;7,(Table1[[#This Row],[ماه توقف]]-1)*31,6*31+(Table1[[#This Row],[ماه توقف]]-6-1)*30)+(Table1[[#This Row],[روز توقف]])-1)*24+Table1[[#This Row],[ساعت توقف2]])*60+Table1[[#This Row],[دقیقه توقف]]</f>
        <v>738213945</v>
      </c>
      <c r="P195" s="56" t="s">
        <v>1118</v>
      </c>
      <c r="Q195" s="53">
        <v>0.62152777777777779</v>
      </c>
      <c r="R195" s="3" t="str">
        <f>LEFT(Table1[[#This Row],[تاریخ پایان توقف]],4)</f>
        <v>1404</v>
      </c>
      <c r="S195" s="3" t="str">
        <f>_xlfn.IFNA(VLOOKUP(Table1[[#This Row],[ماه رفع توقف]],Table2[],3,0),"در حال تعمیر")</f>
        <v>پاییز</v>
      </c>
      <c r="T195" s="3">
        <f>_xlfn.NUMBERVALUE(RIGHT(LEFT(Table1[[#This Row],[تاریخ پایان توقف]],7),2))</f>
        <v>7</v>
      </c>
      <c r="U195" s="3" t="str">
        <f>RIGHT(LEFT(Table1[[#This Row],[تاریخ پایان توقف]],10),2)</f>
        <v>04</v>
      </c>
      <c r="V195" s="3">
        <f>HOUR(Table1[[#This Row],[زمان پایان توقف]])</f>
        <v>14</v>
      </c>
      <c r="W195" s="3">
        <f>MINUTE(Table1[[#This Row],[زمان پایان توقف]])</f>
        <v>55</v>
      </c>
      <c r="X19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738215455</v>
      </c>
      <c r="Y195" s="42" t="s">
        <v>1241</v>
      </c>
      <c r="Z195" s="83">
        <f>IFERROR((IF(Table1[[#This Row],[تاریخ پایان توقف]]&lt;&gt;"",Table1[[#This Row],[زمان رفع توقف]]-Table1[[#This Row],[زمان توقف]],"")/60),"")</f>
        <v>25.166666666666668</v>
      </c>
      <c r="AA195" s="3">
        <f>VLOOKUP(E195,Table4[],4,0)</f>
        <v>24</v>
      </c>
      <c r="AB195" s="3">
        <f>VLOOKUP(E195,Table4[],5,0)</f>
        <v>0.2</v>
      </c>
      <c r="AC195" s="3">
        <v>360</v>
      </c>
      <c r="AD195" s="3">
        <f>VLOOKUP(E195,Table4[],7,0)</f>
        <v>720</v>
      </c>
      <c r="AE195" s="83">
        <f>IF(Table1[[#This Row],[زمان آخرین رفع توقف قبل از توقف فعلی]]="","",(Table1[[#This Row],[زمان توقف]]-Table1[[#This Row],[زمان آخرین رفع توقف قبل از توقف فعلی]])/60)</f>
        <v>242.83333333333334</v>
      </c>
      <c r="AF19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738199375</v>
      </c>
    </row>
    <row r="196" spans="1:32">
      <c r="A196" s="36">
        <v>197</v>
      </c>
      <c r="B196" s="36" t="s">
        <v>98</v>
      </c>
      <c r="C196" s="36" t="s">
        <v>50</v>
      </c>
      <c r="D196" s="36" t="s">
        <v>45</v>
      </c>
      <c r="E196" s="85" t="s">
        <v>374</v>
      </c>
      <c r="F196" s="36" t="s">
        <v>12</v>
      </c>
      <c r="G196" s="56" t="s">
        <v>1106</v>
      </c>
      <c r="H196" s="53">
        <v>0.83402777777777781</v>
      </c>
      <c r="I196" s="6" t="str">
        <f>LEFT(Table1[[#This Row],[تاریخ توقف]],4)</f>
        <v>1404</v>
      </c>
      <c r="J196" s="6" t="str">
        <f>VLOOKUP(Table1[[#This Row],[ماه توقف]],Table2[],3,0)</f>
        <v>پاییز</v>
      </c>
      <c r="K196" s="3">
        <f>_xlfn.NUMBERVALUE(RIGHT(LEFT(Table1[[#This Row],[تاریخ توقف]],7),2))</f>
        <v>7</v>
      </c>
      <c r="L196" s="3" t="str">
        <f>RIGHT(LEFT(Table1[[#This Row],[تاریخ توقف]],10),2)</f>
        <v>05</v>
      </c>
      <c r="M196" s="3">
        <f>HOUR(Table1[[#This Row],[زمان شروع توقف]])</f>
        <v>20</v>
      </c>
      <c r="N196" s="3">
        <f>MINUTE(Table1[[#This Row],[زمان شروع توقف]])</f>
        <v>1</v>
      </c>
      <c r="O196" s="3">
        <f>((Table1[[#This Row],[سال توقف]]*365+IF(Table1[[#This Row],[ماه توقف]]&lt;7,(Table1[[#This Row],[ماه توقف]]-1)*31,6*31+(Table1[[#This Row],[ماه توقف]]-6-1)*30)+(Table1[[#This Row],[روز توقف]])-1)*24+Table1[[#This Row],[ساعت توقف2]])*60+Table1[[#This Row],[دقیقه توقف]]</f>
        <v>738217201</v>
      </c>
      <c r="P196" s="56" t="s">
        <v>1106</v>
      </c>
      <c r="Q196" s="53">
        <v>0.87361111111111112</v>
      </c>
      <c r="R196" s="3" t="str">
        <f>LEFT(Table1[[#This Row],[تاریخ پایان توقف]],4)</f>
        <v>1404</v>
      </c>
      <c r="S196" s="3" t="str">
        <f>_xlfn.IFNA(VLOOKUP(Table1[[#This Row],[ماه رفع توقف]],Table2[],3,0),"در حال تعمیر")</f>
        <v>پاییز</v>
      </c>
      <c r="T196" s="3">
        <f>_xlfn.NUMBERVALUE(RIGHT(LEFT(Table1[[#This Row],[تاریخ پایان توقف]],7),2))</f>
        <v>7</v>
      </c>
      <c r="U196" s="3" t="str">
        <f>RIGHT(LEFT(Table1[[#This Row],[تاریخ پایان توقف]],10),2)</f>
        <v>05</v>
      </c>
      <c r="V196" s="3">
        <f>HOUR(Table1[[#This Row],[زمان پایان توقف]])</f>
        <v>20</v>
      </c>
      <c r="W196" s="3">
        <f>MINUTE(Table1[[#This Row],[زمان پایان توقف]])</f>
        <v>58</v>
      </c>
      <c r="X19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738217258</v>
      </c>
      <c r="Y196" s="42" t="s">
        <v>1242</v>
      </c>
      <c r="Z196" s="83">
        <f>IFERROR((IF(Table1[[#This Row],[تاریخ پایان توقف]]&lt;&gt;"",Table1[[#This Row],[زمان رفع توقف]]-Table1[[#This Row],[زمان توقف]],"")/60),"")</f>
        <v>0.95</v>
      </c>
      <c r="AA196" s="3">
        <f>VLOOKUP(E196,Table4[],4,0)</f>
        <v>24</v>
      </c>
      <c r="AB196" s="3">
        <f>VLOOKUP(E196,Table4[],5,0)</f>
        <v>0.2</v>
      </c>
      <c r="AC196" s="3">
        <v>360</v>
      </c>
      <c r="AD196" s="3">
        <f>VLOOKUP(E196,Table4[],7,0)</f>
        <v>720</v>
      </c>
      <c r="AE196" s="83">
        <f>IF(Table1[[#This Row],[زمان آخرین رفع توقف قبل از توقف فعلی]]="","",(Table1[[#This Row],[زمان توقف]]-Table1[[#This Row],[زمان آخرین رفع توقف قبل از توقف فعلی]])/60)</f>
        <v>57.016666666666666</v>
      </c>
      <c r="AF19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738213780</v>
      </c>
    </row>
    <row r="197" spans="1:32">
      <c r="A197" s="36">
        <v>198</v>
      </c>
      <c r="B197" s="36" t="s">
        <v>1289</v>
      </c>
      <c r="C197" s="36" t="s">
        <v>814</v>
      </c>
      <c r="D197" s="36"/>
      <c r="E197" s="85" t="s">
        <v>485</v>
      </c>
      <c r="F197" s="36" t="s">
        <v>12</v>
      </c>
      <c r="G197" s="56" t="s">
        <v>1106</v>
      </c>
      <c r="H197" s="53">
        <v>0.86805555555555558</v>
      </c>
      <c r="I197" s="6" t="str">
        <f>LEFT(Table1[[#This Row],[تاریخ توقف]],4)</f>
        <v>1404</v>
      </c>
      <c r="J197" s="6" t="str">
        <f>VLOOKUP(Table1[[#This Row],[ماه توقف]],Table2[],3,0)</f>
        <v>پاییز</v>
      </c>
      <c r="K197" s="3">
        <f>_xlfn.NUMBERVALUE(RIGHT(LEFT(Table1[[#This Row],[تاریخ توقف]],7),2))</f>
        <v>7</v>
      </c>
      <c r="L197" s="3" t="str">
        <f>RIGHT(LEFT(Table1[[#This Row],[تاریخ توقف]],10),2)</f>
        <v>05</v>
      </c>
      <c r="M197" s="3">
        <f>HOUR(Table1[[#This Row],[زمان شروع توقف]])</f>
        <v>20</v>
      </c>
      <c r="N197" s="3">
        <f>MINUTE(Table1[[#This Row],[زمان شروع توقف]])</f>
        <v>50</v>
      </c>
      <c r="O197" s="3">
        <f>((Table1[[#This Row],[سال توقف]]*365+IF(Table1[[#This Row],[ماه توقف]]&lt;7,(Table1[[#This Row],[ماه توقف]]-1)*31,6*31+(Table1[[#This Row],[ماه توقف]]-6-1)*30)+(Table1[[#This Row],[روز توقف]])-1)*24+Table1[[#This Row],[ساعت توقف2]])*60+Table1[[#This Row],[دقیقه توقف]]</f>
        <v>738217250</v>
      </c>
      <c r="P197" s="56" t="s">
        <v>1106</v>
      </c>
      <c r="Q197" s="53">
        <v>0.96527777777777779</v>
      </c>
      <c r="R197" s="3" t="str">
        <f>LEFT(Table1[[#This Row],[تاریخ پایان توقف]],4)</f>
        <v>1404</v>
      </c>
      <c r="S197" s="3" t="str">
        <f>_xlfn.IFNA(VLOOKUP(Table1[[#This Row],[ماه رفع توقف]],Table2[],3,0),"در حال تعمیر")</f>
        <v>پاییز</v>
      </c>
      <c r="T197" s="3">
        <f>_xlfn.NUMBERVALUE(RIGHT(LEFT(Table1[[#This Row],[تاریخ پایان توقف]],7),2))</f>
        <v>7</v>
      </c>
      <c r="U197" s="3" t="str">
        <f>RIGHT(LEFT(Table1[[#This Row],[تاریخ پایان توقف]],10),2)</f>
        <v>05</v>
      </c>
      <c r="V197" s="3">
        <f>HOUR(Table1[[#This Row],[زمان پایان توقف]])</f>
        <v>23</v>
      </c>
      <c r="W197" s="3">
        <f>MINUTE(Table1[[#This Row],[زمان پایان توقف]])</f>
        <v>10</v>
      </c>
      <c r="X19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738217390</v>
      </c>
      <c r="Y197" s="42" t="s">
        <v>78</v>
      </c>
      <c r="Z197" s="83">
        <f>IFERROR((IF(Table1[[#This Row],[تاریخ پایان توقف]]&lt;&gt;"",Table1[[#This Row],[زمان رفع توقف]]-Table1[[#This Row],[زمان توقف]],"")/60),"")</f>
        <v>2.3333333333333335</v>
      </c>
      <c r="AA197" s="3">
        <f>VLOOKUP(E197,Table4[],4,0)</f>
        <v>24</v>
      </c>
      <c r="AB197" s="3">
        <f>VLOOKUP(E197,Table4[],5,0)</f>
        <v>0.2</v>
      </c>
      <c r="AC197" s="3">
        <v>360</v>
      </c>
      <c r="AD197" s="3">
        <f>VLOOKUP(E197,Table4[],7,0)</f>
        <v>720</v>
      </c>
      <c r="AE197" s="83">
        <f>IF(Table1[[#This Row],[زمان آخرین رفع توقف قبل از توقف فعلی]]="","",(Table1[[#This Row],[زمان توقف]]-Table1[[#This Row],[زمان آخرین رفع توقف قبل از توقف فعلی]])/60)</f>
        <v>723.33333333333337</v>
      </c>
      <c r="AF19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738173850</v>
      </c>
    </row>
    <row r="198" spans="1:32">
      <c r="A198" s="36">
        <v>199</v>
      </c>
      <c r="B198" s="36" t="s">
        <v>99</v>
      </c>
      <c r="C198" s="36" t="s">
        <v>1093</v>
      </c>
      <c r="D198" s="36" t="s">
        <v>1078</v>
      </c>
      <c r="E198" s="85" t="s">
        <v>1079</v>
      </c>
      <c r="F198" s="36" t="s">
        <v>12</v>
      </c>
      <c r="G198" s="56" t="s">
        <v>1107</v>
      </c>
      <c r="H198" s="53">
        <v>0.39930555555555558</v>
      </c>
      <c r="I198" s="6" t="str">
        <f>LEFT(Table1[[#This Row],[تاریخ توقف]],4)</f>
        <v>1404</v>
      </c>
      <c r="J198" s="6" t="str">
        <f>VLOOKUP(Table1[[#This Row],[ماه توقف]],Table2[],3,0)</f>
        <v>پاییز</v>
      </c>
      <c r="K198" s="3">
        <f>_xlfn.NUMBERVALUE(RIGHT(LEFT(Table1[[#This Row],[تاریخ توقف]],7),2))</f>
        <v>7</v>
      </c>
      <c r="L198" s="3" t="str">
        <f>RIGHT(LEFT(Table1[[#This Row],[تاریخ توقف]],10),2)</f>
        <v>07</v>
      </c>
      <c r="M198" s="3">
        <f>HOUR(Table1[[#This Row],[زمان شروع توقف]])</f>
        <v>9</v>
      </c>
      <c r="N198" s="3">
        <f>MINUTE(Table1[[#This Row],[زمان شروع توقف]])</f>
        <v>35</v>
      </c>
      <c r="O198" s="3">
        <f>((Table1[[#This Row],[سال توقف]]*365+IF(Table1[[#This Row],[ماه توقف]]&lt;7,(Table1[[#This Row],[ماه توقف]]-1)*31,6*31+(Table1[[#This Row],[ماه توقف]]-6-1)*30)+(Table1[[#This Row],[روز توقف]])-1)*24+Table1[[#This Row],[ساعت توقف2]])*60+Table1[[#This Row],[دقیقه توقف]]</f>
        <v>738219455</v>
      </c>
      <c r="P198" s="56" t="s">
        <v>1107</v>
      </c>
      <c r="Q198" s="53">
        <v>0.51388888888888884</v>
      </c>
      <c r="R198" s="3" t="str">
        <f>LEFT(Table1[[#This Row],[تاریخ پایان توقف]],4)</f>
        <v>1404</v>
      </c>
      <c r="S198" s="3" t="str">
        <f>_xlfn.IFNA(VLOOKUP(Table1[[#This Row],[ماه رفع توقف]],Table2[],3,0),"در حال تعمیر")</f>
        <v>پاییز</v>
      </c>
      <c r="T198" s="3">
        <f>_xlfn.NUMBERVALUE(RIGHT(LEFT(Table1[[#This Row],[تاریخ پایان توقف]],7),2))</f>
        <v>7</v>
      </c>
      <c r="U198" s="3" t="str">
        <f>RIGHT(LEFT(Table1[[#This Row],[تاریخ پایان توقف]],10),2)</f>
        <v>07</v>
      </c>
      <c r="V198" s="3">
        <f>HOUR(Table1[[#This Row],[زمان پایان توقف]])</f>
        <v>12</v>
      </c>
      <c r="W198" s="3">
        <f>MINUTE(Table1[[#This Row],[زمان پایان توقف]])</f>
        <v>20</v>
      </c>
      <c r="X19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738219620</v>
      </c>
      <c r="Y198" s="42" t="s">
        <v>1243</v>
      </c>
      <c r="Z198" s="83">
        <f>IFERROR((IF(Table1[[#This Row],[تاریخ پایان توقف]]&lt;&gt;"",Table1[[#This Row],[زمان رفع توقف]]-Table1[[#This Row],[زمان توقف]],"")/60),"")</f>
        <v>2.75</v>
      </c>
      <c r="AA198" s="3">
        <f>VLOOKUP(E198,Table4[],4,0)</f>
        <v>24</v>
      </c>
      <c r="AB198" s="3">
        <f>VLOOKUP(E198,Table4[],5,0)</f>
        <v>0.2</v>
      </c>
      <c r="AC198" s="3">
        <v>360</v>
      </c>
      <c r="AD198" s="3">
        <f>VLOOKUP(E198,Table4[],7,0)</f>
        <v>720</v>
      </c>
      <c r="AE198" s="83">
        <f>IF(Table1[[#This Row],[زمان آخرین رفع توقف قبل از توقف فعلی]]="","",(Table1[[#This Row],[زمان توقف]]-Table1[[#This Row],[زمان آخرین رفع توقف قبل از توقف فعلی]])/60)</f>
        <v>66.666666666666671</v>
      </c>
      <c r="AF19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738215455</v>
      </c>
    </row>
    <row r="199" spans="1:32">
      <c r="A199" s="36">
        <v>200</v>
      </c>
      <c r="B199" s="36" t="s">
        <v>99</v>
      </c>
      <c r="C199" s="36" t="s">
        <v>1093</v>
      </c>
      <c r="D199" s="36" t="s">
        <v>1078</v>
      </c>
      <c r="E199" s="85" t="s">
        <v>1079</v>
      </c>
      <c r="F199" s="36" t="s">
        <v>12</v>
      </c>
      <c r="G199" s="56" t="s">
        <v>1108</v>
      </c>
      <c r="H199" s="53">
        <v>3.125E-2</v>
      </c>
      <c r="I199" s="6" t="str">
        <f>LEFT(Table1[[#This Row],[تاریخ توقف]],4)</f>
        <v>1404</v>
      </c>
      <c r="J199" s="6" t="str">
        <f>VLOOKUP(Table1[[#This Row],[ماه توقف]],Table2[],3,0)</f>
        <v>پاییز</v>
      </c>
      <c r="K199" s="3">
        <f>_xlfn.NUMBERVALUE(RIGHT(LEFT(Table1[[#This Row],[تاریخ توقف]],7),2))</f>
        <v>7</v>
      </c>
      <c r="L199" s="3" t="str">
        <f>RIGHT(LEFT(Table1[[#This Row],[تاریخ توقف]],10),2)</f>
        <v>09</v>
      </c>
      <c r="M199" s="3">
        <f>HOUR(Table1[[#This Row],[زمان شروع توقف]])</f>
        <v>0</v>
      </c>
      <c r="N199" s="3">
        <f>MINUTE(Table1[[#This Row],[زمان شروع توقف]])</f>
        <v>45</v>
      </c>
      <c r="O199" s="3">
        <f>((Table1[[#This Row],[سال توقف]]*365+IF(Table1[[#This Row],[ماه توقف]]&lt;7,(Table1[[#This Row],[ماه توقف]]-1)*31,6*31+(Table1[[#This Row],[ماه توقف]]-6-1)*30)+(Table1[[#This Row],[روز توقف]])-1)*24+Table1[[#This Row],[ساعت توقف2]])*60+Table1[[#This Row],[دقیقه توقف]]</f>
        <v>738221805</v>
      </c>
      <c r="P199" s="56" t="s">
        <v>1315</v>
      </c>
      <c r="Q199" s="53">
        <v>0.4375</v>
      </c>
      <c r="R199" s="3" t="str">
        <f>LEFT(Table1[[#This Row],[تاریخ پایان توقف]],4)</f>
        <v>1404</v>
      </c>
      <c r="S199" s="3" t="str">
        <f>_xlfn.IFNA(VLOOKUP(Table1[[#This Row],[ماه رفع توقف]],Table2[],3,0),"در حال تعمیر")</f>
        <v>زمستان</v>
      </c>
      <c r="T199" s="3">
        <f>_xlfn.NUMBERVALUE(RIGHT(LEFT(Table1[[#This Row],[تاریخ پایان توقف]],7),2))</f>
        <v>10</v>
      </c>
      <c r="U199" s="3" t="str">
        <f>RIGHT(LEFT(Table1[[#This Row],[تاریخ پایان توقف]],10),2)</f>
        <v>02</v>
      </c>
      <c r="V199" s="3">
        <f>HOUR(Table1[[#This Row],[زمان پایان توقف]])</f>
        <v>10</v>
      </c>
      <c r="W199" s="3">
        <f>MINUTE(Table1[[#This Row],[زمان پایان توقف]])</f>
        <v>30</v>
      </c>
      <c r="X19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738341910</v>
      </c>
      <c r="Y199" s="42" t="s">
        <v>1244</v>
      </c>
      <c r="Z199" s="83">
        <f>IFERROR((IF(Table1[[#This Row],[تاریخ پایان توقف]]&lt;&gt;"",Table1[[#This Row],[زمان رفع توقف]]-Table1[[#This Row],[زمان توقف]],"")/60),"")</f>
        <v>2001.75</v>
      </c>
      <c r="AA199" s="3">
        <f>VLOOKUP(E199,Table4[],4,0)</f>
        <v>24</v>
      </c>
      <c r="AB199" s="3">
        <f>VLOOKUP(E199,Table4[],5,0)</f>
        <v>0.2</v>
      </c>
      <c r="AC199" s="3">
        <v>360</v>
      </c>
      <c r="AD199" s="3">
        <f>VLOOKUP(E199,Table4[],7,0)</f>
        <v>720</v>
      </c>
      <c r="AE199" s="83">
        <f>IF(Table1[[#This Row],[زمان آخرین رفع توقف قبل از توقف فعلی]]="","",(Table1[[#This Row],[زمان توقف]]-Table1[[#This Row],[زمان آخرین رفع توقف قبل از توقف فعلی]])/60)</f>
        <v>36.416666666666664</v>
      </c>
      <c r="AF19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738219620</v>
      </c>
    </row>
    <row r="200" spans="1:32">
      <c r="A200" s="36">
        <v>201</v>
      </c>
      <c r="B200" s="36" t="s">
        <v>98</v>
      </c>
      <c r="C200" s="36" t="s">
        <v>116</v>
      </c>
      <c r="D200" s="36" t="s">
        <v>115</v>
      </c>
      <c r="E200" s="86" t="s">
        <v>117</v>
      </c>
      <c r="F200" s="36" t="s">
        <v>12</v>
      </c>
      <c r="G200" s="56" t="s">
        <v>1109</v>
      </c>
      <c r="H200" s="53">
        <v>0.27083333333333331</v>
      </c>
      <c r="I200" s="6" t="str">
        <f>LEFT(Table1[[#This Row],[تاریخ توقف]],4)</f>
        <v>1404</v>
      </c>
      <c r="J200" s="6" t="str">
        <f>VLOOKUP(Table1[[#This Row],[ماه توقف]],Table2[],3,0)</f>
        <v>پاییز</v>
      </c>
      <c r="K200" s="3">
        <f>_xlfn.NUMBERVALUE(RIGHT(LEFT(Table1[[#This Row],[تاریخ توقف]],7),2))</f>
        <v>7</v>
      </c>
      <c r="L200" s="3" t="str">
        <f>RIGHT(LEFT(Table1[[#This Row],[تاریخ توقف]],10),2)</f>
        <v>10</v>
      </c>
      <c r="M200" s="3">
        <f>HOUR(Table1[[#This Row],[زمان شروع توقف]])</f>
        <v>6</v>
      </c>
      <c r="N200" s="3">
        <f>MINUTE(Table1[[#This Row],[زمان شروع توقف]])</f>
        <v>30</v>
      </c>
      <c r="O200" s="3">
        <f>((Table1[[#This Row],[سال توقف]]*365+IF(Table1[[#This Row],[ماه توقف]]&lt;7,(Table1[[#This Row],[ماه توقف]]-1)*31,6*31+(Table1[[#This Row],[ماه توقف]]-6-1)*30)+(Table1[[#This Row],[روز توقف]])-1)*24+Table1[[#This Row],[ساعت توقف2]])*60+Table1[[#This Row],[دقیقه توقف]]</f>
        <v>738223590</v>
      </c>
      <c r="P200" s="56" t="s">
        <v>1109</v>
      </c>
      <c r="Q200" s="53">
        <v>0.85763888888888884</v>
      </c>
      <c r="R200" s="3" t="str">
        <f>LEFT(Table1[[#This Row],[تاریخ پایان توقف]],4)</f>
        <v>1404</v>
      </c>
      <c r="S200" s="3" t="str">
        <f>_xlfn.IFNA(VLOOKUP(Table1[[#This Row],[ماه رفع توقف]],Table2[],3,0),"در حال تعمیر")</f>
        <v>پاییز</v>
      </c>
      <c r="T200" s="3">
        <f>_xlfn.NUMBERVALUE(RIGHT(LEFT(Table1[[#This Row],[تاریخ پایان توقف]],7),2))</f>
        <v>7</v>
      </c>
      <c r="U200" s="3" t="str">
        <f>RIGHT(LEFT(Table1[[#This Row],[تاریخ پایان توقف]],10),2)</f>
        <v>10</v>
      </c>
      <c r="V200" s="3">
        <f>HOUR(Table1[[#This Row],[زمان پایان توقف]])</f>
        <v>20</v>
      </c>
      <c r="W200" s="3">
        <f>MINUTE(Table1[[#This Row],[زمان پایان توقف]])</f>
        <v>35</v>
      </c>
      <c r="X20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738224435</v>
      </c>
      <c r="Y200" s="42" t="s">
        <v>1245</v>
      </c>
      <c r="Z200" s="83">
        <f>IFERROR((IF(Table1[[#This Row],[تاریخ پایان توقف]]&lt;&gt;"",Table1[[#This Row],[زمان رفع توقف]]-Table1[[#This Row],[زمان توقف]],"")/60),"")</f>
        <v>14.083333333333334</v>
      </c>
      <c r="AA200" s="3">
        <f>VLOOKUP(E200,Table4[],4,0)</f>
        <v>24</v>
      </c>
      <c r="AB200" s="3">
        <f>VLOOKUP(E200,Table4[],5,0)</f>
        <v>0.2</v>
      </c>
      <c r="AC200" s="3">
        <v>360</v>
      </c>
      <c r="AD200" s="3">
        <f>VLOOKUP(E200,Table4[],7,0)</f>
        <v>720</v>
      </c>
      <c r="AE200" s="83">
        <f>IF(Table1[[#This Row],[زمان آخرین رفع توقف قبل از توقف فعلی]]="","",(Table1[[#This Row],[زمان توقف]]-Table1[[#This Row],[زمان آخرین رفع توقف قبل از توقف فعلی]])/60)</f>
        <v>201.83333333333334</v>
      </c>
      <c r="AF20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738211480</v>
      </c>
    </row>
    <row r="201" spans="1:32">
      <c r="A201" s="36">
        <v>202</v>
      </c>
      <c r="B201" s="36" t="s">
        <v>98</v>
      </c>
      <c r="C201" s="36" t="s">
        <v>881</v>
      </c>
      <c r="D201" s="36" t="s">
        <v>905</v>
      </c>
      <c r="E201" s="85" t="s">
        <v>91</v>
      </c>
      <c r="F201" s="36" t="s">
        <v>12</v>
      </c>
      <c r="G201" s="56" t="s">
        <v>1110</v>
      </c>
      <c r="H201" s="53">
        <v>0.50347222222222221</v>
      </c>
      <c r="I201" s="6" t="str">
        <f>LEFT(Table1[[#This Row],[تاریخ توقف]],4)</f>
        <v>1404</v>
      </c>
      <c r="J201" s="6" t="str">
        <f>VLOOKUP(Table1[[#This Row],[ماه توقف]],Table2[],3,0)</f>
        <v>پاییز</v>
      </c>
      <c r="K201" s="3">
        <f>_xlfn.NUMBERVALUE(RIGHT(LEFT(Table1[[#This Row],[تاریخ توقف]],7),2))</f>
        <v>7</v>
      </c>
      <c r="L201" s="3" t="str">
        <f>RIGHT(LEFT(Table1[[#This Row],[تاریخ توقف]],10),2)</f>
        <v>11</v>
      </c>
      <c r="M201" s="3">
        <f>HOUR(Table1[[#This Row],[زمان شروع توقف]])</f>
        <v>12</v>
      </c>
      <c r="N201" s="3">
        <f>MINUTE(Table1[[#This Row],[زمان شروع توقف]])</f>
        <v>5</v>
      </c>
      <c r="O201" s="3">
        <f>((Table1[[#This Row],[سال توقف]]*365+IF(Table1[[#This Row],[ماه توقف]]&lt;7,(Table1[[#This Row],[ماه توقف]]-1)*31,6*31+(Table1[[#This Row],[ماه توقف]]-6-1)*30)+(Table1[[#This Row],[روز توقف]])-1)*24+Table1[[#This Row],[ساعت توقف2]])*60+Table1[[#This Row],[دقیقه توقف]]</f>
        <v>738225365</v>
      </c>
      <c r="P201" s="56" t="s">
        <v>1110</v>
      </c>
      <c r="Q201" s="53">
        <v>0.54513888888888884</v>
      </c>
      <c r="R201" s="3" t="str">
        <f>LEFT(Table1[[#This Row],[تاریخ پایان توقف]],4)</f>
        <v>1404</v>
      </c>
      <c r="S201" s="3" t="str">
        <f>_xlfn.IFNA(VLOOKUP(Table1[[#This Row],[ماه رفع توقف]],Table2[],3,0),"در حال تعمیر")</f>
        <v>پاییز</v>
      </c>
      <c r="T201" s="3">
        <f>_xlfn.NUMBERVALUE(RIGHT(LEFT(Table1[[#This Row],[تاریخ پایان توقف]],7),2))</f>
        <v>7</v>
      </c>
      <c r="U201" s="3" t="str">
        <f>RIGHT(LEFT(Table1[[#This Row],[تاریخ پایان توقف]],10),2)</f>
        <v>11</v>
      </c>
      <c r="V201" s="3">
        <f>HOUR(Table1[[#This Row],[زمان پایان توقف]])</f>
        <v>13</v>
      </c>
      <c r="W201" s="3">
        <f>MINUTE(Table1[[#This Row],[زمان پایان توقف]])</f>
        <v>5</v>
      </c>
      <c r="X20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738225425</v>
      </c>
      <c r="Y201" s="42" t="s">
        <v>1246</v>
      </c>
      <c r="Z201" s="83">
        <f>IFERROR((IF(Table1[[#This Row],[تاریخ پایان توقف]]&lt;&gt;"",Table1[[#This Row],[زمان رفع توقف]]-Table1[[#This Row],[زمان توقف]],"")/60),"")</f>
        <v>1</v>
      </c>
      <c r="AA201" s="3">
        <f>VLOOKUP(E201,Table4[],4,0)</f>
        <v>24</v>
      </c>
      <c r="AB201" s="3">
        <f>VLOOKUP(E201,Table4[],5,0)</f>
        <v>0.2</v>
      </c>
      <c r="AC201" s="3">
        <v>360</v>
      </c>
      <c r="AD201" s="3">
        <f>VLOOKUP(E201,Table4[],7,0)</f>
        <v>720</v>
      </c>
      <c r="AE201" s="83">
        <f>IF(Table1[[#This Row],[زمان آخرین رفع توقف قبل از توقف فعلی]]="","",(Table1[[#This Row],[زمان توقف]]-Table1[[#This Row],[زمان آخرین رفع توقف قبل از توقف فعلی]])/60)</f>
        <v>356.58333333333331</v>
      </c>
      <c r="AF20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738203970</v>
      </c>
    </row>
    <row r="202" spans="1:32">
      <c r="A202" s="36">
        <v>203</v>
      </c>
      <c r="B202" s="36" t="s">
        <v>98</v>
      </c>
      <c r="C202" s="36" t="s">
        <v>121</v>
      </c>
      <c r="D202" s="36" t="s">
        <v>120</v>
      </c>
      <c r="E202" s="86" t="s">
        <v>122</v>
      </c>
      <c r="F202" s="36" t="s">
        <v>12</v>
      </c>
      <c r="G202" s="56" t="s">
        <v>1111</v>
      </c>
      <c r="H202" s="53">
        <v>0.41666666666666669</v>
      </c>
      <c r="I202" s="6" t="str">
        <f>LEFT(Table1[[#This Row],[تاریخ توقف]],4)</f>
        <v>1404</v>
      </c>
      <c r="J202" s="6" t="str">
        <f>VLOOKUP(Table1[[#This Row],[ماه توقف]],Table2[],3,0)</f>
        <v>پاییز</v>
      </c>
      <c r="K202" s="3">
        <f>_xlfn.NUMBERVALUE(RIGHT(LEFT(Table1[[#This Row],[تاریخ توقف]],7),2))</f>
        <v>7</v>
      </c>
      <c r="L202" s="3" t="str">
        <f>RIGHT(LEFT(Table1[[#This Row],[تاریخ توقف]],10),2)</f>
        <v>14</v>
      </c>
      <c r="M202" s="3">
        <f>HOUR(Table1[[#This Row],[زمان شروع توقف]])</f>
        <v>10</v>
      </c>
      <c r="N202" s="3">
        <f>MINUTE(Table1[[#This Row],[زمان شروع توقف]])</f>
        <v>0</v>
      </c>
      <c r="O202" s="3">
        <f>((Table1[[#This Row],[سال توقف]]*365+IF(Table1[[#This Row],[ماه توقف]]&lt;7,(Table1[[#This Row],[ماه توقف]]-1)*31,6*31+(Table1[[#This Row],[ماه توقف]]-6-1)*30)+(Table1[[#This Row],[روز توقف]])-1)*24+Table1[[#This Row],[ساعت توقف2]])*60+Table1[[#This Row],[دقیقه توقف]]</f>
        <v>738229560</v>
      </c>
      <c r="P202" s="56" t="s">
        <v>1111</v>
      </c>
      <c r="Q202" s="53">
        <v>0.42499999999999999</v>
      </c>
      <c r="R202" s="3" t="str">
        <f>LEFT(Table1[[#This Row],[تاریخ پایان توقف]],4)</f>
        <v>1404</v>
      </c>
      <c r="S202" s="3" t="str">
        <f>_xlfn.IFNA(VLOOKUP(Table1[[#This Row],[ماه رفع توقف]],Table2[],3,0),"در حال تعمیر")</f>
        <v>پاییز</v>
      </c>
      <c r="T202" s="3">
        <f>_xlfn.NUMBERVALUE(RIGHT(LEFT(Table1[[#This Row],[تاریخ پایان توقف]],7),2))</f>
        <v>7</v>
      </c>
      <c r="U202" s="3" t="str">
        <f>RIGHT(LEFT(Table1[[#This Row],[تاریخ پایان توقف]],10),2)</f>
        <v>14</v>
      </c>
      <c r="V202" s="3">
        <f>HOUR(Table1[[#This Row],[زمان پایان توقف]])</f>
        <v>10</v>
      </c>
      <c r="W202" s="3">
        <f>MINUTE(Table1[[#This Row],[زمان پایان توقف]])</f>
        <v>12</v>
      </c>
      <c r="X20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738229572</v>
      </c>
      <c r="Y202" s="42" t="s">
        <v>1247</v>
      </c>
      <c r="Z202" s="83">
        <f>IFERROR((IF(Table1[[#This Row],[تاریخ پایان توقف]]&lt;&gt;"",Table1[[#This Row],[زمان رفع توقف]]-Table1[[#This Row],[زمان توقف]],"")/60),"")</f>
        <v>0.2</v>
      </c>
      <c r="AA202" s="3">
        <f>VLOOKUP(E202,Table4[],4,0)</f>
        <v>24</v>
      </c>
      <c r="AB202" s="3">
        <f>VLOOKUP(E202,Table4[],5,0)</f>
        <v>0.2</v>
      </c>
      <c r="AC202" s="3">
        <v>360</v>
      </c>
      <c r="AD202" s="3">
        <f>VLOOKUP(E202,Table4[],7,0)</f>
        <v>720</v>
      </c>
      <c r="AE202" s="83">
        <f>IF(Table1[[#This Row],[زمان آخرین رفع توقف قبل از توقف فعلی]]="","",(Table1[[#This Row],[زمان توقف]]-Table1[[#This Row],[زمان آخرین رفع توقف قبل از توقف فعلی]])/60)</f>
        <v>424.25</v>
      </c>
      <c r="AF20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738204105</v>
      </c>
    </row>
    <row r="203" spans="1:32">
      <c r="A203" s="36">
        <v>204</v>
      </c>
      <c r="B203" s="36" t="s">
        <v>98</v>
      </c>
      <c r="C203" s="36" t="s">
        <v>50</v>
      </c>
      <c r="D203" s="36" t="s">
        <v>45</v>
      </c>
      <c r="E203" s="85" t="s">
        <v>374</v>
      </c>
      <c r="F203" s="36" t="s">
        <v>12</v>
      </c>
      <c r="G203" s="56" t="s">
        <v>1111</v>
      </c>
      <c r="H203" s="53">
        <v>0.45208333333333334</v>
      </c>
      <c r="I203" s="6" t="str">
        <f>LEFT(Table1[[#This Row],[تاریخ توقف]],4)</f>
        <v>1404</v>
      </c>
      <c r="J203" s="6" t="str">
        <f>VLOOKUP(Table1[[#This Row],[ماه توقف]],Table2[],3,0)</f>
        <v>پاییز</v>
      </c>
      <c r="K203" s="3">
        <f>_xlfn.NUMBERVALUE(RIGHT(LEFT(Table1[[#This Row],[تاریخ توقف]],7),2))</f>
        <v>7</v>
      </c>
      <c r="L203" s="3" t="str">
        <f>RIGHT(LEFT(Table1[[#This Row],[تاریخ توقف]],10),2)</f>
        <v>14</v>
      </c>
      <c r="M203" s="3">
        <f>HOUR(Table1[[#This Row],[زمان شروع توقف]])</f>
        <v>10</v>
      </c>
      <c r="N203" s="3">
        <f>MINUTE(Table1[[#This Row],[زمان شروع توقف]])</f>
        <v>51</v>
      </c>
      <c r="O203" s="3">
        <f>((Table1[[#This Row],[سال توقف]]*365+IF(Table1[[#This Row],[ماه توقف]]&lt;7,(Table1[[#This Row],[ماه توقف]]-1)*31,6*31+(Table1[[#This Row],[ماه توقف]]-6-1)*30)+(Table1[[#This Row],[روز توقف]])-1)*24+Table1[[#This Row],[ساعت توقف2]])*60+Table1[[#This Row],[دقیقه توقف]]</f>
        <v>738229611</v>
      </c>
      <c r="P203" s="56" t="s">
        <v>1111</v>
      </c>
      <c r="Q203" s="53">
        <v>0.45208333333333334</v>
      </c>
      <c r="R203" s="3" t="str">
        <f>LEFT(Table1[[#This Row],[تاریخ پایان توقف]],4)</f>
        <v>1404</v>
      </c>
      <c r="S203" s="3" t="str">
        <f>_xlfn.IFNA(VLOOKUP(Table1[[#This Row],[ماه رفع توقف]],Table2[],3,0),"در حال تعمیر")</f>
        <v>پاییز</v>
      </c>
      <c r="T203" s="3">
        <f>_xlfn.NUMBERVALUE(RIGHT(LEFT(Table1[[#This Row],[تاریخ پایان توقف]],7),2))</f>
        <v>7</v>
      </c>
      <c r="U203" s="3" t="str">
        <f>RIGHT(LEFT(Table1[[#This Row],[تاریخ پایان توقف]],10),2)</f>
        <v>14</v>
      </c>
      <c r="V203" s="3">
        <f>HOUR(Table1[[#This Row],[زمان پایان توقف]])</f>
        <v>10</v>
      </c>
      <c r="W203" s="3">
        <f>MINUTE(Table1[[#This Row],[زمان پایان توقف]])</f>
        <v>51</v>
      </c>
      <c r="X20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738229611</v>
      </c>
      <c r="Y203" s="42" t="s">
        <v>1248</v>
      </c>
      <c r="Z203" s="83">
        <f>IFERROR((IF(Table1[[#This Row],[تاریخ پایان توقف]]&lt;&gt;"",Table1[[#This Row],[زمان رفع توقف]]-Table1[[#This Row],[زمان توقف]],"")/60),"")</f>
        <v>0</v>
      </c>
      <c r="AA203" s="3">
        <f>VLOOKUP(E203,Table4[],4,0)</f>
        <v>24</v>
      </c>
      <c r="AB203" s="3">
        <f>VLOOKUP(E203,Table4[],5,0)</f>
        <v>0.2</v>
      </c>
      <c r="AC203" s="3">
        <v>360</v>
      </c>
      <c r="AD203" s="3">
        <f>VLOOKUP(E203,Table4[],7,0)</f>
        <v>720</v>
      </c>
      <c r="AE203" s="83">
        <f>IF(Table1[[#This Row],[زمان آخرین رفع توقف قبل از توقف فعلی]]="","",(Table1[[#This Row],[زمان توقف]]-Table1[[#This Row],[زمان آخرین رفع توقف قبل از توقف فعلی]])/60)</f>
        <v>205.88333333333333</v>
      </c>
      <c r="AF20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738217258</v>
      </c>
    </row>
    <row r="204" spans="1:32" ht="30">
      <c r="A204" s="36">
        <v>205</v>
      </c>
      <c r="B204" s="36" t="s">
        <v>98</v>
      </c>
      <c r="C204" s="36" t="s">
        <v>50</v>
      </c>
      <c r="D204" s="36" t="s">
        <v>45</v>
      </c>
      <c r="E204" s="85" t="s">
        <v>374</v>
      </c>
      <c r="F204" s="36" t="s">
        <v>12</v>
      </c>
      <c r="G204" s="56" t="s">
        <v>1111</v>
      </c>
      <c r="H204" s="53">
        <v>0.45694444444444443</v>
      </c>
      <c r="I204" s="6" t="str">
        <f>LEFT(Table1[[#This Row],[تاریخ توقف]],4)</f>
        <v>1404</v>
      </c>
      <c r="J204" s="6" t="str">
        <f>VLOOKUP(Table1[[#This Row],[ماه توقف]],Table2[],3,0)</f>
        <v>پاییز</v>
      </c>
      <c r="K204" s="3">
        <f>_xlfn.NUMBERVALUE(RIGHT(LEFT(Table1[[#This Row],[تاریخ توقف]],7),2))</f>
        <v>7</v>
      </c>
      <c r="L204" s="3" t="str">
        <f>RIGHT(LEFT(Table1[[#This Row],[تاریخ توقف]],10),2)</f>
        <v>14</v>
      </c>
      <c r="M204" s="3">
        <f>HOUR(Table1[[#This Row],[زمان شروع توقف]])</f>
        <v>10</v>
      </c>
      <c r="N204" s="3">
        <f>MINUTE(Table1[[#This Row],[زمان شروع توقف]])</f>
        <v>58</v>
      </c>
      <c r="O204" s="3">
        <f>((Table1[[#This Row],[سال توقف]]*365+IF(Table1[[#This Row],[ماه توقف]]&lt;7,(Table1[[#This Row],[ماه توقف]]-1)*31,6*31+(Table1[[#This Row],[ماه توقف]]-6-1)*30)+(Table1[[#This Row],[روز توقف]])-1)*24+Table1[[#This Row],[ساعت توقف2]])*60+Table1[[#This Row],[دقیقه توقف]]</f>
        <v>738229618</v>
      </c>
      <c r="P204" s="56" t="s">
        <v>1111</v>
      </c>
      <c r="Q204" s="53">
        <v>0.45694444444444443</v>
      </c>
      <c r="R204" s="3" t="str">
        <f>LEFT(Table1[[#This Row],[تاریخ پایان توقف]],4)</f>
        <v>1404</v>
      </c>
      <c r="S204" s="3" t="str">
        <f>_xlfn.IFNA(VLOOKUP(Table1[[#This Row],[ماه رفع توقف]],Table2[],3,0),"در حال تعمیر")</f>
        <v>پاییز</v>
      </c>
      <c r="T204" s="3">
        <f>_xlfn.NUMBERVALUE(RIGHT(LEFT(Table1[[#This Row],[تاریخ پایان توقف]],7),2))</f>
        <v>7</v>
      </c>
      <c r="U204" s="3" t="str">
        <f>RIGHT(LEFT(Table1[[#This Row],[تاریخ پایان توقف]],10),2)</f>
        <v>14</v>
      </c>
      <c r="V204" s="3">
        <f>HOUR(Table1[[#This Row],[زمان پایان توقف]])</f>
        <v>10</v>
      </c>
      <c r="W204" s="3">
        <f>MINUTE(Table1[[#This Row],[زمان پایان توقف]])</f>
        <v>58</v>
      </c>
      <c r="X20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738229618</v>
      </c>
      <c r="Y204" s="50" t="s">
        <v>1249</v>
      </c>
      <c r="Z204" s="83">
        <f>IFERROR((IF(Table1[[#This Row],[تاریخ پایان توقف]]&lt;&gt;"",Table1[[#This Row],[زمان رفع توقف]]-Table1[[#This Row],[زمان توقف]],"")/60),"")</f>
        <v>0</v>
      </c>
      <c r="AA204" s="3">
        <f>VLOOKUP(E204,Table4[],4,0)</f>
        <v>24</v>
      </c>
      <c r="AB204" s="3">
        <f>VLOOKUP(E204,Table4[],5,0)</f>
        <v>0.2</v>
      </c>
      <c r="AC204" s="3">
        <v>360</v>
      </c>
      <c r="AD204" s="3">
        <f>VLOOKUP(E204,Table4[],7,0)</f>
        <v>720</v>
      </c>
      <c r="AE204" s="83">
        <f>IF(Table1[[#This Row],[زمان آخرین رفع توقف قبل از توقف فعلی]]="","",(Table1[[#This Row],[زمان توقف]]-Table1[[#This Row],[زمان آخرین رفع توقف قبل از توقف فعلی]])/60)</f>
        <v>0.11666666666666667</v>
      </c>
      <c r="AF20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738229611</v>
      </c>
    </row>
    <row r="205" spans="1:32">
      <c r="A205" s="36">
        <v>206</v>
      </c>
      <c r="B205" s="36" t="s">
        <v>98</v>
      </c>
      <c r="C205" s="36" t="s">
        <v>1050</v>
      </c>
      <c r="D205" s="36" t="s">
        <v>1095</v>
      </c>
      <c r="E205" s="85" t="s">
        <v>224</v>
      </c>
      <c r="F205" s="36" t="s">
        <v>12</v>
      </c>
      <c r="G205" s="56" t="s">
        <v>1112</v>
      </c>
      <c r="H205" s="53">
        <v>0.51736111111111116</v>
      </c>
      <c r="I205" s="6" t="str">
        <f>LEFT(Table1[[#This Row],[تاریخ توقف]],4)</f>
        <v>1404</v>
      </c>
      <c r="J205" s="6" t="str">
        <f>VLOOKUP(Table1[[#This Row],[ماه توقف]],Table2[],3,0)</f>
        <v>پاییز</v>
      </c>
      <c r="K205" s="3">
        <f>_xlfn.NUMBERVALUE(RIGHT(LEFT(Table1[[#This Row],[تاریخ توقف]],7),2))</f>
        <v>7</v>
      </c>
      <c r="L205" s="3" t="str">
        <f>RIGHT(LEFT(Table1[[#This Row],[تاریخ توقف]],10),2)</f>
        <v>15</v>
      </c>
      <c r="M205" s="3">
        <f>HOUR(Table1[[#This Row],[زمان شروع توقف]])</f>
        <v>12</v>
      </c>
      <c r="N205" s="3">
        <f>MINUTE(Table1[[#This Row],[زمان شروع توقف]])</f>
        <v>25</v>
      </c>
      <c r="O205" s="3">
        <f>((Table1[[#This Row],[سال توقف]]*365+IF(Table1[[#This Row],[ماه توقف]]&lt;7,(Table1[[#This Row],[ماه توقف]]-1)*31,6*31+(Table1[[#This Row],[ماه توقف]]-6-1)*30)+(Table1[[#This Row],[روز توقف]])-1)*24+Table1[[#This Row],[ساعت توقف2]])*60+Table1[[#This Row],[دقیقه توقف]]</f>
        <v>738231145</v>
      </c>
      <c r="P205" s="56" t="s">
        <v>1112</v>
      </c>
      <c r="Q205" s="53">
        <v>0.5395833333333333</v>
      </c>
      <c r="R205" s="3" t="str">
        <f>LEFT(Table1[[#This Row],[تاریخ پایان توقف]],4)</f>
        <v>1404</v>
      </c>
      <c r="S205" s="3" t="str">
        <f>_xlfn.IFNA(VLOOKUP(Table1[[#This Row],[ماه رفع توقف]],Table2[],3,0),"در حال تعمیر")</f>
        <v>پاییز</v>
      </c>
      <c r="T205" s="3">
        <f>_xlfn.NUMBERVALUE(RIGHT(LEFT(Table1[[#This Row],[تاریخ پایان توقف]],7),2))</f>
        <v>7</v>
      </c>
      <c r="U205" s="3" t="str">
        <f>RIGHT(LEFT(Table1[[#This Row],[تاریخ پایان توقف]],10),2)</f>
        <v>15</v>
      </c>
      <c r="V205" s="3">
        <f>HOUR(Table1[[#This Row],[زمان پایان توقف]])</f>
        <v>12</v>
      </c>
      <c r="W205" s="3">
        <f>MINUTE(Table1[[#This Row],[زمان پایان توقف]])</f>
        <v>57</v>
      </c>
      <c r="X20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738231177</v>
      </c>
      <c r="Y205" s="42"/>
      <c r="Z205" s="83">
        <f>IFERROR((IF(Table1[[#This Row],[تاریخ پایان توقف]]&lt;&gt;"",Table1[[#This Row],[زمان رفع توقف]]-Table1[[#This Row],[زمان توقف]],"")/60),"")</f>
        <v>0.53333333333333333</v>
      </c>
      <c r="AA205" s="3">
        <f>VLOOKUP(E205,Table4[],4,0)</f>
        <v>24</v>
      </c>
      <c r="AB205" s="3">
        <f>VLOOKUP(E205,Table4[],5,0)</f>
        <v>0.2</v>
      </c>
      <c r="AC205" s="3">
        <v>360</v>
      </c>
      <c r="AD205" s="3">
        <f>VLOOKUP(E205,Table4[],7,0)</f>
        <v>720</v>
      </c>
      <c r="AE205" s="83">
        <f>IF(Table1[[#This Row],[زمان آخرین رفع توقف قبل از توقف فعلی]]="","",(Table1[[#This Row],[زمان توقف]]-Table1[[#This Row],[زمان آخرین رفع توقف قبل از توقف فعلی]])/60)</f>
        <v>458.13333333333333</v>
      </c>
      <c r="AF20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738203657</v>
      </c>
    </row>
    <row r="206" spans="1:32">
      <c r="A206" s="36">
        <v>207</v>
      </c>
      <c r="B206" s="36" t="s">
        <v>98</v>
      </c>
      <c r="C206" s="36" t="s">
        <v>1113</v>
      </c>
      <c r="D206" s="36" t="s">
        <v>106</v>
      </c>
      <c r="E206" s="86" t="s">
        <v>107</v>
      </c>
      <c r="F206" s="36" t="s">
        <v>12</v>
      </c>
      <c r="G206" s="56" t="s">
        <v>1114</v>
      </c>
      <c r="H206" s="53">
        <v>0.33333333333333331</v>
      </c>
      <c r="I206" s="6" t="str">
        <f>LEFT(Table1[[#This Row],[تاریخ توقف]],4)</f>
        <v>1404</v>
      </c>
      <c r="J206" s="6" t="str">
        <f>VLOOKUP(Table1[[#This Row],[ماه توقف]],Table2[],3,0)</f>
        <v>پاییز</v>
      </c>
      <c r="K206" s="3">
        <f>_xlfn.NUMBERVALUE(RIGHT(LEFT(Table1[[#This Row],[تاریخ توقف]],7),2))</f>
        <v>7</v>
      </c>
      <c r="L206" s="3" t="str">
        <f>RIGHT(LEFT(Table1[[#This Row],[تاریخ توقف]],10),2)</f>
        <v>16</v>
      </c>
      <c r="M206" s="3">
        <f>HOUR(Table1[[#This Row],[زمان شروع توقف]])</f>
        <v>8</v>
      </c>
      <c r="N206" s="3">
        <f>MINUTE(Table1[[#This Row],[زمان شروع توقف]])</f>
        <v>0</v>
      </c>
      <c r="O206" s="3">
        <f>((Table1[[#This Row],[سال توقف]]*365+IF(Table1[[#This Row],[ماه توقف]]&lt;7,(Table1[[#This Row],[ماه توقف]]-1)*31,6*31+(Table1[[#This Row],[ماه توقف]]-6-1)*30)+(Table1[[#This Row],[روز توقف]])-1)*24+Table1[[#This Row],[ساعت توقف2]])*60+Table1[[#This Row],[دقیقه توقف]]</f>
        <v>738232320</v>
      </c>
      <c r="P206" s="56" t="s">
        <v>1114</v>
      </c>
      <c r="Q206" s="53">
        <v>0.375</v>
      </c>
      <c r="R206" s="3" t="str">
        <f>LEFT(Table1[[#This Row],[تاریخ پایان توقف]],4)</f>
        <v>1404</v>
      </c>
      <c r="S206" s="3" t="str">
        <f>_xlfn.IFNA(VLOOKUP(Table1[[#This Row],[ماه رفع توقف]],Table2[],3,0),"در حال تعمیر")</f>
        <v>پاییز</v>
      </c>
      <c r="T206" s="3">
        <f>_xlfn.NUMBERVALUE(RIGHT(LEFT(Table1[[#This Row],[تاریخ پایان توقف]],7),2))</f>
        <v>7</v>
      </c>
      <c r="U206" s="3" t="str">
        <f>RIGHT(LEFT(Table1[[#This Row],[تاریخ پایان توقف]],10),2)</f>
        <v>16</v>
      </c>
      <c r="V206" s="3">
        <f>HOUR(Table1[[#This Row],[زمان پایان توقف]])</f>
        <v>9</v>
      </c>
      <c r="W206" s="3">
        <f>MINUTE(Table1[[#This Row],[زمان پایان توقف]])</f>
        <v>0</v>
      </c>
      <c r="X20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738232380</v>
      </c>
      <c r="Y206" s="42" t="s">
        <v>1184</v>
      </c>
      <c r="Z206" s="83">
        <f>IFERROR((IF(Table1[[#This Row],[تاریخ پایان توقف]]&lt;&gt;"",Table1[[#This Row],[زمان رفع توقف]]-Table1[[#This Row],[زمان توقف]],"")/60),"")</f>
        <v>1</v>
      </c>
      <c r="AA206" s="3">
        <f>VLOOKUP(E206,Table4[],4,0)</f>
        <v>24</v>
      </c>
      <c r="AB206" s="3">
        <f>VLOOKUP(E206,Table4[],5,0)</f>
        <v>0.2</v>
      </c>
      <c r="AC206" s="3">
        <v>360</v>
      </c>
      <c r="AD206" s="3">
        <f>VLOOKUP(E206,Table4[],7,0)</f>
        <v>720</v>
      </c>
      <c r="AE206" s="83">
        <f>IF(Table1[[#This Row],[زمان آخرین رفع توقف قبل از توقف فعلی]]="","",(Table1[[#This Row],[زمان توقف]]-Table1[[#This Row],[زمان آخرین رفع توقف قبل از توقف فعلی]])/60)</f>
        <v>1438.15</v>
      </c>
      <c r="AF20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738146031</v>
      </c>
    </row>
    <row r="207" spans="1:32">
      <c r="A207" s="36">
        <v>208</v>
      </c>
      <c r="B207" s="36" t="s">
        <v>98</v>
      </c>
      <c r="C207" s="36" t="s">
        <v>1115</v>
      </c>
      <c r="D207" s="36" t="s">
        <v>115</v>
      </c>
      <c r="E207" s="86" t="s">
        <v>117</v>
      </c>
      <c r="F207" s="36" t="s">
        <v>12</v>
      </c>
      <c r="G207" s="56" t="s">
        <v>1114</v>
      </c>
      <c r="H207" s="53">
        <v>0.375</v>
      </c>
      <c r="I207" s="6" t="str">
        <f>LEFT(Table1[[#This Row],[تاریخ توقف]],4)</f>
        <v>1404</v>
      </c>
      <c r="J207" s="6" t="str">
        <f>VLOOKUP(Table1[[#This Row],[ماه توقف]],Table2[],3,0)</f>
        <v>پاییز</v>
      </c>
      <c r="K207" s="3">
        <f>_xlfn.NUMBERVALUE(RIGHT(LEFT(Table1[[#This Row],[تاریخ توقف]],7),2))</f>
        <v>7</v>
      </c>
      <c r="L207" s="3" t="str">
        <f>RIGHT(LEFT(Table1[[#This Row],[تاریخ توقف]],10),2)</f>
        <v>16</v>
      </c>
      <c r="M207" s="3">
        <f>HOUR(Table1[[#This Row],[زمان شروع توقف]])</f>
        <v>9</v>
      </c>
      <c r="N207" s="3">
        <f>MINUTE(Table1[[#This Row],[زمان شروع توقف]])</f>
        <v>0</v>
      </c>
      <c r="O207" s="3">
        <f>((Table1[[#This Row],[سال توقف]]*365+IF(Table1[[#This Row],[ماه توقف]]&lt;7,(Table1[[#This Row],[ماه توقف]]-1)*31,6*31+(Table1[[#This Row],[ماه توقف]]-6-1)*30)+(Table1[[#This Row],[روز توقف]])-1)*24+Table1[[#This Row],[ساعت توقف2]])*60+Table1[[#This Row],[دقیقه توقف]]</f>
        <v>738232380</v>
      </c>
      <c r="P207" s="56" t="s">
        <v>1114</v>
      </c>
      <c r="Q207" s="53">
        <v>0.38194444444444442</v>
      </c>
      <c r="R207" s="3" t="str">
        <f>LEFT(Table1[[#This Row],[تاریخ پایان توقف]],4)</f>
        <v>1404</v>
      </c>
      <c r="S207" s="3" t="str">
        <f>_xlfn.IFNA(VLOOKUP(Table1[[#This Row],[ماه رفع توقف]],Table2[],3,0),"در حال تعمیر")</f>
        <v>پاییز</v>
      </c>
      <c r="T207" s="3">
        <f>_xlfn.NUMBERVALUE(RIGHT(LEFT(Table1[[#This Row],[تاریخ پایان توقف]],7),2))</f>
        <v>7</v>
      </c>
      <c r="U207" s="3" t="str">
        <f>RIGHT(LEFT(Table1[[#This Row],[تاریخ پایان توقف]],10),2)</f>
        <v>16</v>
      </c>
      <c r="V207" s="3">
        <f>HOUR(Table1[[#This Row],[زمان پایان توقف]])</f>
        <v>9</v>
      </c>
      <c r="W207" s="3">
        <f>MINUTE(Table1[[#This Row],[زمان پایان توقف]])</f>
        <v>10</v>
      </c>
      <c r="X20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738232390</v>
      </c>
      <c r="Y207" s="42" t="s">
        <v>1250</v>
      </c>
      <c r="Z207" s="83">
        <f>IFERROR((IF(Table1[[#This Row],[تاریخ پایان توقف]]&lt;&gt;"",Table1[[#This Row],[زمان رفع توقف]]-Table1[[#This Row],[زمان توقف]],"")/60),"")</f>
        <v>0.16666666666666666</v>
      </c>
      <c r="AA207" s="3">
        <f>VLOOKUP(E207,Table4[],4,0)</f>
        <v>24</v>
      </c>
      <c r="AB207" s="3">
        <f>VLOOKUP(E207,Table4[],5,0)</f>
        <v>0.2</v>
      </c>
      <c r="AC207" s="3">
        <v>360</v>
      </c>
      <c r="AD207" s="3">
        <f>VLOOKUP(E207,Table4[],7,0)</f>
        <v>720</v>
      </c>
      <c r="AE207" s="83">
        <f>IF(Table1[[#This Row],[زمان آخرین رفع توقف قبل از توقف فعلی]]="","",(Table1[[#This Row],[زمان توقف]]-Table1[[#This Row],[زمان آخرین رفع توقف قبل از توقف فعلی]])/60)</f>
        <v>132.41666666666666</v>
      </c>
      <c r="AF20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738224435</v>
      </c>
    </row>
    <row r="208" spans="1:32">
      <c r="A208" s="36">
        <v>209</v>
      </c>
      <c r="B208" s="36" t="s">
        <v>98</v>
      </c>
      <c r="C208" s="36" t="s">
        <v>881</v>
      </c>
      <c r="D208" s="36" t="s">
        <v>905</v>
      </c>
      <c r="E208" s="85" t="s">
        <v>91</v>
      </c>
      <c r="F208" s="36" t="s">
        <v>12</v>
      </c>
      <c r="G208" s="56" t="s">
        <v>1116</v>
      </c>
      <c r="H208" s="53">
        <v>0.45833333333333331</v>
      </c>
      <c r="I208" s="6" t="str">
        <f>LEFT(Table1[[#This Row],[تاریخ توقف]],4)</f>
        <v>1404</v>
      </c>
      <c r="J208" s="6" t="str">
        <f>VLOOKUP(Table1[[#This Row],[ماه توقف]],Table2[],3,0)</f>
        <v>پاییز</v>
      </c>
      <c r="K208" s="3">
        <f>_xlfn.NUMBERVALUE(RIGHT(LEFT(Table1[[#This Row],[تاریخ توقف]],7),2))</f>
        <v>7</v>
      </c>
      <c r="L208" s="3" t="str">
        <f>RIGHT(LEFT(Table1[[#This Row],[تاریخ توقف]],10),2)</f>
        <v>17</v>
      </c>
      <c r="M208" s="3">
        <f>HOUR(Table1[[#This Row],[زمان شروع توقف]])</f>
        <v>11</v>
      </c>
      <c r="N208" s="3">
        <f>MINUTE(Table1[[#This Row],[زمان شروع توقف]])</f>
        <v>0</v>
      </c>
      <c r="O208" s="3">
        <f>((Table1[[#This Row],[سال توقف]]*365+IF(Table1[[#This Row],[ماه توقف]]&lt;7,(Table1[[#This Row],[ماه توقف]]-1)*31,6*31+(Table1[[#This Row],[ماه توقف]]-6-1)*30)+(Table1[[#This Row],[روز توقف]])-1)*24+Table1[[#This Row],[ساعت توقف2]])*60+Table1[[#This Row],[دقیقه توقف]]</f>
        <v>738233940</v>
      </c>
      <c r="P208" s="56" t="s">
        <v>1116</v>
      </c>
      <c r="Q208" s="53">
        <v>0.47222222222222221</v>
      </c>
      <c r="R208" s="3" t="str">
        <f>LEFT(Table1[[#This Row],[تاریخ پایان توقف]],4)</f>
        <v>1404</v>
      </c>
      <c r="S208" s="3" t="str">
        <f>_xlfn.IFNA(VLOOKUP(Table1[[#This Row],[ماه رفع توقف]],Table2[],3,0),"در حال تعمیر")</f>
        <v>پاییز</v>
      </c>
      <c r="T208" s="3">
        <f>_xlfn.NUMBERVALUE(RIGHT(LEFT(Table1[[#This Row],[تاریخ پایان توقف]],7),2))</f>
        <v>7</v>
      </c>
      <c r="U208" s="3" t="str">
        <f>RIGHT(LEFT(Table1[[#This Row],[تاریخ پایان توقف]],10),2)</f>
        <v>17</v>
      </c>
      <c r="V208" s="3">
        <f>HOUR(Table1[[#This Row],[زمان پایان توقف]])</f>
        <v>11</v>
      </c>
      <c r="W208" s="3">
        <f>MINUTE(Table1[[#This Row],[زمان پایان توقف]])</f>
        <v>20</v>
      </c>
      <c r="X20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738233960</v>
      </c>
      <c r="Y208" s="42" t="s">
        <v>1251</v>
      </c>
      <c r="Z208" s="83">
        <f>IFERROR((IF(Table1[[#This Row],[تاریخ پایان توقف]]&lt;&gt;"",Table1[[#This Row],[زمان رفع توقف]]-Table1[[#This Row],[زمان توقف]],"")/60),"")</f>
        <v>0.33333333333333331</v>
      </c>
      <c r="AA208" s="3">
        <f>VLOOKUP(E208,Table4[],4,0)</f>
        <v>24</v>
      </c>
      <c r="AB208" s="3">
        <f>VLOOKUP(E208,Table4[],5,0)</f>
        <v>0.2</v>
      </c>
      <c r="AC208" s="3">
        <v>360</v>
      </c>
      <c r="AD208" s="3">
        <f>VLOOKUP(E208,Table4[],7,0)</f>
        <v>720</v>
      </c>
      <c r="AE208" s="83">
        <f>IF(Table1[[#This Row],[زمان آخرین رفع توقف قبل از توقف فعلی]]="","",(Table1[[#This Row],[زمان توقف]]-Table1[[#This Row],[زمان آخرین رفع توقف قبل از توقف فعلی]])/60)</f>
        <v>141.91666666666666</v>
      </c>
      <c r="AF20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738225425</v>
      </c>
    </row>
    <row r="209" spans="1:32">
      <c r="A209" s="36">
        <v>210</v>
      </c>
      <c r="B209" s="36" t="s">
        <v>98</v>
      </c>
      <c r="C209" s="36" t="s">
        <v>881</v>
      </c>
      <c r="D209" s="36" t="s">
        <v>905</v>
      </c>
      <c r="E209" s="85" t="s">
        <v>91</v>
      </c>
      <c r="F209" s="36" t="s">
        <v>12</v>
      </c>
      <c r="G209" s="56" t="s">
        <v>1116</v>
      </c>
      <c r="H209" s="53">
        <v>0.58333333333333337</v>
      </c>
      <c r="I209" s="6" t="str">
        <f>LEFT(Table1[[#This Row],[تاریخ توقف]],4)</f>
        <v>1404</v>
      </c>
      <c r="J209" s="6" t="str">
        <f>VLOOKUP(Table1[[#This Row],[ماه توقف]],Table2[],3,0)</f>
        <v>پاییز</v>
      </c>
      <c r="K209" s="3">
        <f>_xlfn.NUMBERVALUE(RIGHT(LEFT(Table1[[#This Row],[تاریخ توقف]],7),2))</f>
        <v>7</v>
      </c>
      <c r="L209" s="3" t="str">
        <f>RIGHT(LEFT(Table1[[#This Row],[تاریخ توقف]],10),2)</f>
        <v>17</v>
      </c>
      <c r="M209" s="3">
        <f>HOUR(Table1[[#This Row],[زمان شروع توقف]])</f>
        <v>14</v>
      </c>
      <c r="N209" s="3">
        <f>MINUTE(Table1[[#This Row],[زمان شروع توقف]])</f>
        <v>0</v>
      </c>
      <c r="O209" s="3">
        <f>((Table1[[#This Row],[سال توقف]]*365+IF(Table1[[#This Row],[ماه توقف]]&lt;7,(Table1[[#This Row],[ماه توقف]]-1)*31,6*31+(Table1[[#This Row],[ماه توقف]]-6-1)*30)+(Table1[[#This Row],[روز توقف]])-1)*24+Table1[[#This Row],[ساعت توقف2]])*60+Table1[[#This Row],[دقیقه توقف]]</f>
        <v>738234120</v>
      </c>
      <c r="P209" s="56" t="s">
        <v>1116</v>
      </c>
      <c r="Q209" s="53">
        <v>0.60069444444444442</v>
      </c>
      <c r="R209" s="3" t="str">
        <f>LEFT(Table1[[#This Row],[تاریخ پایان توقف]],4)</f>
        <v>1404</v>
      </c>
      <c r="S209" s="3" t="str">
        <f>_xlfn.IFNA(VLOOKUP(Table1[[#This Row],[ماه رفع توقف]],Table2[],3,0),"در حال تعمیر")</f>
        <v>پاییز</v>
      </c>
      <c r="T209" s="3">
        <f>_xlfn.NUMBERVALUE(RIGHT(LEFT(Table1[[#This Row],[تاریخ پایان توقف]],7),2))</f>
        <v>7</v>
      </c>
      <c r="U209" s="3" t="str">
        <f>RIGHT(LEFT(Table1[[#This Row],[تاریخ پایان توقف]],10),2)</f>
        <v>17</v>
      </c>
      <c r="V209" s="3">
        <f>HOUR(Table1[[#This Row],[زمان پایان توقف]])</f>
        <v>14</v>
      </c>
      <c r="W209" s="3">
        <f>MINUTE(Table1[[#This Row],[زمان پایان توقف]])</f>
        <v>25</v>
      </c>
      <c r="X20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738234145</v>
      </c>
      <c r="Y209" s="42" t="s">
        <v>1174</v>
      </c>
      <c r="Z209" s="83">
        <f>IFERROR((IF(Table1[[#This Row],[تاریخ پایان توقف]]&lt;&gt;"",Table1[[#This Row],[زمان رفع توقف]]-Table1[[#This Row],[زمان توقف]],"")/60),"")</f>
        <v>0.41666666666666669</v>
      </c>
      <c r="AA209" s="3">
        <f>VLOOKUP(E209,Table4[],4,0)</f>
        <v>24</v>
      </c>
      <c r="AB209" s="3">
        <f>VLOOKUP(E209,Table4[],5,0)</f>
        <v>0.2</v>
      </c>
      <c r="AC209" s="3">
        <v>360</v>
      </c>
      <c r="AD209" s="3">
        <f>VLOOKUP(E209,Table4[],7,0)</f>
        <v>720</v>
      </c>
      <c r="AE209" s="83">
        <f>IF(Table1[[#This Row],[زمان آخرین رفع توقف قبل از توقف فعلی]]="","",(Table1[[#This Row],[زمان توقف]]-Table1[[#This Row],[زمان آخرین رفع توقف قبل از توقف فعلی]])/60)</f>
        <v>2.6666666666666665</v>
      </c>
      <c r="AF20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738233960</v>
      </c>
    </row>
    <row r="210" spans="1:32">
      <c r="A210" s="36">
        <v>211</v>
      </c>
      <c r="B210" s="36" t="s">
        <v>98</v>
      </c>
      <c r="C210" s="36" t="s">
        <v>1113</v>
      </c>
      <c r="D210" s="36" t="s">
        <v>106</v>
      </c>
      <c r="E210" s="85" t="s">
        <v>107</v>
      </c>
      <c r="F210" s="36" t="s">
        <v>12</v>
      </c>
      <c r="G210" s="56" t="s">
        <v>1135</v>
      </c>
      <c r="H210" s="53">
        <v>0.52777777777777779</v>
      </c>
      <c r="I210" s="6" t="str">
        <f>LEFT(Table1[[#This Row],[تاریخ توقف]],4)</f>
        <v>1404</v>
      </c>
      <c r="J210" s="6" t="str">
        <f>VLOOKUP(Table1[[#This Row],[ماه توقف]],Table2[],3,0)</f>
        <v>پاییز</v>
      </c>
      <c r="K210" s="3">
        <f>_xlfn.NUMBERVALUE(RIGHT(LEFT(Table1[[#This Row],[تاریخ توقف]],7),2))</f>
        <v>7</v>
      </c>
      <c r="L210" s="3" t="str">
        <f>RIGHT(LEFT(Table1[[#This Row],[تاریخ توقف]],10),2)</f>
        <v>19</v>
      </c>
      <c r="M210" s="3">
        <f>HOUR(Table1[[#This Row],[زمان شروع توقف]])</f>
        <v>12</v>
      </c>
      <c r="N210" s="3">
        <f>MINUTE(Table1[[#This Row],[زمان شروع توقف]])</f>
        <v>40</v>
      </c>
      <c r="O210" s="3">
        <f>((Table1[[#This Row],[سال توقف]]*365+IF(Table1[[#This Row],[ماه توقف]]&lt;7,(Table1[[#This Row],[ماه توقف]]-1)*31,6*31+(Table1[[#This Row],[ماه توقف]]-6-1)*30)+(Table1[[#This Row],[روز توقف]])-1)*24+Table1[[#This Row],[ساعت توقف2]])*60+Table1[[#This Row],[دقیقه توقف]]</f>
        <v>738236920</v>
      </c>
      <c r="P210" s="56" t="s">
        <v>1135</v>
      </c>
      <c r="Q210" s="53">
        <v>0.54861111111111116</v>
      </c>
      <c r="R210" s="3" t="str">
        <f>LEFT(Table1[[#This Row],[تاریخ پایان توقف]],4)</f>
        <v>1404</v>
      </c>
      <c r="S210" s="3" t="str">
        <f>_xlfn.IFNA(VLOOKUP(Table1[[#This Row],[ماه رفع توقف]],Table2[],3,0),"در حال تعمیر")</f>
        <v>پاییز</v>
      </c>
      <c r="T210" s="3">
        <f>_xlfn.NUMBERVALUE(RIGHT(LEFT(Table1[[#This Row],[تاریخ پایان توقف]],7),2))</f>
        <v>7</v>
      </c>
      <c r="U210" s="3" t="str">
        <f>RIGHT(LEFT(Table1[[#This Row],[تاریخ پایان توقف]],10),2)</f>
        <v>19</v>
      </c>
      <c r="V210" s="3">
        <f>HOUR(Table1[[#This Row],[زمان پایان توقف]])</f>
        <v>13</v>
      </c>
      <c r="W210" s="3">
        <f>MINUTE(Table1[[#This Row],[زمان پایان توقف]])</f>
        <v>10</v>
      </c>
      <c r="X21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738236950</v>
      </c>
      <c r="Y210" s="42"/>
      <c r="Z210" s="83">
        <f>IFERROR((IF(Table1[[#This Row],[تاریخ پایان توقف]]&lt;&gt;"",Table1[[#This Row],[زمان رفع توقف]]-Table1[[#This Row],[زمان توقف]],"")/60),"")</f>
        <v>0.5</v>
      </c>
      <c r="AA210" s="3">
        <f>VLOOKUP(E210,Table4[],4,0)</f>
        <v>24</v>
      </c>
      <c r="AB210" s="3">
        <f>VLOOKUP(E210,Table4[],5,0)</f>
        <v>0.2</v>
      </c>
      <c r="AC210" s="3">
        <v>360</v>
      </c>
      <c r="AD210" s="3">
        <f>VLOOKUP(E210,Table4[],7,0)</f>
        <v>720</v>
      </c>
      <c r="AE210" s="83">
        <f>IF(Table1[[#This Row],[زمان آخرین رفع توقف قبل از توقف فعلی]]="","",(Table1[[#This Row],[زمان توقف]]-Table1[[#This Row],[زمان آخرین رفع توقف قبل از توقف فعلی]])/60)</f>
        <v>75.666666666666671</v>
      </c>
      <c r="AF21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738232380</v>
      </c>
    </row>
    <row r="211" spans="1:32">
      <c r="A211" s="36">
        <v>212</v>
      </c>
      <c r="B211" s="36" t="s">
        <v>98</v>
      </c>
      <c r="C211" s="36" t="s">
        <v>881</v>
      </c>
      <c r="D211" s="36" t="s">
        <v>905</v>
      </c>
      <c r="E211" s="85" t="s">
        <v>91</v>
      </c>
      <c r="F211" s="36" t="s">
        <v>12</v>
      </c>
      <c r="G211" s="56" t="s">
        <v>1136</v>
      </c>
      <c r="H211" s="53">
        <v>0.55208333333333337</v>
      </c>
      <c r="I211" s="6" t="str">
        <f>LEFT(Table1[[#This Row],[تاریخ توقف]],4)</f>
        <v>1404</v>
      </c>
      <c r="J211" s="6" t="str">
        <f>VLOOKUP(Table1[[#This Row],[ماه توقف]],Table2[],3,0)</f>
        <v>پاییز</v>
      </c>
      <c r="K211" s="3">
        <f>_xlfn.NUMBERVALUE(RIGHT(LEFT(Table1[[#This Row],[تاریخ توقف]],7),2))</f>
        <v>7</v>
      </c>
      <c r="L211" s="3" t="str">
        <f>RIGHT(LEFT(Table1[[#This Row],[تاریخ توقف]],10),2)</f>
        <v>20</v>
      </c>
      <c r="M211" s="3">
        <f>HOUR(Table1[[#This Row],[زمان شروع توقف]])</f>
        <v>13</v>
      </c>
      <c r="N211" s="3">
        <f>MINUTE(Table1[[#This Row],[زمان شروع توقف]])</f>
        <v>15</v>
      </c>
      <c r="O211" s="3">
        <f>((Table1[[#This Row],[سال توقف]]*365+IF(Table1[[#This Row],[ماه توقف]]&lt;7,(Table1[[#This Row],[ماه توقف]]-1)*31,6*31+(Table1[[#This Row],[ماه توقف]]-6-1)*30)+(Table1[[#This Row],[روز توقف]])-1)*24+Table1[[#This Row],[ساعت توقف2]])*60+Table1[[#This Row],[دقیقه توقف]]</f>
        <v>738238395</v>
      </c>
      <c r="P211" s="56" t="s">
        <v>1170</v>
      </c>
      <c r="Q211" s="53">
        <v>0.57916666666666672</v>
      </c>
      <c r="R211" s="3" t="str">
        <f>LEFT(Table1[[#This Row],[تاریخ پایان توقف]],4)</f>
        <v>1404</v>
      </c>
      <c r="S211" s="3" t="str">
        <f>_xlfn.IFNA(VLOOKUP(Table1[[#This Row],[ماه رفع توقف]],Table2[],3,0),"در حال تعمیر")</f>
        <v>پاییز</v>
      </c>
      <c r="T211" s="3">
        <f>_xlfn.NUMBERVALUE(RIGHT(LEFT(Table1[[#This Row],[تاریخ پایان توقف]],7),2))</f>
        <v>7</v>
      </c>
      <c r="U211" s="3" t="str">
        <f>RIGHT(LEFT(Table1[[#This Row],[تاریخ پایان توقف]],10),2)</f>
        <v>20</v>
      </c>
      <c r="V211" s="3">
        <f>HOUR(Table1[[#This Row],[زمان پایان توقف]])</f>
        <v>13</v>
      </c>
      <c r="W211" s="3">
        <f>MINUTE(Table1[[#This Row],[زمان پایان توقف]])</f>
        <v>54</v>
      </c>
      <c r="X21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738238434</v>
      </c>
      <c r="Y211" s="42" t="s">
        <v>1175</v>
      </c>
      <c r="Z211" s="83">
        <f>IFERROR((IF(Table1[[#This Row],[تاریخ پایان توقف]]&lt;&gt;"",Table1[[#This Row],[زمان رفع توقف]]-Table1[[#This Row],[زمان توقف]],"")/60),"")</f>
        <v>0.65</v>
      </c>
      <c r="AA211" s="3">
        <f>VLOOKUP(E211,Table4[],4,0)</f>
        <v>24</v>
      </c>
      <c r="AB211" s="3">
        <f>VLOOKUP(E211,Table4[],5,0)</f>
        <v>0.2</v>
      </c>
      <c r="AC211" s="3">
        <v>360</v>
      </c>
      <c r="AD211" s="3">
        <f>VLOOKUP(E211,Table4[],7,0)</f>
        <v>720</v>
      </c>
      <c r="AE211" s="83">
        <f>IF(Table1[[#This Row],[زمان آخرین رفع توقف قبل از توقف فعلی]]="","",(Table1[[#This Row],[زمان توقف]]-Table1[[#This Row],[زمان آخرین رفع توقف قبل از توقف فعلی]])/60)</f>
        <v>70.833333333333329</v>
      </c>
      <c r="AF21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738234145</v>
      </c>
    </row>
    <row r="212" spans="1:32">
      <c r="A212" s="36">
        <v>213</v>
      </c>
      <c r="B212" s="36" t="s">
        <v>98</v>
      </c>
      <c r="C212" s="36" t="s">
        <v>881</v>
      </c>
      <c r="D212" s="36" t="s">
        <v>905</v>
      </c>
      <c r="E212" s="85" t="s">
        <v>91</v>
      </c>
      <c r="F212" s="36" t="s">
        <v>12</v>
      </c>
      <c r="G212" s="56" t="s">
        <v>1136</v>
      </c>
      <c r="H212" s="53">
        <v>0.63888888888888884</v>
      </c>
      <c r="I212" s="6" t="str">
        <f>LEFT(Table1[[#This Row],[تاریخ توقف]],4)</f>
        <v>1404</v>
      </c>
      <c r="J212" s="6" t="str">
        <f>VLOOKUP(Table1[[#This Row],[ماه توقف]],Table2[],3,0)</f>
        <v>پاییز</v>
      </c>
      <c r="K212" s="3">
        <f>_xlfn.NUMBERVALUE(RIGHT(LEFT(Table1[[#This Row],[تاریخ توقف]],7),2))</f>
        <v>7</v>
      </c>
      <c r="L212" s="3" t="str">
        <f>RIGHT(LEFT(Table1[[#This Row],[تاریخ توقف]],10),2)</f>
        <v>20</v>
      </c>
      <c r="M212" s="3">
        <f>HOUR(Table1[[#This Row],[زمان شروع توقف]])</f>
        <v>15</v>
      </c>
      <c r="N212" s="3">
        <f>MINUTE(Table1[[#This Row],[زمان شروع توقف]])</f>
        <v>20</v>
      </c>
      <c r="O212" s="3">
        <f>((Table1[[#This Row],[سال توقف]]*365+IF(Table1[[#This Row],[ماه توقف]]&lt;7,(Table1[[#This Row],[ماه توقف]]-1)*31,6*31+(Table1[[#This Row],[ماه توقف]]-6-1)*30)+(Table1[[#This Row],[روز توقف]])-1)*24+Table1[[#This Row],[ساعت توقف2]])*60+Table1[[#This Row],[دقیقه توقف]]</f>
        <v>738238520</v>
      </c>
      <c r="P212" s="56" t="s">
        <v>1170</v>
      </c>
      <c r="Q212" s="53">
        <v>0.65972222222222221</v>
      </c>
      <c r="R212" s="3" t="str">
        <f>LEFT(Table1[[#This Row],[تاریخ پایان توقف]],4)</f>
        <v>1404</v>
      </c>
      <c r="S212" s="3" t="str">
        <f>_xlfn.IFNA(VLOOKUP(Table1[[#This Row],[ماه رفع توقف]],Table2[],3,0),"در حال تعمیر")</f>
        <v>پاییز</v>
      </c>
      <c r="T212" s="3">
        <f>_xlfn.NUMBERVALUE(RIGHT(LEFT(Table1[[#This Row],[تاریخ پایان توقف]],7),2))</f>
        <v>7</v>
      </c>
      <c r="U212" s="3" t="str">
        <f>RIGHT(LEFT(Table1[[#This Row],[تاریخ پایان توقف]],10),2)</f>
        <v>20</v>
      </c>
      <c r="V212" s="3">
        <f>HOUR(Table1[[#This Row],[زمان پایان توقف]])</f>
        <v>15</v>
      </c>
      <c r="W212" s="3">
        <f>MINUTE(Table1[[#This Row],[زمان پایان توقف]])</f>
        <v>50</v>
      </c>
      <c r="X21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738238550</v>
      </c>
      <c r="Y212" s="42" t="s">
        <v>1175</v>
      </c>
      <c r="Z212" s="83">
        <f>IFERROR((IF(Table1[[#This Row],[تاریخ پایان توقف]]&lt;&gt;"",Table1[[#This Row],[زمان رفع توقف]]-Table1[[#This Row],[زمان توقف]],"")/60),"")</f>
        <v>0.5</v>
      </c>
      <c r="AA212" s="3">
        <f>VLOOKUP(E212,Table4[],4,0)</f>
        <v>24</v>
      </c>
      <c r="AB212" s="3">
        <f>VLOOKUP(E212,Table4[],5,0)</f>
        <v>0.2</v>
      </c>
      <c r="AC212" s="3">
        <v>360</v>
      </c>
      <c r="AD212" s="3">
        <f>VLOOKUP(E212,Table4[],7,0)</f>
        <v>720</v>
      </c>
      <c r="AE212" s="83">
        <f>IF(Table1[[#This Row],[زمان آخرین رفع توقف قبل از توقف فعلی]]="","",(Table1[[#This Row],[زمان توقف]]-Table1[[#This Row],[زمان آخرین رفع توقف قبل از توقف فعلی]])/60)</f>
        <v>1.4333333333333333</v>
      </c>
      <c r="AF21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738238434</v>
      </c>
    </row>
    <row r="213" spans="1:32">
      <c r="A213" s="36">
        <v>214</v>
      </c>
      <c r="B213" s="36" t="s">
        <v>98</v>
      </c>
      <c r="C213" s="36" t="s">
        <v>1119</v>
      </c>
      <c r="D213" s="36" t="s">
        <v>44</v>
      </c>
      <c r="E213" s="85" t="s">
        <v>73</v>
      </c>
      <c r="F213" s="36" t="s">
        <v>12</v>
      </c>
      <c r="G213" s="56" t="s">
        <v>1137</v>
      </c>
      <c r="H213" s="53">
        <v>0.4548611111111111</v>
      </c>
      <c r="I213" s="6" t="str">
        <f>LEFT(Table1[[#This Row],[تاریخ توقف]],4)</f>
        <v>1404</v>
      </c>
      <c r="J213" s="6" t="str">
        <f>VLOOKUP(Table1[[#This Row],[ماه توقف]],Table2[],3,0)</f>
        <v>پاییز</v>
      </c>
      <c r="K213" s="3">
        <f>_xlfn.NUMBERVALUE(RIGHT(LEFT(Table1[[#This Row],[تاریخ توقف]],7),2))</f>
        <v>7</v>
      </c>
      <c r="L213" s="3" t="str">
        <f>RIGHT(LEFT(Table1[[#This Row],[تاریخ توقف]],10),2)</f>
        <v>24</v>
      </c>
      <c r="M213" s="3">
        <f>HOUR(Table1[[#This Row],[زمان شروع توقف]])</f>
        <v>10</v>
      </c>
      <c r="N213" s="3">
        <f>MINUTE(Table1[[#This Row],[زمان شروع توقف]])</f>
        <v>55</v>
      </c>
      <c r="O213" s="3">
        <f>((Table1[[#This Row],[سال توقف]]*365+IF(Table1[[#This Row],[ماه توقف]]&lt;7,(Table1[[#This Row],[ماه توقف]]-1)*31,6*31+(Table1[[#This Row],[ماه توقف]]-6-1)*30)+(Table1[[#This Row],[روز توقف]])-1)*24+Table1[[#This Row],[ساعت توقف2]])*60+Table1[[#This Row],[دقیقه توقف]]</f>
        <v>738244015</v>
      </c>
      <c r="P213" s="56" t="s">
        <v>1137</v>
      </c>
      <c r="Q213" s="53">
        <v>0.46875</v>
      </c>
      <c r="R213" s="3" t="str">
        <f>LEFT(Table1[[#This Row],[تاریخ پایان توقف]],4)</f>
        <v>1404</v>
      </c>
      <c r="S213" s="3" t="str">
        <f>_xlfn.IFNA(VLOOKUP(Table1[[#This Row],[ماه رفع توقف]],Table2[],3,0),"در حال تعمیر")</f>
        <v>پاییز</v>
      </c>
      <c r="T213" s="3">
        <f>_xlfn.NUMBERVALUE(RIGHT(LEFT(Table1[[#This Row],[تاریخ پایان توقف]],7),2))</f>
        <v>7</v>
      </c>
      <c r="U213" s="3" t="str">
        <f>RIGHT(LEFT(Table1[[#This Row],[تاریخ پایان توقف]],10),2)</f>
        <v>24</v>
      </c>
      <c r="V213" s="3">
        <f>HOUR(Table1[[#This Row],[زمان پایان توقف]])</f>
        <v>11</v>
      </c>
      <c r="W213" s="3">
        <f>MINUTE(Table1[[#This Row],[زمان پایان توقف]])</f>
        <v>15</v>
      </c>
      <c r="X21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738244035</v>
      </c>
      <c r="Y213" s="42"/>
      <c r="Z213" s="83">
        <f>IFERROR((IF(Table1[[#This Row],[تاریخ پایان توقف]]&lt;&gt;"",Table1[[#This Row],[زمان رفع توقف]]-Table1[[#This Row],[زمان توقف]],"")/60),"")</f>
        <v>0.33333333333333331</v>
      </c>
      <c r="AA213" s="3">
        <f>VLOOKUP(E213,Table4[],4,0)</f>
        <v>24</v>
      </c>
      <c r="AB213" s="3">
        <f>VLOOKUP(E213,Table4[],5,0)</f>
        <v>0.2</v>
      </c>
      <c r="AC213" s="3">
        <v>360</v>
      </c>
      <c r="AD213" s="3">
        <f>VLOOKUP(E213,Table4[],7,0)</f>
        <v>720</v>
      </c>
      <c r="AE213" s="83">
        <f>IF(Table1[[#This Row],[زمان آخرین رفع توقف قبل از توقف فعلی]]="","",(Table1[[#This Row],[زمان توقف]]-Table1[[#This Row],[زمان آخرین رفع توقف قبل از توقف فعلی]])/60)</f>
        <v>1130.4000000000001</v>
      </c>
      <c r="AF21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738176191</v>
      </c>
    </row>
    <row r="214" spans="1:32">
      <c r="A214" s="36">
        <v>215</v>
      </c>
      <c r="B214" s="36" t="s">
        <v>98</v>
      </c>
      <c r="C214" s="36" t="s">
        <v>1120</v>
      </c>
      <c r="D214" s="36" t="s">
        <v>45</v>
      </c>
      <c r="E214" s="85" t="s">
        <v>74</v>
      </c>
      <c r="F214" s="36" t="s">
        <v>12</v>
      </c>
      <c r="G214" s="56" t="s">
        <v>1138</v>
      </c>
      <c r="H214" s="53">
        <v>0.3576388888888889</v>
      </c>
      <c r="I214" s="6" t="str">
        <f>LEFT(Table1[[#This Row],[تاریخ توقف]],4)</f>
        <v>1404</v>
      </c>
      <c r="J214" s="6" t="str">
        <f>VLOOKUP(Table1[[#This Row],[ماه توقف]],Table2[],3,0)</f>
        <v>پاییز</v>
      </c>
      <c r="K214" s="3">
        <f>_xlfn.NUMBERVALUE(RIGHT(LEFT(Table1[[#This Row],[تاریخ توقف]],7),2))</f>
        <v>7</v>
      </c>
      <c r="L214" s="3" t="str">
        <f>RIGHT(LEFT(Table1[[#This Row],[تاریخ توقف]],10),2)</f>
        <v>26</v>
      </c>
      <c r="M214" s="3">
        <f>HOUR(Table1[[#This Row],[زمان شروع توقف]])</f>
        <v>8</v>
      </c>
      <c r="N214" s="3">
        <f>MINUTE(Table1[[#This Row],[زمان شروع توقف]])</f>
        <v>35</v>
      </c>
      <c r="O214" s="3">
        <f>((Table1[[#This Row],[سال توقف]]*365+IF(Table1[[#This Row],[ماه توقف]]&lt;7,(Table1[[#This Row],[ماه توقف]]-1)*31,6*31+(Table1[[#This Row],[ماه توقف]]-6-1)*30)+(Table1[[#This Row],[روز توقف]])-1)*24+Table1[[#This Row],[ساعت توقف2]])*60+Table1[[#This Row],[دقیقه توقف]]</f>
        <v>738246755</v>
      </c>
      <c r="P214" s="56" t="s">
        <v>1138</v>
      </c>
      <c r="Q214" s="53">
        <v>0.38611111111111113</v>
      </c>
      <c r="R214" s="3" t="str">
        <f>LEFT(Table1[[#This Row],[تاریخ پایان توقف]],4)</f>
        <v>1404</v>
      </c>
      <c r="S214" s="3" t="str">
        <f>_xlfn.IFNA(VLOOKUP(Table1[[#This Row],[ماه رفع توقف]],Table2[],3,0),"در حال تعمیر")</f>
        <v>پاییز</v>
      </c>
      <c r="T214" s="3">
        <f>_xlfn.NUMBERVALUE(RIGHT(LEFT(Table1[[#This Row],[تاریخ پایان توقف]],7),2))</f>
        <v>7</v>
      </c>
      <c r="U214" s="3" t="str">
        <f>RIGHT(LEFT(Table1[[#This Row],[تاریخ پایان توقف]],10),2)</f>
        <v>26</v>
      </c>
      <c r="V214" s="3">
        <f>HOUR(Table1[[#This Row],[زمان پایان توقف]])</f>
        <v>9</v>
      </c>
      <c r="W214" s="3">
        <f>MINUTE(Table1[[#This Row],[زمان پایان توقف]])</f>
        <v>16</v>
      </c>
      <c r="X21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738246796</v>
      </c>
      <c r="Y214" s="42"/>
      <c r="Z214" s="83">
        <f>IFERROR((IF(Table1[[#This Row],[تاریخ پایان توقف]]&lt;&gt;"",Table1[[#This Row],[زمان رفع توقف]]-Table1[[#This Row],[زمان توقف]],"")/60),"")</f>
        <v>0.68333333333333335</v>
      </c>
      <c r="AA214" s="3">
        <f>VLOOKUP(E214,Table4[],4,0)</f>
        <v>24</v>
      </c>
      <c r="AB214" s="3">
        <f>VLOOKUP(E214,Table4[],5,0)</f>
        <v>0.2</v>
      </c>
      <c r="AC214" s="3">
        <v>360</v>
      </c>
      <c r="AD214" s="3">
        <f>VLOOKUP(E214,Table4[],7,0)</f>
        <v>720</v>
      </c>
      <c r="AE214" s="83">
        <f>IF(Table1[[#This Row],[زمان آخرین رفع توقف قبل از توقف فعلی]]="","",(Table1[[#This Row],[زمان توقف]]-Table1[[#This Row],[زمان آخرین رفع توقف قبل از توقف فعلی]])/60)</f>
        <v>1989.5833333333333</v>
      </c>
      <c r="AF21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738127380</v>
      </c>
    </row>
    <row r="215" spans="1:32">
      <c r="A215" s="36">
        <v>216</v>
      </c>
      <c r="B215" s="36" t="s">
        <v>98</v>
      </c>
      <c r="C215" s="36" t="s">
        <v>121</v>
      </c>
      <c r="D215" s="36" t="s">
        <v>120</v>
      </c>
      <c r="E215" s="85" t="s">
        <v>122</v>
      </c>
      <c r="F215" s="36" t="s">
        <v>12</v>
      </c>
      <c r="G215" s="56" t="s">
        <v>1139</v>
      </c>
      <c r="H215" s="53">
        <v>0.34722222222222221</v>
      </c>
      <c r="I215" s="6" t="str">
        <f>LEFT(Table1[[#This Row],[تاریخ توقف]],4)</f>
        <v>1404</v>
      </c>
      <c r="J215" s="6" t="str">
        <f>VLOOKUP(Table1[[#This Row],[ماه توقف]],Table2[],3,0)</f>
        <v>پاییز</v>
      </c>
      <c r="K215" s="3">
        <f>_xlfn.NUMBERVALUE(RIGHT(LEFT(Table1[[#This Row],[تاریخ توقف]],7),2))</f>
        <v>7</v>
      </c>
      <c r="L215" s="3" t="str">
        <f>RIGHT(LEFT(Table1[[#This Row],[تاریخ توقف]],10),2)</f>
        <v>28</v>
      </c>
      <c r="M215" s="3">
        <f>HOUR(Table1[[#This Row],[زمان شروع توقف]])</f>
        <v>8</v>
      </c>
      <c r="N215" s="3">
        <f>MINUTE(Table1[[#This Row],[زمان شروع توقف]])</f>
        <v>20</v>
      </c>
      <c r="O215" s="3">
        <f>((Table1[[#This Row],[سال توقف]]*365+IF(Table1[[#This Row],[ماه توقف]]&lt;7,(Table1[[#This Row],[ماه توقف]]-1)*31,6*31+(Table1[[#This Row],[ماه توقف]]-6-1)*30)+(Table1[[#This Row],[روز توقف]])-1)*24+Table1[[#This Row],[ساعت توقف2]])*60+Table1[[#This Row],[دقیقه توقف]]</f>
        <v>738249620</v>
      </c>
      <c r="P215" s="56" t="s">
        <v>1139</v>
      </c>
      <c r="Q215" s="53">
        <v>0.59375</v>
      </c>
      <c r="R215" s="3" t="str">
        <f>LEFT(Table1[[#This Row],[تاریخ پایان توقف]],4)</f>
        <v>1404</v>
      </c>
      <c r="S215" s="3" t="str">
        <f>_xlfn.IFNA(VLOOKUP(Table1[[#This Row],[ماه رفع توقف]],Table2[],3,0),"در حال تعمیر")</f>
        <v>پاییز</v>
      </c>
      <c r="T215" s="3">
        <f>_xlfn.NUMBERVALUE(RIGHT(LEFT(Table1[[#This Row],[تاریخ پایان توقف]],7),2))</f>
        <v>7</v>
      </c>
      <c r="U215" s="3" t="str">
        <f>RIGHT(LEFT(Table1[[#This Row],[تاریخ پایان توقف]],10),2)</f>
        <v>28</v>
      </c>
      <c r="V215" s="3">
        <f>HOUR(Table1[[#This Row],[زمان پایان توقف]])</f>
        <v>14</v>
      </c>
      <c r="W215" s="3">
        <f>MINUTE(Table1[[#This Row],[زمان پایان توقف]])</f>
        <v>15</v>
      </c>
      <c r="X21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738249975</v>
      </c>
      <c r="Y215" s="42" t="s">
        <v>1176</v>
      </c>
      <c r="Z215" s="83">
        <f>IFERROR((IF(Table1[[#This Row],[تاریخ پایان توقف]]&lt;&gt;"",Table1[[#This Row],[زمان رفع توقف]]-Table1[[#This Row],[زمان توقف]],"")/60),"")</f>
        <v>5.916666666666667</v>
      </c>
      <c r="AA215" s="3">
        <f>VLOOKUP(E215,Table4[],4,0)</f>
        <v>24</v>
      </c>
      <c r="AB215" s="3">
        <f>VLOOKUP(E215,Table4[],5,0)</f>
        <v>0.2</v>
      </c>
      <c r="AC215" s="3">
        <v>360</v>
      </c>
      <c r="AD215" s="3">
        <f>VLOOKUP(E215,Table4[],7,0)</f>
        <v>720</v>
      </c>
      <c r="AE215" s="83">
        <f>IF(Table1[[#This Row],[زمان آخرین رفع توقف قبل از توقف فعلی]]="","",(Table1[[#This Row],[زمان توقف]]-Table1[[#This Row],[زمان آخرین رفع توقف قبل از توقف فعلی]])/60)</f>
        <v>334.13333333333333</v>
      </c>
      <c r="AF21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738229572</v>
      </c>
    </row>
    <row r="216" spans="1:32">
      <c r="A216" s="36">
        <v>217</v>
      </c>
      <c r="B216" s="36" t="s">
        <v>98</v>
      </c>
      <c r="C216" s="36" t="s">
        <v>121</v>
      </c>
      <c r="D216" s="36" t="s">
        <v>120</v>
      </c>
      <c r="E216" s="85" t="s">
        <v>122</v>
      </c>
      <c r="F216" s="36" t="s">
        <v>12</v>
      </c>
      <c r="G216" s="56" t="s">
        <v>1140</v>
      </c>
      <c r="H216" s="53">
        <v>0.375</v>
      </c>
      <c r="I216" s="6" t="str">
        <f>LEFT(Table1[[#This Row],[تاریخ توقف]],4)</f>
        <v>1404</v>
      </c>
      <c r="J216" s="6" t="str">
        <f>VLOOKUP(Table1[[#This Row],[ماه توقف]],Table2[],3,0)</f>
        <v>پاییز</v>
      </c>
      <c r="K216" s="3">
        <f>_xlfn.NUMBERVALUE(RIGHT(LEFT(Table1[[#This Row],[تاریخ توقف]],7),2))</f>
        <v>7</v>
      </c>
      <c r="L216" s="3" t="str">
        <f>RIGHT(LEFT(Table1[[#This Row],[تاریخ توقف]],10),2)</f>
        <v>29</v>
      </c>
      <c r="M216" s="3">
        <f>HOUR(Table1[[#This Row],[زمان شروع توقف]])</f>
        <v>9</v>
      </c>
      <c r="N216" s="3">
        <f>MINUTE(Table1[[#This Row],[زمان شروع توقف]])</f>
        <v>0</v>
      </c>
      <c r="O216" s="3">
        <f>((Table1[[#This Row],[سال توقف]]*365+IF(Table1[[#This Row],[ماه توقف]]&lt;7,(Table1[[#This Row],[ماه توقف]]-1)*31,6*31+(Table1[[#This Row],[ماه توقف]]-6-1)*30)+(Table1[[#This Row],[روز توقف]])-1)*24+Table1[[#This Row],[ساعت توقف2]])*60+Table1[[#This Row],[دقیقه توقف]]</f>
        <v>738251100</v>
      </c>
      <c r="P216" s="56" t="s">
        <v>1140</v>
      </c>
      <c r="Q216" s="53">
        <v>0.5</v>
      </c>
      <c r="R216" s="3" t="str">
        <f>LEFT(Table1[[#This Row],[تاریخ پایان توقف]],4)</f>
        <v>1404</v>
      </c>
      <c r="S216" s="3" t="str">
        <f>_xlfn.IFNA(VLOOKUP(Table1[[#This Row],[ماه رفع توقف]],Table2[],3,0),"در حال تعمیر")</f>
        <v>پاییز</v>
      </c>
      <c r="T216" s="3">
        <f>_xlfn.NUMBERVALUE(RIGHT(LEFT(Table1[[#This Row],[تاریخ پایان توقف]],7),2))</f>
        <v>7</v>
      </c>
      <c r="U216" s="3" t="str">
        <f>RIGHT(LEFT(Table1[[#This Row],[تاریخ پایان توقف]],10),2)</f>
        <v>29</v>
      </c>
      <c r="V216" s="3">
        <f>HOUR(Table1[[#This Row],[زمان پایان توقف]])</f>
        <v>12</v>
      </c>
      <c r="W216" s="3">
        <f>MINUTE(Table1[[#This Row],[زمان پایان توقف]])</f>
        <v>0</v>
      </c>
      <c r="X21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738251280</v>
      </c>
      <c r="Y216" s="42" t="s">
        <v>1177</v>
      </c>
      <c r="Z216" s="83">
        <f>IFERROR((IF(Table1[[#This Row],[تاریخ پایان توقف]]&lt;&gt;"",Table1[[#This Row],[زمان رفع توقف]]-Table1[[#This Row],[زمان توقف]],"")/60),"")</f>
        <v>3</v>
      </c>
      <c r="AA216" s="3">
        <f>VLOOKUP(E216,Table4[],4,0)</f>
        <v>24</v>
      </c>
      <c r="AB216" s="3">
        <f>VLOOKUP(E216,Table4[],5,0)</f>
        <v>0.2</v>
      </c>
      <c r="AC216" s="3">
        <v>360</v>
      </c>
      <c r="AD216" s="3">
        <f>VLOOKUP(E216,Table4[],7,0)</f>
        <v>720</v>
      </c>
      <c r="AE216" s="83">
        <f>IF(Table1[[#This Row],[زمان آخرین رفع توقف قبل از توقف فعلی]]="","",(Table1[[#This Row],[زمان توقف]]-Table1[[#This Row],[زمان آخرین رفع توقف قبل از توقف فعلی]])/60)</f>
        <v>18.75</v>
      </c>
      <c r="AF21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738249975</v>
      </c>
    </row>
    <row r="217" spans="1:32">
      <c r="A217" s="36">
        <v>218</v>
      </c>
      <c r="B217" s="36" t="s">
        <v>98</v>
      </c>
      <c r="C217" s="36" t="s">
        <v>1113</v>
      </c>
      <c r="D217" s="36" t="s">
        <v>106</v>
      </c>
      <c r="E217" s="85" t="s">
        <v>107</v>
      </c>
      <c r="F217" s="36" t="s">
        <v>12</v>
      </c>
      <c r="G217" s="56" t="s">
        <v>1141</v>
      </c>
      <c r="H217" s="53">
        <v>0.75347222222222221</v>
      </c>
      <c r="I217" s="6" t="str">
        <f>LEFT(Table1[[#This Row],[تاریخ توقف]],4)</f>
        <v>1404</v>
      </c>
      <c r="J217" s="6" t="str">
        <f>VLOOKUP(Table1[[#This Row],[ماه توقف]],Table2[],3,0)</f>
        <v>پاییز</v>
      </c>
      <c r="K217" s="3">
        <f>_xlfn.NUMBERVALUE(RIGHT(LEFT(Table1[[#This Row],[تاریخ توقف]],7),2))</f>
        <v>7</v>
      </c>
      <c r="L217" s="3" t="str">
        <f>RIGHT(LEFT(Table1[[#This Row],[تاریخ توقف]],10),2)</f>
        <v>30</v>
      </c>
      <c r="M217" s="3">
        <f>HOUR(Table1[[#This Row],[زمان شروع توقف]])</f>
        <v>18</v>
      </c>
      <c r="N217" s="3">
        <f>MINUTE(Table1[[#This Row],[زمان شروع توقف]])</f>
        <v>5</v>
      </c>
      <c r="O217" s="3">
        <f>((Table1[[#This Row],[سال توقف]]*365+IF(Table1[[#This Row],[ماه توقف]]&lt;7,(Table1[[#This Row],[ماه توقف]]-1)*31,6*31+(Table1[[#This Row],[ماه توقف]]-6-1)*30)+(Table1[[#This Row],[روز توقف]])-1)*24+Table1[[#This Row],[ساعت توقف2]])*60+Table1[[#This Row],[دقیقه توقف]]</f>
        <v>738253085</v>
      </c>
      <c r="P217" s="56" t="s">
        <v>1141</v>
      </c>
      <c r="Q217" s="53">
        <v>0.76388888888888884</v>
      </c>
      <c r="R217" s="3" t="str">
        <f>LEFT(Table1[[#This Row],[تاریخ پایان توقف]],4)</f>
        <v>1404</v>
      </c>
      <c r="S217" s="3" t="str">
        <f>_xlfn.IFNA(VLOOKUP(Table1[[#This Row],[ماه رفع توقف]],Table2[],3,0),"در حال تعمیر")</f>
        <v>پاییز</v>
      </c>
      <c r="T217" s="3">
        <f>_xlfn.NUMBERVALUE(RIGHT(LEFT(Table1[[#This Row],[تاریخ پایان توقف]],7),2))</f>
        <v>7</v>
      </c>
      <c r="U217" s="3" t="str">
        <f>RIGHT(LEFT(Table1[[#This Row],[تاریخ پایان توقف]],10),2)</f>
        <v>30</v>
      </c>
      <c r="V217" s="3">
        <f>HOUR(Table1[[#This Row],[زمان پایان توقف]])</f>
        <v>18</v>
      </c>
      <c r="W217" s="3">
        <f>MINUTE(Table1[[#This Row],[زمان پایان توقف]])</f>
        <v>20</v>
      </c>
      <c r="X21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738253100</v>
      </c>
      <c r="Y217" s="42" t="s">
        <v>1178</v>
      </c>
      <c r="Z217" s="83">
        <f>IFERROR((IF(Table1[[#This Row],[تاریخ پایان توقف]]&lt;&gt;"",Table1[[#This Row],[زمان رفع توقف]]-Table1[[#This Row],[زمان توقف]],"")/60),"")</f>
        <v>0.25</v>
      </c>
      <c r="AA217" s="3">
        <f>VLOOKUP(E217,Table4[],4,0)</f>
        <v>24</v>
      </c>
      <c r="AB217" s="3">
        <f>VLOOKUP(E217,Table4[],5,0)</f>
        <v>0.2</v>
      </c>
      <c r="AC217" s="3">
        <v>360</v>
      </c>
      <c r="AD217" s="3">
        <f>VLOOKUP(E217,Table4[],7,0)</f>
        <v>720</v>
      </c>
      <c r="AE217" s="83">
        <f>IF(Table1[[#This Row],[زمان آخرین رفع توقف قبل از توقف فعلی]]="","",(Table1[[#This Row],[زمان توقف]]-Table1[[#This Row],[زمان آخرین رفع توقف قبل از توقف فعلی]])/60)</f>
        <v>268.91666666666669</v>
      </c>
      <c r="AF21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738236950</v>
      </c>
    </row>
    <row r="218" spans="1:32">
      <c r="A218" s="36">
        <v>219</v>
      </c>
      <c r="B218" s="36" t="s">
        <v>98</v>
      </c>
      <c r="C218" s="36" t="s">
        <v>1115</v>
      </c>
      <c r="D218" s="36" t="s">
        <v>115</v>
      </c>
      <c r="E218" s="85" t="s">
        <v>117</v>
      </c>
      <c r="F218" s="36" t="s">
        <v>12</v>
      </c>
      <c r="G218" s="56" t="s">
        <v>1142</v>
      </c>
      <c r="H218" s="53">
        <v>0.625</v>
      </c>
      <c r="I218" s="6" t="str">
        <f>LEFT(Table1[[#This Row],[تاریخ توقف]],4)</f>
        <v>1404</v>
      </c>
      <c r="J218" s="6" t="str">
        <f>VLOOKUP(Table1[[#This Row],[ماه توقف]],Table2[],3,0)</f>
        <v>پاییز</v>
      </c>
      <c r="K218" s="3">
        <f>_xlfn.NUMBERVALUE(RIGHT(LEFT(Table1[[#This Row],[تاریخ توقف]],7),2))</f>
        <v>8</v>
      </c>
      <c r="L218" s="3" t="str">
        <f>RIGHT(LEFT(Table1[[#This Row],[تاریخ توقف]],10),2)</f>
        <v>01</v>
      </c>
      <c r="M218" s="3">
        <f>HOUR(Table1[[#This Row],[زمان شروع توقف]])</f>
        <v>15</v>
      </c>
      <c r="N218" s="3">
        <f>MINUTE(Table1[[#This Row],[زمان شروع توقف]])</f>
        <v>0</v>
      </c>
      <c r="O218" s="3">
        <f>((Table1[[#This Row],[سال توقف]]*365+IF(Table1[[#This Row],[ماه توقف]]&lt;7,(Table1[[#This Row],[ماه توقف]]-1)*31,6*31+(Table1[[#This Row],[ماه توقف]]-6-1)*30)+(Table1[[#This Row],[روز توقف]])-1)*24+Table1[[#This Row],[ساعت توقف2]])*60+Table1[[#This Row],[دقیقه توقف]]</f>
        <v>738254340</v>
      </c>
      <c r="P218" s="56" t="s">
        <v>1142</v>
      </c>
      <c r="Q218" s="53">
        <v>0.69791666666666663</v>
      </c>
      <c r="R218" s="3" t="str">
        <f>LEFT(Table1[[#This Row],[تاریخ پایان توقف]],4)</f>
        <v>1404</v>
      </c>
      <c r="S218" s="3" t="str">
        <f>_xlfn.IFNA(VLOOKUP(Table1[[#This Row],[ماه رفع توقف]],Table2[],3,0),"در حال تعمیر")</f>
        <v>پاییز</v>
      </c>
      <c r="T218" s="3">
        <f>_xlfn.NUMBERVALUE(RIGHT(LEFT(Table1[[#This Row],[تاریخ پایان توقف]],7),2))</f>
        <v>8</v>
      </c>
      <c r="U218" s="3" t="str">
        <f>RIGHT(LEFT(Table1[[#This Row],[تاریخ پایان توقف]],10),2)</f>
        <v>01</v>
      </c>
      <c r="V218" s="3">
        <f>HOUR(Table1[[#This Row],[زمان پایان توقف]])</f>
        <v>16</v>
      </c>
      <c r="W218" s="3">
        <f>MINUTE(Table1[[#This Row],[زمان پایان توقف]])</f>
        <v>45</v>
      </c>
      <c r="X21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738254445</v>
      </c>
      <c r="Y218" s="42" t="s">
        <v>1179</v>
      </c>
      <c r="Z218" s="83">
        <f>IFERROR((IF(Table1[[#This Row],[تاریخ پایان توقف]]&lt;&gt;"",Table1[[#This Row],[زمان رفع توقف]]-Table1[[#This Row],[زمان توقف]],"")/60),"")</f>
        <v>1.75</v>
      </c>
      <c r="AA218" s="3">
        <f>VLOOKUP(E218,Table4[],4,0)</f>
        <v>24</v>
      </c>
      <c r="AB218" s="3">
        <f>VLOOKUP(E218,Table4[],5,0)</f>
        <v>0.2</v>
      </c>
      <c r="AC218" s="3">
        <v>360</v>
      </c>
      <c r="AD218" s="3">
        <f>VLOOKUP(E218,Table4[],7,0)</f>
        <v>720</v>
      </c>
      <c r="AE218" s="83">
        <f>IF(Table1[[#This Row],[زمان آخرین رفع توقف قبل از توقف فعلی]]="","",(Table1[[#This Row],[زمان توقف]]-Table1[[#This Row],[زمان آخرین رفع توقف قبل از توقف فعلی]])/60)</f>
        <v>365.83333333333331</v>
      </c>
      <c r="AF21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738232390</v>
      </c>
    </row>
    <row r="219" spans="1:32">
      <c r="A219" s="36">
        <v>220</v>
      </c>
      <c r="B219" s="36" t="s">
        <v>98</v>
      </c>
      <c r="C219" s="36" t="s">
        <v>1115</v>
      </c>
      <c r="D219" s="36" t="s">
        <v>115</v>
      </c>
      <c r="E219" s="85" t="s">
        <v>117</v>
      </c>
      <c r="F219" s="36" t="s">
        <v>12</v>
      </c>
      <c r="G219" s="56" t="s">
        <v>1142</v>
      </c>
      <c r="H219" s="53">
        <v>0.82986111111111116</v>
      </c>
      <c r="I219" s="6" t="str">
        <f>LEFT(Table1[[#This Row],[تاریخ توقف]],4)</f>
        <v>1404</v>
      </c>
      <c r="J219" s="6" t="str">
        <f>VLOOKUP(Table1[[#This Row],[ماه توقف]],Table2[],3,0)</f>
        <v>پاییز</v>
      </c>
      <c r="K219" s="3">
        <f>_xlfn.NUMBERVALUE(RIGHT(LEFT(Table1[[#This Row],[تاریخ توقف]],7),2))</f>
        <v>8</v>
      </c>
      <c r="L219" s="3" t="str">
        <f>RIGHT(LEFT(Table1[[#This Row],[تاریخ توقف]],10),2)</f>
        <v>01</v>
      </c>
      <c r="M219" s="3">
        <f>HOUR(Table1[[#This Row],[زمان شروع توقف]])</f>
        <v>19</v>
      </c>
      <c r="N219" s="3">
        <f>MINUTE(Table1[[#This Row],[زمان شروع توقف]])</f>
        <v>55</v>
      </c>
      <c r="O219" s="3">
        <f>((Table1[[#This Row],[سال توقف]]*365+IF(Table1[[#This Row],[ماه توقف]]&lt;7,(Table1[[#This Row],[ماه توقف]]-1)*31,6*31+(Table1[[#This Row],[ماه توقف]]-6-1)*30)+(Table1[[#This Row],[روز توقف]])-1)*24+Table1[[#This Row],[ساعت توقف2]])*60+Table1[[#This Row],[دقیقه توقف]]</f>
        <v>738254635</v>
      </c>
      <c r="P219" s="56" t="s">
        <v>1171</v>
      </c>
      <c r="Q219" s="53">
        <v>0.38541666666666669</v>
      </c>
      <c r="R219" s="3" t="str">
        <f>LEFT(Table1[[#This Row],[تاریخ پایان توقف]],4)</f>
        <v>1404</v>
      </c>
      <c r="S219" s="3" t="str">
        <f>_xlfn.IFNA(VLOOKUP(Table1[[#This Row],[ماه رفع توقف]],Table2[],3,0),"در حال تعمیر")</f>
        <v>پاییز</v>
      </c>
      <c r="T219" s="3">
        <f>_xlfn.NUMBERVALUE(RIGHT(LEFT(Table1[[#This Row],[تاریخ پایان توقف]],7),2))</f>
        <v>8</v>
      </c>
      <c r="U219" s="3" t="str">
        <f>RIGHT(LEFT(Table1[[#This Row],[تاریخ پایان توقف]],10),2)</f>
        <v>03</v>
      </c>
      <c r="V219" s="3">
        <f>HOUR(Table1[[#This Row],[زمان پایان توقف]])</f>
        <v>9</v>
      </c>
      <c r="W219" s="3">
        <f>MINUTE(Table1[[#This Row],[زمان پایان توقف]])</f>
        <v>15</v>
      </c>
      <c r="X21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738256875</v>
      </c>
      <c r="Y219" s="42" t="s">
        <v>1180</v>
      </c>
      <c r="Z219" s="83">
        <f>IFERROR((IF(Table1[[#This Row],[تاریخ پایان توقف]]&lt;&gt;"",Table1[[#This Row],[زمان رفع توقف]]-Table1[[#This Row],[زمان توقف]],"")/60),"")</f>
        <v>37.333333333333336</v>
      </c>
      <c r="AA219" s="3">
        <f>VLOOKUP(E219,Table4[],4,0)</f>
        <v>24</v>
      </c>
      <c r="AB219" s="3">
        <f>VLOOKUP(E219,Table4[],5,0)</f>
        <v>0.2</v>
      </c>
      <c r="AC219" s="3">
        <v>360</v>
      </c>
      <c r="AD219" s="3">
        <f>VLOOKUP(E219,Table4[],7,0)</f>
        <v>720</v>
      </c>
      <c r="AE219" s="83">
        <f>IF(Table1[[#This Row],[زمان آخرین رفع توقف قبل از توقف فعلی]]="","",(Table1[[#This Row],[زمان توقف]]-Table1[[#This Row],[زمان آخرین رفع توقف قبل از توقف فعلی]])/60)</f>
        <v>3.1666666666666665</v>
      </c>
      <c r="AF21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738254445</v>
      </c>
    </row>
    <row r="220" spans="1:32">
      <c r="A220" s="36">
        <v>221</v>
      </c>
      <c r="B220" s="36" t="s">
        <v>98</v>
      </c>
      <c r="C220" s="36" t="s">
        <v>1120</v>
      </c>
      <c r="D220" s="36" t="s">
        <v>45</v>
      </c>
      <c r="E220" s="85" t="s">
        <v>74</v>
      </c>
      <c r="F220" s="36" t="s">
        <v>12</v>
      </c>
      <c r="G220" s="56" t="s">
        <v>1143</v>
      </c>
      <c r="H220" s="53">
        <v>0.26041666666666669</v>
      </c>
      <c r="I220" s="6" t="str">
        <f>LEFT(Table1[[#This Row],[تاریخ توقف]],4)</f>
        <v>1404</v>
      </c>
      <c r="J220" s="6" t="str">
        <f>VLOOKUP(Table1[[#This Row],[ماه توقف]],Table2[],3,0)</f>
        <v>پاییز</v>
      </c>
      <c r="K220" s="3">
        <f>_xlfn.NUMBERVALUE(RIGHT(LEFT(Table1[[#This Row],[تاریخ توقف]],7),2))</f>
        <v>8</v>
      </c>
      <c r="L220" s="3" t="str">
        <f>RIGHT(LEFT(Table1[[#This Row],[تاریخ توقف]],10),2)</f>
        <v>02</v>
      </c>
      <c r="M220" s="3">
        <f>HOUR(Table1[[#This Row],[زمان شروع توقف]])</f>
        <v>6</v>
      </c>
      <c r="N220" s="3">
        <f>MINUTE(Table1[[#This Row],[زمان شروع توقف]])</f>
        <v>15</v>
      </c>
      <c r="O220" s="3">
        <f>((Table1[[#This Row],[سال توقف]]*365+IF(Table1[[#This Row],[ماه توقف]]&lt;7,(Table1[[#This Row],[ماه توقف]]-1)*31,6*31+(Table1[[#This Row],[ماه توقف]]-6-1)*30)+(Table1[[#This Row],[روز توقف]])-1)*24+Table1[[#This Row],[ساعت توقف2]])*60+Table1[[#This Row],[دقیقه توقف]]</f>
        <v>738255255</v>
      </c>
      <c r="P220" s="56" t="s">
        <v>1171</v>
      </c>
      <c r="Q220" s="53">
        <v>0.54166666666666663</v>
      </c>
      <c r="R220" s="3" t="str">
        <f>LEFT(Table1[[#This Row],[تاریخ پایان توقف]],4)</f>
        <v>1404</v>
      </c>
      <c r="S220" s="3" t="str">
        <f>_xlfn.IFNA(VLOOKUP(Table1[[#This Row],[ماه رفع توقف]],Table2[],3,0),"در حال تعمیر")</f>
        <v>پاییز</v>
      </c>
      <c r="T220" s="3">
        <f>_xlfn.NUMBERVALUE(RIGHT(LEFT(Table1[[#This Row],[تاریخ پایان توقف]],7),2))</f>
        <v>8</v>
      </c>
      <c r="U220" s="3" t="str">
        <f>RIGHT(LEFT(Table1[[#This Row],[تاریخ پایان توقف]],10),2)</f>
        <v>03</v>
      </c>
      <c r="V220" s="3">
        <f>HOUR(Table1[[#This Row],[زمان پایان توقف]])</f>
        <v>13</v>
      </c>
      <c r="W220" s="3">
        <f>MINUTE(Table1[[#This Row],[زمان پایان توقف]])</f>
        <v>0</v>
      </c>
      <c r="X22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738257100</v>
      </c>
      <c r="Y220" s="42" t="s">
        <v>1181</v>
      </c>
      <c r="Z220" s="83">
        <f>IFERROR((IF(Table1[[#This Row],[تاریخ پایان توقف]]&lt;&gt;"",Table1[[#This Row],[زمان رفع توقف]]-Table1[[#This Row],[زمان توقف]],"")/60),"")</f>
        <v>30.75</v>
      </c>
      <c r="AA220" s="3">
        <f>VLOOKUP(E220,Table4[],4,0)</f>
        <v>24</v>
      </c>
      <c r="AB220" s="3">
        <f>VLOOKUP(E220,Table4[],5,0)</f>
        <v>0.2</v>
      </c>
      <c r="AC220" s="3">
        <v>360</v>
      </c>
      <c r="AD220" s="3">
        <f>VLOOKUP(E220,Table4[],7,0)</f>
        <v>720</v>
      </c>
      <c r="AE220" s="83">
        <f>IF(Table1[[#This Row],[زمان آخرین رفع توقف قبل از توقف فعلی]]="","",(Table1[[#This Row],[زمان توقف]]-Table1[[#This Row],[زمان آخرین رفع توقف قبل از توقف فعلی]])/60)</f>
        <v>140.98333333333332</v>
      </c>
      <c r="AF22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738246796</v>
      </c>
    </row>
    <row r="221" spans="1:32">
      <c r="A221" s="36">
        <v>222</v>
      </c>
      <c r="B221" s="36" t="s">
        <v>1289</v>
      </c>
      <c r="C221" s="36" t="s">
        <v>548</v>
      </c>
      <c r="D221" s="36"/>
      <c r="E221" s="90" t="s">
        <v>201</v>
      </c>
      <c r="F221" s="36" t="s">
        <v>12</v>
      </c>
      <c r="G221" s="56" t="s">
        <v>1144</v>
      </c>
      <c r="H221" s="53">
        <v>0.29166666666666669</v>
      </c>
      <c r="I221" s="6" t="str">
        <f>LEFT(Table1[[#This Row],[تاریخ توقف]],4)</f>
        <v>1404</v>
      </c>
      <c r="J221" s="6" t="str">
        <f>VLOOKUP(Table1[[#This Row],[ماه توقف]],Table2[],3,0)</f>
        <v>پاییز</v>
      </c>
      <c r="K221" s="3">
        <f>_xlfn.NUMBERVALUE(RIGHT(LEFT(Table1[[#This Row],[تاریخ توقف]],7),2))</f>
        <v>8</v>
      </c>
      <c r="L221" s="3" t="str">
        <f>RIGHT(LEFT(Table1[[#This Row],[تاریخ توقف]],10),2)</f>
        <v>04</v>
      </c>
      <c r="M221" s="3">
        <f>HOUR(Table1[[#This Row],[زمان شروع توقف]])</f>
        <v>7</v>
      </c>
      <c r="N221" s="3">
        <f>MINUTE(Table1[[#This Row],[زمان شروع توقف]])</f>
        <v>0</v>
      </c>
      <c r="O221" s="3">
        <f>((Table1[[#This Row],[سال توقف]]*365+IF(Table1[[#This Row],[ماه توقف]]&lt;7,(Table1[[#This Row],[ماه توقف]]-1)*31,6*31+(Table1[[#This Row],[ماه توقف]]-6-1)*30)+(Table1[[#This Row],[روز توقف]])-1)*24+Table1[[#This Row],[ساعت توقف2]])*60+Table1[[#This Row],[دقیقه توقف]]</f>
        <v>738258180</v>
      </c>
      <c r="P221" s="56" t="s">
        <v>1144</v>
      </c>
      <c r="Q221" s="53">
        <v>0.34027777777777779</v>
      </c>
      <c r="R221" s="3" t="str">
        <f>LEFT(Table1[[#This Row],[تاریخ پایان توقف]],4)</f>
        <v>1404</v>
      </c>
      <c r="S221" s="3" t="str">
        <f>_xlfn.IFNA(VLOOKUP(Table1[[#This Row],[ماه رفع توقف]],Table2[],3,0),"در حال تعمیر")</f>
        <v>پاییز</v>
      </c>
      <c r="T221" s="3">
        <f>_xlfn.NUMBERVALUE(RIGHT(LEFT(Table1[[#This Row],[تاریخ پایان توقف]],7),2))</f>
        <v>8</v>
      </c>
      <c r="U221" s="3" t="str">
        <f>RIGHT(LEFT(Table1[[#This Row],[تاریخ پایان توقف]],10),2)</f>
        <v>04</v>
      </c>
      <c r="V221" s="3">
        <f>HOUR(Table1[[#This Row],[زمان پایان توقف]])</f>
        <v>8</v>
      </c>
      <c r="W221" s="3">
        <f>MINUTE(Table1[[#This Row],[زمان پایان توقف]])</f>
        <v>10</v>
      </c>
      <c r="X22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738258250</v>
      </c>
      <c r="Y221" s="42" t="s">
        <v>1182</v>
      </c>
      <c r="Z221" s="83">
        <f>IFERROR((IF(Table1[[#This Row],[تاریخ پایان توقف]]&lt;&gt;"",Table1[[#This Row],[زمان رفع توقف]]-Table1[[#This Row],[زمان توقف]],"")/60),"")</f>
        <v>1.1666666666666667</v>
      </c>
      <c r="AA221" s="3">
        <f>VLOOKUP(E221,Table4[],4,0)</f>
        <v>24</v>
      </c>
      <c r="AB221" s="3">
        <f>VLOOKUP(E221,Table4[],5,0)</f>
        <v>0.2</v>
      </c>
      <c r="AC221" s="3">
        <v>360</v>
      </c>
      <c r="AD221" s="3">
        <f>VLOOKUP(E221,Table4[],7,0)</f>
        <v>720</v>
      </c>
      <c r="AE221" s="83" t="str">
        <f>IF(Table1[[#This Row],[زمان آخرین رفع توقف قبل از توقف فعلی]]="","",(Table1[[#This Row],[زمان توقف]]-Table1[[#This Row],[زمان آخرین رفع توقف قبل از توقف فعلی]])/60)</f>
        <v/>
      </c>
      <c r="AF221"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22" spans="1:32">
      <c r="A222" s="36">
        <v>223</v>
      </c>
      <c r="B222" s="36" t="s">
        <v>98</v>
      </c>
      <c r="C222" s="36" t="s">
        <v>1050</v>
      </c>
      <c r="D222" s="36" t="s">
        <v>1095</v>
      </c>
      <c r="E222" s="85" t="s">
        <v>1133</v>
      </c>
      <c r="F222" s="36" t="s">
        <v>12</v>
      </c>
      <c r="G222" s="56" t="s">
        <v>1144</v>
      </c>
      <c r="H222" s="53">
        <v>0.33333333333333331</v>
      </c>
      <c r="I222" s="6" t="str">
        <f>LEFT(Table1[[#This Row],[تاریخ توقف]],4)</f>
        <v>1404</v>
      </c>
      <c r="J222" s="6" t="str">
        <f>VLOOKUP(Table1[[#This Row],[ماه توقف]],Table2[],3,0)</f>
        <v>پاییز</v>
      </c>
      <c r="K222" s="3">
        <f>_xlfn.NUMBERVALUE(RIGHT(LEFT(Table1[[#This Row],[تاریخ توقف]],7),2))</f>
        <v>8</v>
      </c>
      <c r="L222" s="3" t="str">
        <f>RIGHT(LEFT(Table1[[#This Row],[تاریخ توقف]],10),2)</f>
        <v>04</v>
      </c>
      <c r="M222" s="3">
        <f>HOUR(Table1[[#This Row],[زمان شروع توقف]])</f>
        <v>8</v>
      </c>
      <c r="N222" s="3">
        <f>MINUTE(Table1[[#This Row],[زمان شروع توقف]])</f>
        <v>0</v>
      </c>
      <c r="O222" s="3">
        <f>((Table1[[#This Row],[سال توقف]]*365+IF(Table1[[#This Row],[ماه توقف]]&lt;7,(Table1[[#This Row],[ماه توقف]]-1)*31,6*31+(Table1[[#This Row],[ماه توقف]]-6-1)*30)+(Table1[[#This Row],[روز توقف]])-1)*24+Table1[[#This Row],[ساعت توقف2]])*60+Table1[[#This Row],[دقیقه توقف]]</f>
        <v>738258240</v>
      </c>
      <c r="P222" s="56" t="s">
        <v>1144</v>
      </c>
      <c r="Q222" s="53">
        <v>0.35416666666666669</v>
      </c>
      <c r="R222" s="3" t="str">
        <f>LEFT(Table1[[#This Row],[تاریخ پایان توقف]],4)</f>
        <v>1404</v>
      </c>
      <c r="S222" s="3" t="str">
        <f>_xlfn.IFNA(VLOOKUP(Table1[[#This Row],[ماه رفع توقف]],Table2[],3,0),"در حال تعمیر")</f>
        <v>پاییز</v>
      </c>
      <c r="T222" s="3">
        <f>_xlfn.NUMBERVALUE(RIGHT(LEFT(Table1[[#This Row],[تاریخ پایان توقف]],7),2))</f>
        <v>8</v>
      </c>
      <c r="U222" s="3" t="str">
        <f>RIGHT(LEFT(Table1[[#This Row],[تاریخ پایان توقف]],10),2)</f>
        <v>04</v>
      </c>
      <c r="V222" s="3">
        <f>HOUR(Table1[[#This Row],[زمان پایان توقف]])</f>
        <v>8</v>
      </c>
      <c r="W222" s="3">
        <f>MINUTE(Table1[[#This Row],[زمان پایان توقف]])</f>
        <v>30</v>
      </c>
      <c r="X22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738258270</v>
      </c>
      <c r="Y222" s="42"/>
      <c r="Z222" s="83">
        <f>IFERROR((IF(Table1[[#This Row],[تاریخ پایان توقف]]&lt;&gt;"",Table1[[#This Row],[زمان رفع توقف]]-Table1[[#This Row],[زمان توقف]],"")/60),"")</f>
        <v>0.5</v>
      </c>
      <c r="AA222" s="3">
        <f>VLOOKUP(E222,Table4[],4,0)</f>
        <v>24</v>
      </c>
      <c r="AB222" s="3">
        <f>VLOOKUP(E222,Table4[],5,0)</f>
        <v>0.2</v>
      </c>
      <c r="AC222" s="3">
        <v>360</v>
      </c>
      <c r="AD222" s="3">
        <f>VLOOKUP(E222,Table4[],7,0)</f>
        <v>720</v>
      </c>
      <c r="AE222" s="83" t="str">
        <f>IF(Table1[[#This Row],[زمان آخرین رفع توقف قبل از توقف فعلی]]="","",(Table1[[#This Row],[زمان توقف]]-Table1[[#This Row],[زمان آخرین رفع توقف قبل از توقف فعلی]])/60)</f>
        <v/>
      </c>
      <c r="AF222"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23" spans="1:32">
      <c r="A223" s="36">
        <v>224</v>
      </c>
      <c r="B223" s="36" t="s">
        <v>98</v>
      </c>
      <c r="C223" s="36" t="s">
        <v>1121</v>
      </c>
      <c r="D223" s="36" t="s">
        <v>115</v>
      </c>
      <c r="E223" s="85" t="s">
        <v>117</v>
      </c>
      <c r="F223" s="36" t="s">
        <v>12</v>
      </c>
      <c r="G223" s="56" t="s">
        <v>1144</v>
      </c>
      <c r="H223" s="53">
        <v>0.37152777777777779</v>
      </c>
      <c r="I223" s="6" t="str">
        <f>LEFT(Table1[[#This Row],[تاریخ توقف]],4)</f>
        <v>1404</v>
      </c>
      <c r="J223" s="6" t="str">
        <f>VLOOKUP(Table1[[#This Row],[ماه توقف]],Table2[],3,0)</f>
        <v>پاییز</v>
      </c>
      <c r="K223" s="3">
        <f>_xlfn.NUMBERVALUE(RIGHT(LEFT(Table1[[#This Row],[تاریخ توقف]],7),2))</f>
        <v>8</v>
      </c>
      <c r="L223" s="3" t="str">
        <f>RIGHT(LEFT(Table1[[#This Row],[تاریخ توقف]],10),2)</f>
        <v>04</v>
      </c>
      <c r="M223" s="3">
        <f>HOUR(Table1[[#This Row],[زمان شروع توقف]])</f>
        <v>8</v>
      </c>
      <c r="N223" s="3">
        <f>MINUTE(Table1[[#This Row],[زمان شروع توقف]])</f>
        <v>55</v>
      </c>
      <c r="O223" s="3">
        <f>((Table1[[#This Row],[سال توقف]]*365+IF(Table1[[#This Row],[ماه توقف]]&lt;7,(Table1[[#This Row],[ماه توقف]]-1)*31,6*31+(Table1[[#This Row],[ماه توقف]]-6-1)*30)+(Table1[[#This Row],[روز توقف]])-1)*24+Table1[[#This Row],[ساعت توقف2]])*60+Table1[[#This Row],[دقیقه توقف]]</f>
        <v>738258295</v>
      </c>
      <c r="P223" s="56" t="s">
        <v>1144</v>
      </c>
      <c r="Q223" s="53">
        <v>0.42638888888888887</v>
      </c>
      <c r="R223" s="3" t="str">
        <f>LEFT(Table1[[#This Row],[تاریخ پایان توقف]],4)</f>
        <v>1404</v>
      </c>
      <c r="S223" s="3" t="str">
        <f>_xlfn.IFNA(VLOOKUP(Table1[[#This Row],[ماه رفع توقف]],Table2[],3,0),"در حال تعمیر")</f>
        <v>پاییز</v>
      </c>
      <c r="T223" s="3">
        <f>_xlfn.NUMBERVALUE(RIGHT(LEFT(Table1[[#This Row],[تاریخ پایان توقف]],7),2))</f>
        <v>8</v>
      </c>
      <c r="U223" s="3" t="str">
        <f>RIGHT(LEFT(Table1[[#This Row],[تاریخ پایان توقف]],10),2)</f>
        <v>04</v>
      </c>
      <c r="V223" s="3">
        <f>HOUR(Table1[[#This Row],[زمان پایان توقف]])</f>
        <v>10</v>
      </c>
      <c r="W223" s="3">
        <f>MINUTE(Table1[[#This Row],[زمان پایان توقف]])</f>
        <v>14</v>
      </c>
      <c r="X22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738258374</v>
      </c>
      <c r="Y223" s="42" t="s">
        <v>1183</v>
      </c>
      <c r="Z223" s="83">
        <f>IFERROR((IF(Table1[[#This Row],[تاریخ پایان توقف]]&lt;&gt;"",Table1[[#This Row],[زمان رفع توقف]]-Table1[[#This Row],[زمان توقف]],"")/60),"")</f>
        <v>1.3166666666666667</v>
      </c>
      <c r="AA223" s="3">
        <f>VLOOKUP(E223,Table4[],4,0)</f>
        <v>24</v>
      </c>
      <c r="AB223" s="3">
        <f>VLOOKUP(E223,Table4[],5,0)</f>
        <v>0.2</v>
      </c>
      <c r="AC223" s="3">
        <v>360</v>
      </c>
      <c r="AD223" s="3">
        <f>VLOOKUP(E223,Table4[],7,0)</f>
        <v>720</v>
      </c>
      <c r="AE223" s="83">
        <f>IF(Table1[[#This Row],[زمان آخرین رفع توقف قبل از توقف فعلی]]="","",(Table1[[#This Row],[زمان توقف]]-Table1[[#This Row],[زمان آخرین رفع توقف قبل از توقف فعلی]])/60)</f>
        <v>23.666666666666668</v>
      </c>
      <c r="AF22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738256875</v>
      </c>
    </row>
    <row r="224" spans="1:32">
      <c r="A224" s="36">
        <v>225</v>
      </c>
      <c r="B224" s="36" t="s">
        <v>98</v>
      </c>
      <c r="C224" s="36" t="s">
        <v>1120</v>
      </c>
      <c r="D224" s="36" t="s">
        <v>45</v>
      </c>
      <c r="E224" s="85" t="s">
        <v>74</v>
      </c>
      <c r="F224" s="36" t="s">
        <v>12</v>
      </c>
      <c r="G224" s="57" t="s">
        <v>1145</v>
      </c>
      <c r="H224" s="53">
        <v>0.79166666666666663</v>
      </c>
      <c r="I224" s="6" t="str">
        <f>LEFT(Table1[[#This Row],[تاریخ توقف]],4)</f>
        <v>1404</v>
      </c>
      <c r="J224" s="6" t="str">
        <f>VLOOKUP(Table1[[#This Row],[ماه توقف]],Table2[],3,0)</f>
        <v>پاییز</v>
      </c>
      <c r="K224" s="3">
        <f>_xlfn.NUMBERVALUE(RIGHT(LEFT(Table1[[#This Row],[تاریخ توقف]],7),2))</f>
        <v>8</v>
      </c>
      <c r="L224" s="3" t="str">
        <f>RIGHT(LEFT(Table1[[#This Row],[تاریخ توقف]],10),2)</f>
        <v>/4</v>
      </c>
      <c r="M224" s="3">
        <f>HOUR(Table1[[#This Row],[زمان شروع توقف]])</f>
        <v>19</v>
      </c>
      <c r="N224" s="3">
        <f>MINUTE(Table1[[#This Row],[زمان شروع توقف]])</f>
        <v>0</v>
      </c>
      <c r="O224" s="3">
        <f>((Table1[[#This Row],[سال توقف]]*365+IF(Table1[[#This Row],[ماه توقف]]&lt;7,(Table1[[#This Row],[ماه توقف]]-1)*31,6*31+(Table1[[#This Row],[ماه توقف]]-6-1)*30)+(Table1[[#This Row],[روز توقف]])-1)*24+Table1[[#This Row],[ساعت توقف2]])*60+Table1[[#This Row],[دقیقه توقف]]</f>
        <v>738253716.00000012</v>
      </c>
      <c r="P224" s="57" t="s">
        <v>1172</v>
      </c>
      <c r="Q224" s="53">
        <v>0.96875</v>
      </c>
      <c r="R224" s="3" t="str">
        <f>LEFT(Table1[[#This Row],[تاریخ پایان توقف]],4)</f>
        <v>1404</v>
      </c>
      <c r="S224" s="3" t="str">
        <f>_xlfn.IFNA(VLOOKUP(Table1[[#This Row],[ماه رفع توقف]],Table2[],3,0),"در حال تعمیر")</f>
        <v>پاییز</v>
      </c>
      <c r="T224" s="3">
        <f>_xlfn.NUMBERVALUE(RIGHT(LEFT(Table1[[#This Row],[تاریخ پایان توقف]],7),2))</f>
        <v>8</v>
      </c>
      <c r="U224" s="3" t="str">
        <f>RIGHT(LEFT(Table1[[#This Row],[تاریخ پایان توقف]],10),2)</f>
        <v>04</v>
      </c>
      <c r="V224" s="3">
        <f>HOUR(Table1[[#This Row],[زمان پایان توقف]])</f>
        <v>23</v>
      </c>
      <c r="W224" s="3">
        <f>MINUTE(Table1[[#This Row],[زمان پایان توقف]])</f>
        <v>15</v>
      </c>
      <c r="X22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738259155</v>
      </c>
      <c r="Y224" s="44"/>
      <c r="Z224" s="83">
        <f>IFERROR((IF(Table1[[#This Row],[تاریخ پایان توقف]]&lt;&gt;"",Table1[[#This Row],[زمان رفع توقف]]-Table1[[#This Row],[زمان توقف]],"")/60),"")</f>
        <v>90.649999998013172</v>
      </c>
      <c r="AA224" s="3">
        <f>VLOOKUP(E224,Table4[],4,0)</f>
        <v>24</v>
      </c>
      <c r="AB224" s="3">
        <f>VLOOKUP(E224,Table4[],5,0)</f>
        <v>0.2</v>
      </c>
      <c r="AC224" s="3">
        <v>360</v>
      </c>
      <c r="AD224" s="3">
        <f>VLOOKUP(E224,Table4[],7,0)</f>
        <v>720</v>
      </c>
      <c r="AE224" s="83">
        <f>IF(Table1[[#This Row],[زمان آخرین رفع توقف قبل از توقف فعلی]]="","",(Table1[[#This Row],[زمان توقف]]-Table1[[#This Row],[زمان آخرین رفع توقف قبل از توقف فعلی]])/60)</f>
        <v>115.33333333532015</v>
      </c>
      <c r="AF22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738246796</v>
      </c>
    </row>
    <row r="225" spans="1:32">
      <c r="A225" s="36">
        <v>226</v>
      </c>
      <c r="B225" s="36" t="s">
        <v>98</v>
      </c>
      <c r="C225" s="36" t="s">
        <v>1115</v>
      </c>
      <c r="D225" s="36" t="s">
        <v>115</v>
      </c>
      <c r="E225" s="85" t="s">
        <v>117</v>
      </c>
      <c r="F225" s="36" t="s">
        <v>12</v>
      </c>
      <c r="G225" s="57" t="s">
        <v>1146</v>
      </c>
      <c r="H225" s="53">
        <v>0.33333333333333331</v>
      </c>
      <c r="I225" s="6" t="str">
        <f>LEFT(Table1[[#This Row],[تاریخ توقف]],4)</f>
        <v>1404</v>
      </c>
      <c r="J225" s="6" t="str">
        <f>VLOOKUP(Table1[[#This Row],[ماه توقف]],Table2[],3,0)</f>
        <v>پاییز</v>
      </c>
      <c r="K225" s="3">
        <f>_xlfn.NUMBERVALUE(RIGHT(LEFT(Table1[[#This Row],[تاریخ توقف]],7),2))</f>
        <v>8</v>
      </c>
      <c r="L225" s="3" t="str">
        <f>RIGHT(LEFT(Table1[[#This Row],[تاریخ توقف]],10),2)</f>
        <v>/5</v>
      </c>
      <c r="M225" s="3">
        <f>HOUR(Table1[[#This Row],[زمان شروع توقف]])</f>
        <v>8</v>
      </c>
      <c r="N225" s="3">
        <f>MINUTE(Table1[[#This Row],[زمان شروع توقف]])</f>
        <v>0</v>
      </c>
      <c r="O225" s="3">
        <f>((Table1[[#This Row],[سال توقف]]*365+IF(Table1[[#This Row],[ماه توقف]]&lt;7,(Table1[[#This Row],[ماه توقف]]-1)*31,6*31+(Table1[[#This Row],[ماه توقف]]-6-1)*30)+(Table1[[#This Row],[روز توقف]])-1)*24+Table1[[#This Row],[ساعت توقف2]])*60+Table1[[#This Row],[دقیقه توقف]]</f>
        <v>738253200</v>
      </c>
      <c r="P225" s="57" t="s">
        <v>1147</v>
      </c>
      <c r="Q225" s="53">
        <v>0.39930555555555558</v>
      </c>
      <c r="R225" s="3" t="str">
        <f>LEFT(Table1[[#This Row],[تاریخ پایان توقف]],4)</f>
        <v>1404</v>
      </c>
      <c r="S225" s="3" t="str">
        <f>_xlfn.IFNA(VLOOKUP(Table1[[#This Row],[ماه رفع توقف]],Table2[],3,0),"در حال تعمیر")</f>
        <v>پاییز</v>
      </c>
      <c r="T225" s="3">
        <f>_xlfn.NUMBERVALUE(RIGHT(LEFT(Table1[[#This Row],[تاریخ پایان توقف]],7),2))</f>
        <v>8</v>
      </c>
      <c r="U225" s="3" t="str">
        <f>RIGHT(LEFT(Table1[[#This Row],[تاریخ پایان توقف]],10),2)</f>
        <v>05</v>
      </c>
      <c r="V225" s="3">
        <f>HOUR(Table1[[#This Row],[زمان پایان توقف]])</f>
        <v>9</v>
      </c>
      <c r="W225" s="3">
        <f>MINUTE(Table1[[#This Row],[زمان پایان توقف]])</f>
        <v>35</v>
      </c>
      <c r="X22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738259775</v>
      </c>
      <c r="Y225" s="44" t="s">
        <v>1184</v>
      </c>
      <c r="Z225" s="83">
        <f>IFERROR((IF(Table1[[#This Row],[تاریخ پایان توقف]]&lt;&gt;"",Table1[[#This Row],[زمان رفع توقف]]-Table1[[#This Row],[زمان توقف]],"")/60),"")</f>
        <v>109.58333333333333</v>
      </c>
      <c r="AA225" s="3">
        <f>VLOOKUP(E225,Table4[],4,0)</f>
        <v>24</v>
      </c>
      <c r="AB225" s="3">
        <f>VLOOKUP(E225,Table4[],5,0)</f>
        <v>0.2</v>
      </c>
      <c r="AC225" s="3">
        <v>360</v>
      </c>
      <c r="AD225" s="3">
        <f>VLOOKUP(E225,Table4[],7,0)</f>
        <v>720</v>
      </c>
      <c r="AE225" s="83">
        <f>IF(Table1[[#This Row],[زمان آخرین رفع توقف قبل از توقف فعلی]]="","",(Table1[[#This Row],[زمان توقف]]-Table1[[#This Row],[زمان آخرین رفع توقف قبل از توقف فعلی]])/60)</f>
        <v>346.83333333333331</v>
      </c>
      <c r="AF22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738232390</v>
      </c>
    </row>
    <row r="226" spans="1:32">
      <c r="A226" s="36">
        <v>227</v>
      </c>
      <c r="B226" s="36" t="s">
        <v>98</v>
      </c>
      <c r="C226" s="36" t="s">
        <v>1115</v>
      </c>
      <c r="D226" s="36" t="s">
        <v>115</v>
      </c>
      <c r="E226" s="85" t="s">
        <v>117</v>
      </c>
      <c r="F226" s="36" t="s">
        <v>12</v>
      </c>
      <c r="G226" s="57" t="s">
        <v>1146</v>
      </c>
      <c r="H226" s="53">
        <v>0.41666666666666669</v>
      </c>
      <c r="I226" s="6" t="str">
        <f>LEFT(Table1[[#This Row],[تاریخ توقف]],4)</f>
        <v>1404</v>
      </c>
      <c r="J226" s="6" t="str">
        <f>VLOOKUP(Table1[[#This Row],[ماه توقف]],Table2[],3,0)</f>
        <v>پاییز</v>
      </c>
      <c r="K226" s="3">
        <f>_xlfn.NUMBERVALUE(RIGHT(LEFT(Table1[[#This Row],[تاریخ توقف]],7),2))</f>
        <v>8</v>
      </c>
      <c r="L226" s="3" t="str">
        <f>RIGHT(LEFT(Table1[[#This Row],[تاریخ توقف]],10),2)</f>
        <v>/5</v>
      </c>
      <c r="M226" s="3">
        <f>HOUR(Table1[[#This Row],[زمان شروع توقف]])</f>
        <v>10</v>
      </c>
      <c r="N226" s="3">
        <f>MINUTE(Table1[[#This Row],[زمان شروع توقف]])</f>
        <v>0</v>
      </c>
      <c r="O226" s="3">
        <f>((Table1[[#This Row],[سال توقف]]*365+IF(Table1[[#This Row],[ماه توقف]]&lt;7,(Table1[[#This Row],[ماه توقف]]-1)*31,6*31+(Table1[[#This Row],[ماه توقف]]-6-1)*30)+(Table1[[#This Row],[روز توقف]])-1)*24+Table1[[#This Row],[ساعت توقف2]])*60+Table1[[#This Row],[دقیقه توقف]]</f>
        <v>738253320</v>
      </c>
      <c r="P226" s="57" t="s">
        <v>1147</v>
      </c>
      <c r="Q226" s="53">
        <v>0.47430555555555554</v>
      </c>
      <c r="R226" s="3" t="str">
        <f>LEFT(Table1[[#This Row],[تاریخ پایان توقف]],4)</f>
        <v>1404</v>
      </c>
      <c r="S226" s="3" t="str">
        <f>_xlfn.IFNA(VLOOKUP(Table1[[#This Row],[ماه رفع توقف]],Table2[],3,0),"در حال تعمیر")</f>
        <v>پاییز</v>
      </c>
      <c r="T226" s="3">
        <f>_xlfn.NUMBERVALUE(RIGHT(LEFT(Table1[[#This Row],[تاریخ پایان توقف]],7),2))</f>
        <v>8</v>
      </c>
      <c r="U226" s="3" t="str">
        <f>RIGHT(LEFT(Table1[[#This Row],[تاریخ پایان توقف]],10),2)</f>
        <v>05</v>
      </c>
      <c r="V226" s="3">
        <f>HOUR(Table1[[#This Row],[زمان پایان توقف]])</f>
        <v>11</v>
      </c>
      <c r="W226" s="3">
        <f>MINUTE(Table1[[#This Row],[زمان پایان توقف]])</f>
        <v>23</v>
      </c>
      <c r="X22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738259883</v>
      </c>
      <c r="Y226" s="44" t="s">
        <v>1184</v>
      </c>
      <c r="Z226" s="83">
        <f>IFERROR((IF(Table1[[#This Row],[تاریخ پایان توقف]]&lt;&gt;"",Table1[[#This Row],[زمان رفع توقف]]-Table1[[#This Row],[زمان توقف]],"")/60),"")</f>
        <v>109.38333333333334</v>
      </c>
      <c r="AA226" s="3">
        <f>VLOOKUP(E226,Table4[],4,0)</f>
        <v>24</v>
      </c>
      <c r="AB226" s="3">
        <f>VLOOKUP(E226,Table4[],5,0)</f>
        <v>0.2</v>
      </c>
      <c r="AC226" s="3">
        <v>360</v>
      </c>
      <c r="AD226" s="3">
        <f>VLOOKUP(E226,Table4[],7,0)</f>
        <v>720</v>
      </c>
      <c r="AE226" s="83">
        <f>IF(Table1[[#This Row],[زمان آخرین رفع توقف قبل از توقف فعلی]]="","",(Table1[[#This Row],[زمان توقف]]-Table1[[#This Row],[زمان آخرین رفع توقف قبل از توقف فعلی]])/60)</f>
        <v>348.83333333333331</v>
      </c>
      <c r="AF22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738232390</v>
      </c>
    </row>
    <row r="227" spans="1:32">
      <c r="A227" s="36">
        <v>228</v>
      </c>
      <c r="B227" s="36" t="s">
        <v>98</v>
      </c>
      <c r="C227" s="36" t="s">
        <v>881</v>
      </c>
      <c r="D227" s="36" t="s">
        <v>905</v>
      </c>
      <c r="E227" s="85" t="s">
        <v>91</v>
      </c>
      <c r="F227" s="36" t="s">
        <v>12</v>
      </c>
      <c r="G227" s="57" t="s">
        <v>1147</v>
      </c>
      <c r="H227" s="53">
        <v>0.69027777777777777</v>
      </c>
      <c r="I227" s="6" t="str">
        <f>LEFT(Table1[[#This Row],[تاریخ توقف]],4)</f>
        <v>1404</v>
      </c>
      <c r="J227" s="6" t="str">
        <f>VLOOKUP(Table1[[#This Row],[ماه توقف]],Table2[],3,0)</f>
        <v>پاییز</v>
      </c>
      <c r="K227" s="3">
        <f>_xlfn.NUMBERVALUE(RIGHT(LEFT(Table1[[#This Row],[تاریخ توقف]],7),2))</f>
        <v>8</v>
      </c>
      <c r="L227" s="3" t="str">
        <f>RIGHT(LEFT(Table1[[#This Row],[تاریخ توقف]],10),2)</f>
        <v>05</v>
      </c>
      <c r="M227" s="3">
        <f>HOUR(Table1[[#This Row],[زمان شروع توقف]])</f>
        <v>16</v>
      </c>
      <c r="N227" s="3">
        <f>MINUTE(Table1[[#This Row],[زمان شروع توقف]])</f>
        <v>34</v>
      </c>
      <c r="O227" s="3">
        <f>((Table1[[#This Row],[سال توقف]]*365+IF(Table1[[#This Row],[ماه توقف]]&lt;7,(Table1[[#This Row],[ماه توقف]]-1)*31,6*31+(Table1[[#This Row],[ماه توقف]]-6-1)*30)+(Table1[[#This Row],[روز توقف]])-1)*24+Table1[[#This Row],[ساعت توقف2]])*60+Table1[[#This Row],[دقیقه توقف]]</f>
        <v>738260194</v>
      </c>
      <c r="P227" s="57" t="s">
        <v>1147</v>
      </c>
      <c r="Q227" s="53">
        <v>0.70138888888888884</v>
      </c>
      <c r="R227" s="3" t="str">
        <f>LEFT(Table1[[#This Row],[تاریخ پایان توقف]],4)</f>
        <v>1404</v>
      </c>
      <c r="S227" s="3" t="str">
        <f>_xlfn.IFNA(VLOOKUP(Table1[[#This Row],[ماه رفع توقف]],Table2[],3,0),"در حال تعمیر")</f>
        <v>پاییز</v>
      </c>
      <c r="T227" s="3">
        <f>_xlfn.NUMBERVALUE(RIGHT(LEFT(Table1[[#This Row],[تاریخ پایان توقف]],7),2))</f>
        <v>8</v>
      </c>
      <c r="U227" s="3" t="str">
        <f>RIGHT(LEFT(Table1[[#This Row],[تاریخ پایان توقف]],10),2)</f>
        <v>05</v>
      </c>
      <c r="V227" s="3">
        <f>HOUR(Table1[[#This Row],[زمان پایان توقف]])</f>
        <v>16</v>
      </c>
      <c r="W227" s="3">
        <f>MINUTE(Table1[[#This Row],[زمان پایان توقف]])</f>
        <v>50</v>
      </c>
      <c r="X22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738260210</v>
      </c>
      <c r="Y227" s="44" t="s">
        <v>1185</v>
      </c>
      <c r="Z227" s="83">
        <f>IFERROR((IF(Table1[[#This Row],[تاریخ پایان توقف]]&lt;&gt;"",Table1[[#This Row],[زمان رفع توقف]]-Table1[[#This Row],[زمان توقف]],"")/60),"")</f>
        <v>0.26666666666666666</v>
      </c>
      <c r="AA227" s="3">
        <f>VLOOKUP(E227,Table4[],4,0)</f>
        <v>24</v>
      </c>
      <c r="AB227" s="3">
        <f>VLOOKUP(E227,Table4[],5,0)</f>
        <v>0.2</v>
      </c>
      <c r="AC227" s="3">
        <v>360</v>
      </c>
      <c r="AD227" s="3">
        <f>VLOOKUP(E227,Table4[],7,0)</f>
        <v>720</v>
      </c>
      <c r="AE227" s="83">
        <f>IF(Table1[[#This Row],[زمان آخرین رفع توقف قبل از توقف فعلی]]="","",(Table1[[#This Row],[زمان توقف]]-Table1[[#This Row],[زمان آخرین رفع توقف قبل از توقف فعلی]])/60)</f>
        <v>360.73333333333335</v>
      </c>
      <c r="AF22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738238550</v>
      </c>
    </row>
    <row r="228" spans="1:32">
      <c r="A228" s="36">
        <v>229</v>
      </c>
      <c r="B228" s="36" t="s">
        <v>97</v>
      </c>
      <c r="C228" s="36" t="s">
        <v>1041</v>
      </c>
      <c r="D228" s="36" t="s">
        <v>1122</v>
      </c>
      <c r="E228" s="85" t="s">
        <v>59</v>
      </c>
      <c r="F228" s="36" t="s">
        <v>12</v>
      </c>
      <c r="G228" s="57" t="s">
        <v>1148</v>
      </c>
      <c r="H228" s="53">
        <v>0.74930555555555556</v>
      </c>
      <c r="I228" s="6" t="str">
        <f>LEFT(Table1[[#This Row],[تاریخ توقف]],4)</f>
        <v>1404</v>
      </c>
      <c r="J228" s="6" t="str">
        <f>VLOOKUP(Table1[[#This Row],[ماه توقف]],Table2[],3,0)</f>
        <v>پاییز</v>
      </c>
      <c r="K228" s="3">
        <f>_xlfn.NUMBERVALUE(RIGHT(LEFT(Table1[[#This Row],[تاریخ توقف]],7),2))</f>
        <v>8</v>
      </c>
      <c r="L228" s="3" t="str">
        <f>RIGHT(LEFT(Table1[[#This Row],[تاریخ توقف]],10),2)</f>
        <v>06</v>
      </c>
      <c r="M228" s="3">
        <f>HOUR(Table1[[#This Row],[زمان شروع توقف]])</f>
        <v>17</v>
      </c>
      <c r="N228" s="3">
        <f>MINUTE(Table1[[#This Row],[زمان شروع توقف]])</f>
        <v>59</v>
      </c>
      <c r="O228" s="3">
        <f>((Table1[[#This Row],[سال توقف]]*365+IF(Table1[[#This Row],[ماه توقف]]&lt;7,(Table1[[#This Row],[ماه توقف]]-1)*31,6*31+(Table1[[#This Row],[ماه توقف]]-6-1)*30)+(Table1[[#This Row],[روز توقف]])-1)*24+Table1[[#This Row],[ساعت توقف2]])*60+Table1[[#This Row],[دقیقه توقف]]</f>
        <v>738261719</v>
      </c>
      <c r="P228" s="57" t="s">
        <v>1148</v>
      </c>
      <c r="Q228" s="53">
        <v>0.75694444444444442</v>
      </c>
      <c r="R228" s="3" t="str">
        <f>LEFT(Table1[[#This Row],[تاریخ پایان توقف]],4)</f>
        <v>1404</v>
      </c>
      <c r="S228" s="3" t="str">
        <f>_xlfn.IFNA(VLOOKUP(Table1[[#This Row],[ماه رفع توقف]],Table2[],3,0),"در حال تعمیر")</f>
        <v>پاییز</v>
      </c>
      <c r="T228" s="3">
        <f>_xlfn.NUMBERVALUE(RIGHT(LEFT(Table1[[#This Row],[تاریخ پایان توقف]],7),2))</f>
        <v>8</v>
      </c>
      <c r="U228" s="3" t="str">
        <f>RIGHT(LEFT(Table1[[#This Row],[تاریخ پایان توقف]],10),2)</f>
        <v>06</v>
      </c>
      <c r="V228" s="3">
        <f>HOUR(Table1[[#This Row],[زمان پایان توقف]])</f>
        <v>18</v>
      </c>
      <c r="W228" s="3">
        <f>MINUTE(Table1[[#This Row],[زمان پایان توقف]])</f>
        <v>10</v>
      </c>
      <c r="X22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738261730</v>
      </c>
      <c r="Y228" s="44" t="s">
        <v>1186</v>
      </c>
      <c r="Z228" s="83">
        <f>IFERROR((IF(Table1[[#This Row],[تاریخ پایان توقف]]&lt;&gt;"",Table1[[#This Row],[زمان رفع توقف]]-Table1[[#This Row],[زمان توقف]],"")/60),"")</f>
        <v>0.18333333333333332</v>
      </c>
      <c r="AA228" s="3">
        <f>VLOOKUP(E228,Table4[],4,0)</f>
        <v>24</v>
      </c>
      <c r="AB228" s="3">
        <f>VLOOKUP(E228,Table4[],5,0)</f>
        <v>0.2</v>
      </c>
      <c r="AC228" s="3">
        <v>360</v>
      </c>
      <c r="AD228" s="3">
        <f>VLOOKUP(E228,Table4[],7,0)</f>
        <v>720</v>
      </c>
      <c r="AE228" s="83">
        <f>IF(Table1[[#This Row],[زمان آخرین رفع توقف قبل از توقف فعلی]]="","",(Table1[[#This Row],[زمان توقف]]-Table1[[#This Row],[زمان آخرین رفع توقف قبل از توقف فعلی]])/60)</f>
        <v>2143.65</v>
      </c>
      <c r="AF22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738133100</v>
      </c>
    </row>
    <row r="229" spans="1:32">
      <c r="A229" s="36">
        <v>230</v>
      </c>
      <c r="B229" s="36" t="s">
        <v>98</v>
      </c>
      <c r="C229" s="36" t="s">
        <v>1123</v>
      </c>
      <c r="D229" s="36" t="s">
        <v>120</v>
      </c>
      <c r="E229" s="85" t="s">
        <v>122</v>
      </c>
      <c r="F229" s="36" t="s">
        <v>12</v>
      </c>
      <c r="G229" s="57" t="s">
        <v>1149</v>
      </c>
      <c r="H229" s="53">
        <v>0.70833333333333337</v>
      </c>
      <c r="I229" s="6" t="str">
        <f>LEFT(Table1[[#This Row],[تاریخ توقف]],4)</f>
        <v>1404</v>
      </c>
      <c r="J229" s="6" t="str">
        <f>VLOOKUP(Table1[[#This Row],[ماه توقف]],Table2[],3,0)</f>
        <v>پاییز</v>
      </c>
      <c r="K229" s="3">
        <f>_xlfn.NUMBERVALUE(RIGHT(LEFT(Table1[[#This Row],[تاریخ توقف]],7),2))</f>
        <v>8</v>
      </c>
      <c r="L229" s="3" t="str">
        <f>RIGHT(LEFT(Table1[[#This Row],[تاریخ توقف]],10),2)</f>
        <v>07</v>
      </c>
      <c r="M229" s="3">
        <f>HOUR(Table1[[#This Row],[زمان شروع توقف]])</f>
        <v>17</v>
      </c>
      <c r="N229" s="3">
        <f>MINUTE(Table1[[#This Row],[زمان شروع توقف]])</f>
        <v>0</v>
      </c>
      <c r="O229" s="3">
        <f>((Table1[[#This Row],[سال توقف]]*365+IF(Table1[[#This Row],[ماه توقف]]&lt;7,(Table1[[#This Row],[ماه توقف]]-1)*31,6*31+(Table1[[#This Row],[ماه توقف]]-6-1)*30)+(Table1[[#This Row],[روز توقف]])-1)*24+Table1[[#This Row],[ساعت توقف2]])*60+Table1[[#This Row],[دقیقه توقف]]</f>
        <v>738263100</v>
      </c>
      <c r="P229" s="57" t="s">
        <v>1149</v>
      </c>
      <c r="Q229" s="53">
        <v>0.75763888888888886</v>
      </c>
      <c r="R229" s="3" t="str">
        <f>LEFT(Table1[[#This Row],[تاریخ پایان توقف]],4)</f>
        <v>1404</v>
      </c>
      <c r="S229" s="3" t="str">
        <f>_xlfn.IFNA(VLOOKUP(Table1[[#This Row],[ماه رفع توقف]],Table2[],3,0),"در حال تعمیر")</f>
        <v>پاییز</v>
      </c>
      <c r="T229" s="3">
        <f>_xlfn.NUMBERVALUE(RIGHT(LEFT(Table1[[#This Row],[تاریخ پایان توقف]],7),2))</f>
        <v>8</v>
      </c>
      <c r="U229" s="3" t="str">
        <f>RIGHT(LEFT(Table1[[#This Row],[تاریخ پایان توقف]],10),2)</f>
        <v>07</v>
      </c>
      <c r="V229" s="3">
        <f>HOUR(Table1[[#This Row],[زمان پایان توقف]])</f>
        <v>18</v>
      </c>
      <c r="W229" s="3">
        <f>MINUTE(Table1[[#This Row],[زمان پایان توقف]])</f>
        <v>11</v>
      </c>
      <c r="X22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738263171</v>
      </c>
      <c r="Y229" s="44" t="s">
        <v>1187</v>
      </c>
      <c r="Z229" s="83">
        <f>IFERROR((IF(Table1[[#This Row],[تاریخ پایان توقف]]&lt;&gt;"",Table1[[#This Row],[زمان رفع توقف]]-Table1[[#This Row],[زمان توقف]],"")/60),"")</f>
        <v>1.1833333333333333</v>
      </c>
      <c r="AA229" s="3">
        <f>VLOOKUP(E229,Table4[],4,0)</f>
        <v>24</v>
      </c>
      <c r="AB229" s="3">
        <f>VLOOKUP(E229,Table4[],5,0)</f>
        <v>0.2</v>
      </c>
      <c r="AC229" s="3">
        <v>360</v>
      </c>
      <c r="AD229" s="3">
        <f>VLOOKUP(E229,Table4[],7,0)</f>
        <v>720</v>
      </c>
      <c r="AE229" s="83">
        <f>IF(Table1[[#This Row],[زمان آخرین رفع توقف قبل از توقف فعلی]]="","",(Table1[[#This Row],[زمان توقف]]-Table1[[#This Row],[زمان آخرین رفع توقف قبل از توقف فعلی]])/60)</f>
        <v>197</v>
      </c>
      <c r="AF22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738251280</v>
      </c>
    </row>
    <row r="230" spans="1:32">
      <c r="A230" s="36">
        <v>231</v>
      </c>
      <c r="B230" s="36" t="s">
        <v>98</v>
      </c>
      <c r="C230" s="36" t="s">
        <v>1115</v>
      </c>
      <c r="D230" s="36" t="s">
        <v>115</v>
      </c>
      <c r="E230" s="85" t="s">
        <v>117</v>
      </c>
      <c r="F230" s="36" t="s">
        <v>12</v>
      </c>
      <c r="G230" s="57" t="s">
        <v>1149</v>
      </c>
      <c r="H230" s="53">
        <v>0.70833333333333337</v>
      </c>
      <c r="I230" s="6" t="str">
        <f>LEFT(Table1[[#This Row],[تاریخ توقف]],4)</f>
        <v>1404</v>
      </c>
      <c r="J230" s="6" t="str">
        <f>VLOOKUP(Table1[[#This Row],[ماه توقف]],Table2[],3,0)</f>
        <v>پاییز</v>
      </c>
      <c r="K230" s="3">
        <f>_xlfn.NUMBERVALUE(RIGHT(LEFT(Table1[[#This Row],[تاریخ توقف]],7),2))</f>
        <v>8</v>
      </c>
      <c r="L230" s="3" t="str">
        <f>RIGHT(LEFT(Table1[[#This Row],[تاریخ توقف]],10),2)</f>
        <v>07</v>
      </c>
      <c r="M230" s="3">
        <f>HOUR(Table1[[#This Row],[زمان شروع توقف]])</f>
        <v>17</v>
      </c>
      <c r="N230" s="3">
        <f>MINUTE(Table1[[#This Row],[زمان شروع توقف]])</f>
        <v>0</v>
      </c>
      <c r="O230" s="3">
        <f>((Table1[[#This Row],[سال توقف]]*365+IF(Table1[[#This Row],[ماه توقف]]&lt;7,(Table1[[#This Row],[ماه توقف]]-1)*31,6*31+(Table1[[#This Row],[ماه توقف]]-6-1)*30)+(Table1[[#This Row],[روز توقف]])-1)*24+Table1[[#This Row],[ساعت توقف2]])*60+Table1[[#This Row],[دقیقه توقف]]</f>
        <v>738263100</v>
      </c>
      <c r="P230" s="57" t="s">
        <v>1149</v>
      </c>
      <c r="Q230" s="53">
        <v>0.77916666666666667</v>
      </c>
      <c r="R230" s="3" t="str">
        <f>LEFT(Table1[[#This Row],[تاریخ پایان توقف]],4)</f>
        <v>1404</v>
      </c>
      <c r="S230" s="3" t="str">
        <f>_xlfn.IFNA(VLOOKUP(Table1[[#This Row],[ماه رفع توقف]],Table2[],3,0),"در حال تعمیر")</f>
        <v>پاییز</v>
      </c>
      <c r="T230" s="3">
        <f>_xlfn.NUMBERVALUE(RIGHT(LEFT(Table1[[#This Row],[تاریخ پایان توقف]],7),2))</f>
        <v>8</v>
      </c>
      <c r="U230" s="3" t="str">
        <f>RIGHT(LEFT(Table1[[#This Row],[تاریخ پایان توقف]],10),2)</f>
        <v>07</v>
      </c>
      <c r="V230" s="3">
        <f>HOUR(Table1[[#This Row],[زمان پایان توقف]])</f>
        <v>18</v>
      </c>
      <c r="W230" s="3">
        <f>MINUTE(Table1[[#This Row],[زمان پایان توقف]])</f>
        <v>42</v>
      </c>
      <c r="X23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738263202</v>
      </c>
      <c r="Y230" s="44"/>
      <c r="Z230" s="83">
        <f>IFERROR((IF(Table1[[#This Row],[تاریخ پایان توقف]]&lt;&gt;"",Table1[[#This Row],[زمان رفع توقف]]-Table1[[#This Row],[زمان توقف]],"")/60),"")</f>
        <v>1.7</v>
      </c>
      <c r="AA230" s="3">
        <f>VLOOKUP(E230,Table4[],4,0)</f>
        <v>24</v>
      </c>
      <c r="AB230" s="3">
        <f>VLOOKUP(E230,Table4[],5,0)</f>
        <v>0.2</v>
      </c>
      <c r="AC230" s="3">
        <v>360</v>
      </c>
      <c r="AD230" s="3">
        <f>VLOOKUP(E230,Table4[],7,0)</f>
        <v>720</v>
      </c>
      <c r="AE230" s="83">
        <f>IF(Table1[[#This Row],[زمان آخرین رفع توقف قبل از توقف فعلی]]="","",(Table1[[#This Row],[زمان توقف]]-Table1[[#This Row],[زمان آخرین رفع توقف قبل از توقف فعلی]])/60)</f>
        <v>53.616666666666667</v>
      </c>
      <c r="AF23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738259883</v>
      </c>
    </row>
    <row r="231" spans="1:32">
      <c r="A231" s="36">
        <v>232</v>
      </c>
      <c r="B231" s="36" t="s">
        <v>98</v>
      </c>
      <c r="C231" s="36" t="s">
        <v>1120</v>
      </c>
      <c r="D231" s="36" t="s">
        <v>45</v>
      </c>
      <c r="E231" s="85" t="s">
        <v>74</v>
      </c>
      <c r="F231" s="36" t="s">
        <v>12</v>
      </c>
      <c r="G231" s="57" t="s">
        <v>1150</v>
      </c>
      <c r="H231" s="53">
        <v>0.625</v>
      </c>
      <c r="I231" s="6" t="str">
        <f>LEFT(Table1[[#This Row],[تاریخ توقف]],4)</f>
        <v>1404</v>
      </c>
      <c r="J231" s="6" t="str">
        <f>VLOOKUP(Table1[[#This Row],[ماه توقف]],Table2[],3,0)</f>
        <v>پاییز</v>
      </c>
      <c r="K231" s="3">
        <f>_xlfn.NUMBERVALUE(RIGHT(LEFT(Table1[[#This Row],[تاریخ توقف]],7),2))</f>
        <v>8</v>
      </c>
      <c r="L231" s="3" t="str">
        <f>RIGHT(LEFT(Table1[[#This Row],[تاریخ توقف]],10),2)</f>
        <v>10</v>
      </c>
      <c r="M231" s="3">
        <f>HOUR(Table1[[#This Row],[زمان شروع توقف]])</f>
        <v>15</v>
      </c>
      <c r="N231" s="3">
        <f>MINUTE(Table1[[#This Row],[زمان شروع توقف]])</f>
        <v>0</v>
      </c>
      <c r="O231" s="3">
        <f>((Table1[[#This Row],[سال توقف]]*365+IF(Table1[[#This Row],[ماه توقف]]&lt;7,(Table1[[#This Row],[ماه توقف]]-1)*31,6*31+(Table1[[#This Row],[ماه توقف]]-6-1)*30)+(Table1[[#This Row],[روز توقف]])-1)*24+Table1[[#This Row],[ساعت توقف2]])*60+Table1[[#This Row],[دقیقه توقف]]</f>
        <v>738267300</v>
      </c>
      <c r="P231" s="57" t="s">
        <v>1150</v>
      </c>
      <c r="Q231" s="53">
        <v>0.63541666666666663</v>
      </c>
      <c r="R231" s="3" t="str">
        <f>LEFT(Table1[[#This Row],[تاریخ پایان توقف]],4)</f>
        <v>1404</v>
      </c>
      <c r="S231" s="3" t="str">
        <f>_xlfn.IFNA(VLOOKUP(Table1[[#This Row],[ماه رفع توقف]],Table2[],3,0),"در حال تعمیر")</f>
        <v>پاییز</v>
      </c>
      <c r="T231" s="3">
        <f>_xlfn.NUMBERVALUE(RIGHT(LEFT(Table1[[#This Row],[تاریخ پایان توقف]],7),2))</f>
        <v>8</v>
      </c>
      <c r="U231" s="3" t="str">
        <f>RIGHT(LEFT(Table1[[#This Row],[تاریخ پایان توقف]],10),2)</f>
        <v>10</v>
      </c>
      <c r="V231" s="3">
        <f>HOUR(Table1[[#This Row],[زمان پایان توقف]])</f>
        <v>15</v>
      </c>
      <c r="W231" s="3">
        <f>MINUTE(Table1[[#This Row],[زمان پایان توقف]])</f>
        <v>15</v>
      </c>
      <c r="X23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738267315</v>
      </c>
      <c r="Y231" s="44" t="s">
        <v>1188</v>
      </c>
      <c r="Z231" s="83">
        <f>IFERROR((IF(Table1[[#This Row],[تاریخ پایان توقف]]&lt;&gt;"",Table1[[#This Row],[زمان رفع توقف]]-Table1[[#This Row],[زمان توقف]],"")/60),"")</f>
        <v>0.25</v>
      </c>
      <c r="AA231" s="3">
        <f>VLOOKUP(E231,Table4[],4,0)</f>
        <v>24</v>
      </c>
      <c r="AB231" s="3">
        <f>VLOOKUP(E231,Table4[],5,0)</f>
        <v>0.2</v>
      </c>
      <c r="AC231" s="3">
        <v>360</v>
      </c>
      <c r="AD231" s="3">
        <f>VLOOKUP(E231,Table4[],7,0)</f>
        <v>720</v>
      </c>
      <c r="AE231" s="83">
        <f>IF(Table1[[#This Row],[زمان آخرین رفع توقف قبل از توقف فعلی]]="","",(Table1[[#This Row],[زمان توقف]]-Table1[[#This Row],[زمان آخرین رفع توقف قبل از توقف فعلی]])/60)</f>
        <v>135.75</v>
      </c>
      <c r="AF23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738259155</v>
      </c>
    </row>
    <row r="232" spans="1:32">
      <c r="A232" s="36">
        <v>233</v>
      </c>
      <c r="B232" s="36" t="s">
        <v>98</v>
      </c>
      <c r="C232" s="36" t="s">
        <v>1113</v>
      </c>
      <c r="D232" s="36" t="s">
        <v>106</v>
      </c>
      <c r="E232" s="85" t="s">
        <v>107</v>
      </c>
      <c r="F232" s="36" t="s">
        <v>12</v>
      </c>
      <c r="G232" s="57" t="s">
        <v>1151</v>
      </c>
      <c r="H232" s="53">
        <v>0.37152777777777779</v>
      </c>
      <c r="I232" s="6" t="str">
        <f>LEFT(Table1[[#This Row],[تاریخ توقف]],4)</f>
        <v>1404</v>
      </c>
      <c r="J232" s="6" t="str">
        <f>VLOOKUP(Table1[[#This Row],[ماه توقف]],Table2[],3,0)</f>
        <v>پاییز</v>
      </c>
      <c r="K232" s="3">
        <f>_xlfn.NUMBERVALUE(RIGHT(LEFT(Table1[[#This Row],[تاریخ توقف]],7),2))</f>
        <v>8</v>
      </c>
      <c r="L232" s="3" t="str">
        <f>RIGHT(LEFT(Table1[[#This Row],[تاریخ توقف]],10),2)</f>
        <v>11</v>
      </c>
      <c r="M232" s="3">
        <f>HOUR(Table1[[#This Row],[زمان شروع توقف]])</f>
        <v>8</v>
      </c>
      <c r="N232" s="3">
        <f>MINUTE(Table1[[#This Row],[زمان شروع توقف]])</f>
        <v>55</v>
      </c>
      <c r="O232" s="3">
        <f>((Table1[[#This Row],[سال توقف]]*365+IF(Table1[[#This Row],[ماه توقف]]&lt;7,(Table1[[#This Row],[ماه توقف]]-1)*31,6*31+(Table1[[#This Row],[ماه توقف]]-6-1)*30)+(Table1[[#This Row],[روز توقف]])-1)*24+Table1[[#This Row],[ساعت توقف2]])*60+Table1[[#This Row],[دقیقه توقف]]</f>
        <v>738268375</v>
      </c>
      <c r="P232" s="57" t="s">
        <v>1151</v>
      </c>
      <c r="Q232" s="53">
        <v>0.46944444444444444</v>
      </c>
      <c r="R232" s="3" t="str">
        <f>LEFT(Table1[[#This Row],[تاریخ پایان توقف]],4)</f>
        <v>1404</v>
      </c>
      <c r="S232" s="3" t="str">
        <f>_xlfn.IFNA(VLOOKUP(Table1[[#This Row],[ماه رفع توقف]],Table2[],3,0),"در حال تعمیر")</f>
        <v>پاییز</v>
      </c>
      <c r="T232" s="3">
        <f>_xlfn.NUMBERVALUE(RIGHT(LEFT(Table1[[#This Row],[تاریخ پایان توقف]],7),2))</f>
        <v>8</v>
      </c>
      <c r="U232" s="3" t="str">
        <f>RIGHT(LEFT(Table1[[#This Row],[تاریخ پایان توقف]],10),2)</f>
        <v>11</v>
      </c>
      <c r="V232" s="3">
        <f>HOUR(Table1[[#This Row],[زمان پایان توقف]])</f>
        <v>11</v>
      </c>
      <c r="W232" s="3">
        <f>MINUTE(Table1[[#This Row],[زمان پایان توقف]])</f>
        <v>16</v>
      </c>
      <c r="X23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738268516</v>
      </c>
      <c r="Y232" s="44" t="s">
        <v>1189</v>
      </c>
      <c r="Z232" s="83">
        <f>IFERROR((IF(Table1[[#This Row],[تاریخ پایان توقف]]&lt;&gt;"",Table1[[#This Row],[زمان رفع توقف]]-Table1[[#This Row],[زمان توقف]],"")/60),"")</f>
        <v>2.35</v>
      </c>
      <c r="AA232" s="3">
        <f>VLOOKUP(E232,Table4[],4,0)</f>
        <v>24</v>
      </c>
      <c r="AB232" s="3">
        <f>VLOOKUP(E232,Table4[],5,0)</f>
        <v>0.2</v>
      </c>
      <c r="AC232" s="3">
        <v>360</v>
      </c>
      <c r="AD232" s="3">
        <f>VLOOKUP(E232,Table4[],7,0)</f>
        <v>720</v>
      </c>
      <c r="AE232" s="83">
        <f>IF(Table1[[#This Row],[زمان آخرین رفع توقف قبل از توقف فعلی]]="","",(Table1[[#This Row],[زمان توقف]]-Table1[[#This Row],[زمان آخرین رفع توقف قبل از توقف فعلی]])/60)</f>
        <v>254.58333333333334</v>
      </c>
      <c r="AF23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738253100</v>
      </c>
    </row>
    <row r="233" spans="1:32">
      <c r="A233" s="36">
        <v>234</v>
      </c>
      <c r="B233" s="36" t="s">
        <v>98</v>
      </c>
      <c r="C233" s="36" t="s">
        <v>1120</v>
      </c>
      <c r="D233" s="36" t="s">
        <v>45</v>
      </c>
      <c r="E233" s="85" t="s">
        <v>74</v>
      </c>
      <c r="F233" s="36" t="s">
        <v>12</v>
      </c>
      <c r="G233" s="57" t="s">
        <v>1151</v>
      </c>
      <c r="H233" s="53">
        <v>0.43055555555555558</v>
      </c>
      <c r="I233" s="6" t="str">
        <f>LEFT(Table1[[#This Row],[تاریخ توقف]],4)</f>
        <v>1404</v>
      </c>
      <c r="J233" s="6" t="str">
        <f>VLOOKUP(Table1[[#This Row],[ماه توقف]],Table2[],3,0)</f>
        <v>پاییز</v>
      </c>
      <c r="K233" s="3">
        <f>_xlfn.NUMBERVALUE(RIGHT(LEFT(Table1[[#This Row],[تاریخ توقف]],7),2))</f>
        <v>8</v>
      </c>
      <c r="L233" s="3" t="str">
        <f>RIGHT(LEFT(Table1[[#This Row],[تاریخ توقف]],10),2)</f>
        <v>11</v>
      </c>
      <c r="M233" s="3">
        <f>HOUR(Table1[[#This Row],[زمان شروع توقف]])</f>
        <v>10</v>
      </c>
      <c r="N233" s="3">
        <f>MINUTE(Table1[[#This Row],[زمان شروع توقف]])</f>
        <v>20</v>
      </c>
      <c r="O233" s="3">
        <f>((Table1[[#This Row],[سال توقف]]*365+IF(Table1[[#This Row],[ماه توقف]]&lt;7,(Table1[[#This Row],[ماه توقف]]-1)*31,6*31+(Table1[[#This Row],[ماه توقف]]-6-1)*30)+(Table1[[#This Row],[روز توقف]])-1)*24+Table1[[#This Row],[ساعت توقف2]])*60+Table1[[#This Row],[دقیقه توقف]]</f>
        <v>738268460</v>
      </c>
      <c r="P233" s="57" t="s">
        <v>1151</v>
      </c>
      <c r="Q233" s="53">
        <v>0.46527777777777779</v>
      </c>
      <c r="R233" s="3" t="str">
        <f>LEFT(Table1[[#This Row],[تاریخ پایان توقف]],4)</f>
        <v>1404</v>
      </c>
      <c r="S233" s="3" t="str">
        <f>_xlfn.IFNA(VLOOKUP(Table1[[#This Row],[ماه رفع توقف]],Table2[],3,0),"در حال تعمیر")</f>
        <v>پاییز</v>
      </c>
      <c r="T233" s="3">
        <f>_xlfn.NUMBERVALUE(RIGHT(LEFT(Table1[[#This Row],[تاریخ پایان توقف]],7),2))</f>
        <v>8</v>
      </c>
      <c r="U233" s="3" t="str">
        <f>RIGHT(LEFT(Table1[[#This Row],[تاریخ پایان توقف]],10),2)</f>
        <v>11</v>
      </c>
      <c r="V233" s="3">
        <f>HOUR(Table1[[#This Row],[زمان پایان توقف]])</f>
        <v>11</v>
      </c>
      <c r="W233" s="3">
        <f>MINUTE(Table1[[#This Row],[زمان پایان توقف]])</f>
        <v>10</v>
      </c>
      <c r="X23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738268510</v>
      </c>
      <c r="Y233" s="44" t="s">
        <v>1188</v>
      </c>
      <c r="Z233" s="83">
        <f>IFERROR((IF(Table1[[#This Row],[تاریخ پایان توقف]]&lt;&gt;"",Table1[[#This Row],[زمان رفع توقف]]-Table1[[#This Row],[زمان توقف]],"")/60),"")</f>
        <v>0.83333333333333337</v>
      </c>
      <c r="AA233" s="3">
        <f>VLOOKUP(E233,Table4[],4,0)</f>
        <v>24</v>
      </c>
      <c r="AB233" s="3">
        <f>VLOOKUP(E233,Table4[],5,0)</f>
        <v>0.2</v>
      </c>
      <c r="AC233" s="3">
        <v>360</v>
      </c>
      <c r="AD233" s="3">
        <f>VLOOKUP(E233,Table4[],7,0)</f>
        <v>720</v>
      </c>
      <c r="AE233" s="83">
        <f>IF(Table1[[#This Row],[زمان آخرین رفع توقف قبل از توقف فعلی]]="","",(Table1[[#This Row],[زمان توقف]]-Table1[[#This Row],[زمان آخرین رفع توقف قبل از توقف فعلی]])/60)</f>
        <v>19.083333333333332</v>
      </c>
      <c r="AF23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738267315</v>
      </c>
    </row>
    <row r="234" spans="1:32">
      <c r="A234" s="36">
        <v>235</v>
      </c>
      <c r="B234" s="36" t="s">
        <v>98</v>
      </c>
      <c r="C234" s="36" t="s">
        <v>121</v>
      </c>
      <c r="D234" s="36" t="s">
        <v>120</v>
      </c>
      <c r="E234" s="85" t="s">
        <v>122</v>
      </c>
      <c r="F234" s="36" t="s">
        <v>12</v>
      </c>
      <c r="G234" s="57" t="s">
        <v>1151</v>
      </c>
      <c r="H234" s="53">
        <v>0.57291666666666663</v>
      </c>
      <c r="I234" s="6" t="str">
        <f>LEFT(Table1[[#This Row],[تاریخ توقف]],4)</f>
        <v>1404</v>
      </c>
      <c r="J234" s="6" t="str">
        <f>VLOOKUP(Table1[[#This Row],[ماه توقف]],Table2[],3,0)</f>
        <v>پاییز</v>
      </c>
      <c r="K234" s="3">
        <f>_xlfn.NUMBERVALUE(RIGHT(LEFT(Table1[[#This Row],[تاریخ توقف]],7),2))</f>
        <v>8</v>
      </c>
      <c r="L234" s="3" t="str">
        <f>RIGHT(LEFT(Table1[[#This Row],[تاریخ توقف]],10),2)</f>
        <v>11</v>
      </c>
      <c r="M234" s="3">
        <f>HOUR(Table1[[#This Row],[زمان شروع توقف]])</f>
        <v>13</v>
      </c>
      <c r="N234" s="3">
        <f>MINUTE(Table1[[#This Row],[زمان شروع توقف]])</f>
        <v>45</v>
      </c>
      <c r="O234" s="3">
        <f>((Table1[[#This Row],[سال توقف]]*365+IF(Table1[[#This Row],[ماه توقف]]&lt;7,(Table1[[#This Row],[ماه توقف]]-1)*31,6*31+(Table1[[#This Row],[ماه توقف]]-6-1)*30)+(Table1[[#This Row],[روز توقف]])-1)*24+Table1[[#This Row],[ساعت توقف2]])*60+Table1[[#This Row],[دقیقه توقف]]</f>
        <v>738268665</v>
      </c>
      <c r="P234" s="57" t="s">
        <v>1151</v>
      </c>
      <c r="Q234" s="53">
        <v>0.59027777777777779</v>
      </c>
      <c r="R234" s="3" t="str">
        <f>LEFT(Table1[[#This Row],[تاریخ پایان توقف]],4)</f>
        <v>1404</v>
      </c>
      <c r="S234" s="3" t="str">
        <f>_xlfn.IFNA(VLOOKUP(Table1[[#This Row],[ماه رفع توقف]],Table2[],3,0),"در حال تعمیر")</f>
        <v>پاییز</v>
      </c>
      <c r="T234" s="3">
        <f>_xlfn.NUMBERVALUE(RIGHT(LEFT(Table1[[#This Row],[تاریخ پایان توقف]],7),2))</f>
        <v>8</v>
      </c>
      <c r="U234" s="3" t="str">
        <f>RIGHT(LEFT(Table1[[#This Row],[تاریخ پایان توقف]],10),2)</f>
        <v>11</v>
      </c>
      <c r="V234" s="3">
        <f>HOUR(Table1[[#This Row],[زمان پایان توقف]])</f>
        <v>14</v>
      </c>
      <c r="W234" s="3">
        <f>MINUTE(Table1[[#This Row],[زمان پایان توقف]])</f>
        <v>10</v>
      </c>
      <c r="X23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738268690</v>
      </c>
      <c r="Y234" s="44" t="s">
        <v>1190</v>
      </c>
      <c r="Z234" s="83">
        <f>IFERROR((IF(Table1[[#This Row],[تاریخ پایان توقف]]&lt;&gt;"",Table1[[#This Row],[زمان رفع توقف]]-Table1[[#This Row],[زمان توقف]],"")/60),"")</f>
        <v>0.41666666666666669</v>
      </c>
      <c r="AA234" s="3">
        <f>VLOOKUP(E234,Table4[],4,0)</f>
        <v>24</v>
      </c>
      <c r="AB234" s="3">
        <f>VLOOKUP(E234,Table4[],5,0)</f>
        <v>0.2</v>
      </c>
      <c r="AC234" s="3">
        <v>360</v>
      </c>
      <c r="AD234" s="3">
        <f>VLOOKUP(E234,Table4[],7,0)</f>
        <v>720</v>
      </c>
      <c r="AE234" s="83">
        <f>IF(Table1[[#This Row],[زمان آخرین رفع توقف قبل از توقف فعلی]]="","",(Table1[[#This Row],[زمان توقف]]-Table1[[#This Row],[زمان آخرین رفع توقف قبل از توقف فعلی]])/60)</f>
        <v>91.566666666666663</v>
      </c>
      <c r="AF23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738263171</v>
      </c>
    </row>
    <row r="235" spans="1:32">
      <c r="A235" s="36">
        <v>236</v>
      </c>
      <c r="B235" s="36" t="s">
        <v>98</v>
      </c>
      <c r="C235" s="36" t="s">
        <v>1115</v>
      </c>
      <c r="D235" s="36" t="s">
        <v>115</v>
      </c>
      <c r="E235" s="85" t="s">
        <v>117</v>
      </c>
      <c r="F235" s="36" t="s">
        <v>12</v>
      </c>
      <c r="G235" s="57" t="s">
        <v>1151</v>
      </c>
      <c r="H235" s="53">
        <v>0.65902777777777777</v>
      </c>
      <c r="I235" s="6" t="str">
        <f>LEFT(Table1[[#This Row],[تاریخ توقف]],4)</f>
        <v>1404</v>
      </c>
      <c r="J235" s="6" t="str">
        <f>VLOOKUP(Table1[[#This Row],[ماه توقف]],Table2[],3,0)</f>
        <v>پاییز</v>
      </c>
      <c r="K235" s="3">
        <f>_xlfn.NUMBERVALUE(RIGHT(LEFT(Table1[[#This Row],[تاریخ توقف]],7),2))</f>
        <v>8</v>
      </c>
      <c r="L235" s="3" t="str">
        <f>RIGHT(LEFT(Table1[[#This Row],[تاریخ توقف]],10),2)</f>
        <v>11</v>
      </c>
      <c r="M235" s="3">
        <f>HOUR(Table1[[#This Row],[زمان شروع توقف]])</f>
        <v>15</v>
      </c>
      <c r="N235" s="3">
        <f>MINUTE(Table1[[#This Row],[زمان شروع توقف]])</f>
        <v>49</v>
      </c>
      <c r="O235" s="3">
        <f>((Table1[[#This Row],[سال توقف]]*365+IF(Table1[[#This Row],[ماه توقف]]&lt;7,(Table1[[#This Row],[ماه توقف]]-1)*31,6*31+(Table1[[#This Row],[ماه توقف]]-6-1)*30)+(Table1[[#This Row],[روز توقف]])-1)*24+Table1[[#This Row],[ساعت توقف2]])*60+Table1[[#This Row],[دقیقه توقف]]</f>
        <v>738268789</v>
      </c>
      <c r="P235" s="57" t="s">
        <v>1151</v>
      </c>
      <c r="Q235" s="53">
        <v>0.73958333333333337</v>
      </c>
      <c r="R235" s="3" t="str">
        <f>LEFT(Table1[[#This Row],[تاریخ پایان توقف]],4)</f>
        <v>1404</v>
      </c>
      <c r="S235" s="3" t="str">
        <f>_xlfn.IFNA(VLOOKUP(Table1[[#This Row],[ماه رفع توقف]],Table2[],3,0),"در حال تعمیر")</f>
        <v>پاییز</v>
      </c>
      <c r="T235" s="3">
        <f>_xlfn.NUMBERVALUE(RIGHT(LEFT(Table1[[#This Row],[تاریخ پایان توقف]],7),2))</f>
        <v>8</v>
      </c>
      <c r="U235" s="3" t="str">
        <f>RIGHT(LEFT(Table1[[#This Row],[تاریخ پایان توقف]],10),2)</f>
        <v>11</v>
      </c>
      <c r="V235" s="3">
        <f>HOUR(Table1[[#This Row],[زمان پایان توقف]])</f>
        <v>17</v>
      </c>
      <c r="W235" s="3">
        <f>MINUTE(Table1[[#This Row],[زمان پایان توقف]])</f>
        <v>45</v>
      </c>
      <c r="X23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738268905</v>
      </c>
      <c r="Y235" s="44" t="s">
        <v>1191</v>
      </c>
      <c r="Z235" s="83">
        <f>IFERROR((IF(Table1[[#This Row],[تاریخ پایان توقف]]&lt;&gt;"",Table1[[#This Row],[زمان رفع توقف]]-Table1[[#This Row],[زمان توقف]],"")/60),"")</f>
        <v>1.9333333333333333</v>
      </c>
      <c r="AA235" s="3">
        <f>VLOOKUP(E235,Table4[],4,0)</f>
        <v>24</v>
      </c>
      <c r="AB235" s="3">
        <f>VLOOKUP(E235,Table4[],5,0)</f>
        <v>0.2</v>
      </c>
      <c r="AC235" s="3">
        <v>360</v>
      </c>
      <c r="AD235" s="3">
        <f>VLOOKUP(E235,Table4[],7,0)</f>
        <v>720</v>
      </c>
      <c r="AE235" s="83">
        <f>IF(Table1[[#This Row],[زمان آخرین رفع توقف قبل از توقف فعلی]]="","",(Table1[[#This Row],[زمان توقف]]-Table1[[#This Row],[زمان آخرین رفع توقف قبل از توقف فعلی]])/60)</f>
        <v>93.11666666666666</v>
      </c>
      <c r="AF23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738263202</v>
      </c>
    </row>
    <row r="236" spans="1:32">
      <c r="A236" s="36">
        <v>237</v>
      </c>
      <c r="B236" s="36" t="s">
        <v>97</v>
      </c>
      <c r="C236" s="36" t="s">
        <v>1041</v>
      </c>
      <c r="D236" s="36" t="s">
        <v>1122</v>
      </c>
      <c r="E236" s="85" t="s">
        <v>59</v>
      </c>
      <c r="F236" s="36" t="s">
        <v>12</v>
      </c>
      <c r="G236" s="57" t="s">
        <v>1151</v>
      </c>
      <c r="H236" s="53">
        <v>0.88888888888888884</v>
      </c>
      <c r="I236" s="6" t="str">
        <f>LEFT(Table1[[#This Row],[تاریخ توقف]],4)</f>
        <v>1404</v>
      </c>
      <c r="J236" s="6" t="str">
        <f>VLOOKUP(Table1[[#This Row],[ماه توقف]],Table2[],3,0)</f>
        <v>پاییز</v>
      </c>
      <c r="K236" s="3">
        <f>_xlfn.NUMBERVALUE(RIGHT(LEFT(Table1[[#This Row],[تاریخ توقف]],7),2))</f>
        <v>8</v>
      </c>
      <c r="L236" s="3" t="str">
        <f>RIGHT(LEFT(Table1[[#This Row],[تاریخ توقف]],10),2)</f>
        <v>11</v>
      </c>
      <c r="M236" s="3">
        <f>HOUR(Table1[[#This Row],[زمان شروع توقف]])</f>
        <v>21</v>
      </c>
      <c r="N236" s="3">
        <f>MINUTE(Table1[[#This Row],[زمان شروع توقف]])</f>
        <v>20</v>
      </c>
      <c r="O236" s="3">
        <f>((Table1[[#This Row],[سال توقف]]*365+IF(Table1[[#This Row],[ماه توقف]]&lt;7,(Table1[[#This Row],[ماه توقف]]-1)*31,6*31+(Table1[[#This Row],[ماه توقف]]-6-1)*30)+(Table1[[#This Row],[روز توقف]])-1)*24+Table1[[#This Row],[ساعت توقف2]])*60+Table1[[#This Row],[دقیقه توقف]]</f>
        <v>738269120</v>
      </c>
      <c r="P236" s="57" t="s">
        <v>1151</v>
      </c>
      <c r="Q236" s="53">
        <v>0.89930555555555558</v>
      </c>
      <c r="R236" s="3" t="str">
        <f>LEFT(Table1[[#This Row],[تاریخ پایان توقف]],4)</f>
        <v>1404</v>
      </c>
      <c r="S236" s="3" t="str">
        <f>_xlfn.IFNA(VLOOKUP(Table1[[#This Row],[ماه رفع توقف]],Table2[],3,0),"در حال تعمیر")</f>
        <v>پاییز</v>
      </c>
      <c r="T236" s="3">
        <f>_xlfn.NUMBERVALUE(RIGHT(LEFT(Table1[[#This Row],[تاریخ پایان توقف]],7),2))</f>
        <v>8</v>
      </c>
      <c r="U236" s="3" t="str">
        <f>RIGHT(LEFT(Table1[[#This Row],[تاریخ پایان توقف]],10),2)</f>
        <v>11</v>
      </c>
      <c r="V236" s="3">
        <f>HOUR(Table1[[#This Row],[زمان پایان توقف]])</f>
        <v>21</v>
      </c>
      <c r="W236" s="3">
        <f>MINUTE(Table1[[#This Row],[زمان پایان توقف]])</f>
        <v>35</v>
      </c>
      <c r="X23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738269135</v>
      </c>
      <c r="Y236" s="44" t="s">
        <v>1192</v>
      </c>
      <c r="Z236" s="83">
        <f>IFERROR((IF(Table1[[#This Row],[تاریخ پایان توقف]]&lt;&gt;"",Table1[[#This Row],[زمان رفع توقف]]-Table1[[#This Row],[زمان توقف]],"")/60),"")</f>
        <v>0.25</v>
      </c>
      <c r="AA236" s="3">
        <f>VLOOKUP(E236,Table4[],4,0)</f>
        <v>24</v>
      </c>
      <c r="AB236" s="3">
        <f>VLOOKUP(E236,Table4[],5,0)</f>
        <v>0.2</v>
      </c>
      <c r="AC236" s="3">
        <v>360</v>
      </c>
      <c r="AD236" s="3">
        <f>VLOOKUP(E236,Table4[],7,0)</f>
        <v>720</v>
      </c>
      <c r="AE236" s="83">
        <f>IF(Table1[[#This Row],[زمان آخرین رفع توقف قبل از توقف فعلی]]="","",(Table1[[#This Row],[زمان توقف]]-Table1[[#This Row],[زمان آخرین رفع توقف قبل از توقف فعلی]])/60)</f>
        <v>123.16666666666667</v>
      </c>
      <c r="AF23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738261730</v>
      </c>
    </row>
    <row r="237" spans="1:32">
      <c r="A237" s="36">
        <v>238</v>
      </c>
      <c r="B237" s="36" t="s">
        <v>97</v>
      </c>
      <c r="C237" s="36" t="s">
        <v>645</v>
      </c>
      <c r="D237" s="36" t="s">
        <v>1124</v>
      </c>
      <c r="E237" s="85" t="s">
        <v>293</v>
      </c>
      <c r="F237" s="36" t="s">
        <v>12</v>
      </c>
      <c r="G237" s="57" t="s">
        <v>1152</v>
      </c>
      <c r="H237" s="53">
        <v>0.70833333333333337</v>
      </c>
      <c r="I237" s="6" t="str">
        <f>LEFT(Table1[[#This Row],[تاریخ توقف]],4)</f>
        <v>1404</v>
      </c>
      <c r="J237" s="6" t="str">
        <f>VLOOKUP(Table1[[#This Row],[ماه توقف]],Table2[],3,0)</f>
        <v>پاییز</v>
      </c>
      <c r="K237" s="3">
        <f>_xlfn.NUMBERVALUE(RIGHT(LEFT(Table1[[#This Row],[تاریخ توقف]],7),2))</f>
        <v>8</v>
      </c>
      <c r="L237" s="3" t="str">
        <f>RIGHT(LEFT(Table1[[#This Row],[تاریخ توقف]],10),2)</f>
        <v>12</v>
      </c>
      <c r="M237" s="3">
        <f>HOUR(Table1[[#This Row],[زمان شروع توقف]])</f>
        <v>17</v>
      </c>
      <c r="N237" s="3">
        <f>MINUTE(Table1[[#This Row],[زمان شروع توقف]])</f>
        <v>0</v>
      </c>
      <c r="O237" s="3">
        <f>((Table1[[#This Row],[سال توقف]]*365+IF(Table1[[#This Row],[ماه توقف]]&lt;7,(Table1[[#This Row],[ماه توقف]]-1)*31,6*31+(Table1[[#This Row],[ماه توقف]]-6-1)*30)+(Table1[[#This Row],[روز توقف]])-1)*24+Table1[[#This Row],[ساعت توقف2]])*60+Table1[[#This Row],[دقیقه توقف]]</f>
        <v>738270300</v>
      </c>
      <c r="P237" s="57" t="s">
        <v>1153</v>
      </c>
      <c r="Q237" s="53">
        <v>0.36805555555555558</v>
      </c>
      <c r="R237" s="3" t="str">
        <f>LEFT(Table1[[#This Row],[تاریخ پایان توقف]],4)</f>
        <v>1404</v>
      </c>
      <c r="S237" s="3" t="str">
        <f>_xlfn.IFNA(VLOOKUP(Table1[[#This Row],[ماه رفع توقف]],Table2[],3,0),"در حال تعمیر")</f>
        <v>پاییز</v>
      </c>
      <c r="T237" s="3">
        <f>_xlfn.NUMBERVALUE(RIGHT(LEFT(Table1[[#This Row],[تاریخ پایان توقف]],7),2))</f>
        <v>8</v>
      </c>
      <c r="U237" s="3" t="str">
        <f>RIGHT(LEFT(Table1[[#This Row],[تاریخ پایان توقف]],10),2)</f>
        <v>13</v>
      </c>
      <c r="V237" s="3">
        <f>HOUR(Table1[[#This Row],[زمان پایان توقف]])</f>
        <v>8</v>
      </c>
      <c r="W237" s="3">
        <f>MINUTE(Table1[[#This Row],[زمان پایان توقف]])</f>
        <v>50</v>
      </c>
      <c r="X23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738271250</v>
      </c>
      <c r="Y237" s="44" t="s">
        <v>1193</v>
      </c>
      <c r="Z237" s="83">
        <f>IFERROR((IF(Table1[[#This Row],[تاریخ پایان توقف]]&lt;&gt;"",Table1[[#This Row],[زمان رفع توقف]]-Table1[[#This Row],[زمان توقف]],"")/60),"")</f>
        <v>15.833333333333334</v>
      </c>
      <c r="AA237" s="3">
        <f>VLOOKUP(E237,Table4[],4,0)</f>
        <v>24</v>
      </c>
      <c r="AB237" s="3">
        <f>VLOOKUP(E237,Table4[],5,0)</f>
        <v>0.2</v>
      </c>
      <c r="AC237" s="3">
        <v>360</v>
      </c>
      <c r="AD237" s="3">
        <f>VLOOKUP(E237,Table4[],7,0)</f>
        <v>720</v>
      </c>
      <c r="AE237" s="83" t="str">
        <f>IF(Table1[[#This Row],[زمان آخرین رفع توقف قبل از توقف فعلی]]="","",(Table1[[#This Row],[زمان توقف]]-Table1[[#This Row],[زمان آخرین رفع توقف قبل از توقف فعلی]])/60)</f>
        <v/>
      </c>
      <c r="AF23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38" spans="1:32">
      <c r="A238" s="36">
        <v>239</v>
      </c>
      <c r="B238" s="36" t="s">
        <v>98</v>
      </c>
      <c r="C238" s="36" t="s">
        <v>1115</v>
      </c>
      <c r="D238" s="36" t="s">
        <v>115</v>
      </c>
      <c r="E238" s="85" t="s">
        <v>117</v>
      </c>
      <c r="F238" s="36" t="s">
        <v>12</v>
      </c>
      <c r="G238" s="57" t="s">
        <v>1152</v>
      </c>
      <c r="H238" s="53">
        <v>0.79166666666666663</v>
      </c>
      <c r="I238" s="6" t="str">
        <f>LEFT(Table1[[#This Row],[تاریخ توقف]],4)</f>
        <v>1404</v>
      </c>
      <c r="J238" s="6" t="str">
        <f>VLOOKUP(Table1[[#This Row],[ماه توقف]],Table2[],3,0)</f>
        <v>پاییز</v>
      </c>
      <c r="K238" s="3">
        <f>_xlfn.NUMBERVALUE(RIGHT(LEFT(Table1[[#This Row],[تاریخ توقف]],7),2))</f>
        <v>8</v>
      </c>
      <c r="L238" s="3" t="str">
        <f>RIGHT(LEFT(Table1[[#This Row],[تاریخ توقف]],10),2)</f>
        <v>12</v>
      </c>
      <c r="M238" s="3">
        <f>HOUR(Table1[[#This Row],[زمان شروع توقف]])</f>
        <v>19</v>
      </c>
      <c r="N238" s="3">
        <f>MINUTE(Table1[[#This Row],[زمان شروع توقف]])</f>
        <v>0</v>
      </c>
      <c r="O238" s="3">
        <f>((Table1[[#This Row],[سال توقف]]*365+IF(Table1[[#This Row],[ماه توقف]]&lt;7,(Table1[[#This Row],[ماه توقف]]-1)*31,6*31+(Table1[[#This Row],[ماه توقف]]-6-1)*30)+(Table1[[#This Row],[روز توقف]])-1)*24+Table1[[#This Row],[ساعت توقف2]])*60+Table1[[#This Row],[دقیقه توقف]]</f>
        <v>738270420</v>
      </c>
      <c r="P238" s="57" t="s">
        <v>1152</v>
      </c>
      <c r="Q238" s="53">
        <v>0.80555555555555558</v>
      </c>
      <c r="R238" s="3" t="str">
        <f>LEFT(Table1[[#This Row],[تاریخ پایان توقف]],4)</f>
        <v>1404</v>
      </c>
      <c r="S238" s="3" t="str">
        <f>_xlfn.IFNA(VLOOKUP(Table1[[#This Row],[ماه رفع توقف]],Table2[],3,0),"در حال تعمیر")</f>
        <v>پاییز</v>
      </c>
      <c r="T238" s="3">
        <f>_xlfn.NUMBERVALUE(RIGHT(LEFT(Table1[[#This Row],[تاریخ پایان توقف]],7),2))</f>
        <v>8</v>
      </c>
      <c r="U238" s="3" t="str">
        <f>RIGHT(LEFT(Table1[[#This Row],[تاریخ پایان توقف]],10),2)</f>
        <v>12</v>
      </c>
      <c r="V238" s="3">
        <f>HOUR(Table1[[#This Row],[زمان پایان توقف]])</f>
        <v>19</v>
      </c>
      <c r="W238" s="3">
        <f>MINUTE(Table1[[#This Row],[زمان پایان توقف]])</f>
        <v>20</v>
      </c>
      <c r="X23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738270440</v>
      </c>
      <c r="Y238" s="44"/>
      <c r="Z238" s="83">
        <f>IFERROR((IF(Table1[[#This Row],[تاریخ پایان توقف]]&lt;&gt;"",Table1[[#This Row],[زمان رفع توقف]]-Table1[[#This Row],[زمان توقف]],"")/60),"")</f>
        <v>0.33333333333333331</v>
      </c>
      <c r="AA238" s="3">
        <f>VLOOKUP(E238,Table4[],4,0)</f>
        <v>24</v>
      </c>
      <c r="AB238" s="3">
        <f>VLOOKUP(E238,Table4[],5,0)</f>
        <v>0.2</v>
      </c>
      <c r="AC238" s="3">
        <v>360</v>
      </c>
      <c r="AD238" s="3">
        <f>VLOOKUP(E238,Table4[],7,0)</f>
        <v>720</v>
      </c>
      <c r="AE238" s="83">
        <f>IF(Table1[[#This Row],[زمان آخرین رفع توقف قبل از توقف فعلی]]="","",(Table1[[#This Row],[زمان توقف]]-Table1[[#This Row],[زمان آخرین رفع توقف قبل از توقف فعلی]])/60)</f>
        <v>25.25</v>
      </c>
      <c r="AF23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738268905</v>
      </c>
    </row>
    <row r="239" spans="1:32">
      <c r="A239" s="36">
        <v>240</v>
      </c>
      <c r="B239" s="36" t="s">
        <v>98</v>
      </c>
      <c r="C239" s="36" t="s">
        <v>1120</v>
      </c>
      <c r="D239" s="36" t="s">
        <v>45</v>
      </c>
      <c r="E239" s="85" t="s">
        <v>74</v>
      </c>
      <c r="F239" s="36" t="s">
        <v>12</v>
      </c>
      <c r="G239" s="57" t="s">
        <v>1152</v>
      </c>
      <c r="H239" s="53">
        <v>0.875</v>
      </c>
      <c r="I239" s="6" t="str">
        <f>LEFT(Table1[[#This Row],[تاریخ توقف]],4)</f>
        <v>1404</v>
      </c>
      <c r="J239" s="6" t="str">
        <f>VLOOKUP(Table1[[#This Row],[ماه توقف]],Table2[],3,0)</f>
        <v>پاییز</v>
      </c>
      <c r="K239" s="3">
        <f>_xlfn.NUMBERVALUE(RIGHT(LEFT(Table1[[#This Row],[تاریخ توقف]],7),2))</f>
        <v>8</v>
      </c>
      <c r="L239" s="3" t="str">
        <f>RIGHT(LEFT(Table1[[#This Row],[تاریخ توقف]],10),2)</f>
        <v>12</v>
      </c>
      <c r="M239" s="3">
        <f>HOUR(Table1[[#This Row],[زمان شروع توقف]])</f>
        <v>21</v>
      </c>
      <c r="N239" s="3">
        <f>MINUTE(Table1[[#This Row],[زمان شروع توقف]])</f>
        <v>0</v>
      </c>
      <c r="O239" s="3">
        <f>((Table1[[#This Row],[سال توقف]]*365+IF(Table1[[#This Row],[ماه توقف]]&lt;7,(Table1[[#This Row],[ماه توقف]]-1)*31,6*31+(Table1[[#This Row],[ماه توقف]]-6-1)*30)+(Table1[[#This Row],[روز توقف]])-1)*24+Table1[[#This Row],[ساعت توقف2]])*60+Table1[[#This Row],[دقیقه توقف]]</f>
        <v>738270540</v>
      </c>
      <c r="P239" s="57" t="s">
        <v>1152</v>
      </c>
      <c r="Q239" s="53">
        <v>0.96180555555555558</v>
      </c>
      <c r="R239" s="3" t="str">
        <f>LEFT(Table1[[#This Row],[تاریخ پایان توقف]],4)</f>
        <v>1404</v>
      </c>
      <c r="S239" s="3" t="str">
        <f>_xlfn.IFNA(VLOOKUP(Table1[[#This Row],[ماه رفع توقف]],Table2[],3,0),"در حال تعمیر")</f>
        <v>پاییز</v>
      </c>
      <c r="T239" s="3">
        <f>_xlfn.NUMBERVALUE(RIGHT(LEFT(Table1[[#This Row],[تاریخ پایان توقف]],7),2))</f>
        <v>8</v>
      </c>
      <c r="U239" s="3" t="str">
        <f>RIGHT(LEFT(Table1[[#This Row],[تاریخ پایان توقف]],10),2)</f>
        <v>12</v>
      </c>
      <c r="V239" s="3">
        <f>HOUR(Table1[[#This Row],[زمان پایان توقف]])</f>
        <v>23</v>
      </c>
      <c r="W239" s="3">
        <f>MINUTE(Table1[[#This Row],[زمان پایان توقف]])</f>
        <v>5</v>
      </c>
      <c r="X23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738270665</v>
      </c>
      <c r="Y239" s="44" t="s">
        <v>1194</v>
      </c>
      <c r="Z239" s="83">
        <f>IFERROR((IF(Table1[[#This Row],[تاریخ پایان توقف]]&lt;&gt;"",Table1[[#This Row],[زمان رفع توقف]]-Table1[[#This Row],[زمان توقف]],"")/60),"")</f>
        <v>2.0833333333333335</v>
      </c>
      <c r="AA239" s="3">
        <f>VLOOKUP(E239,Table4[],4,0)</f>
        <v>24</v>
      </c>
      <c r="AB239" s="3">
        <f>VLOOKUP(E239,Table4[],5,0)</f>
        <v>0.2</v>
      </c>
      <c r="AC239" s="3">
        <v>360</v>
      </c>
      <c r="AD239" s="3">
        <f>VLOOKUP(E239,Table4[],7,0)</f>
        <v>720</v>
      </c>
      <c r="AE239" s="83">
        <f>IF(Table1[[#This Row],[زمان آخرین رفع توقف قبل از توقف فعلی]]="","",(Table1[[#This Row],[زمان توقف]]-Table1[[#This Row],[زمان آخرین رفع توقف قبل از توقف فعلی]])/60)</f>
        <v>33.833333333333336</v>
      </c>
      <c r="AF23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738268510</v>
      </c>
    </row>
    <row r="240" spans="1:32">
      <c r="A240" s="36">
        <v>241</v>
      </c>
      <c r="B240" s="36" t="s">
        <v>98</v>
      </c>
      <c r="C240" s="36" t="s">
        <v>1120</v>
      </c>
      <c r="D240" s="36" t="s">
        <v>45</v>
      </c>
      <c r="E240" s="85" t="s">
        <v>74</v>
      </c>
      <c r="F240" s="36" t="s">
        <v>12</v>
      </c>
      <c r="G240" s="57" t="s">
        <v>1153</v>
      </c>
      <c r="H240" s="53">
        <v>4.1666666666666664E-2</v>
      </c>
      <c r="I240" s="6" t="str">
        <f>LEFT(Table1[[#This Row],[تاریخ توقف]],4)</f>
        <v>1404</v>
      </c>
      <c r="J240" s="6" t="str">
        <f>VLOOKUP(Table1[[#This Row],[ماه توقف]],Table2[],3,0)</f>
        <v>پاییز</v>
      </c>
      <c r="K240" s="3">
        <f>_xlfn.NUMBERVALUE(RIGHT(LEFT(Table1[[#This Row],[تاریخ توقف]],7),2))</f>
        <v>8</v>
      </c>
      <c r="L240" s="3" t="str">
        <f>RIGHT(LEFT(Table1[[#This Row],[تاریخ توقف]],10),2)</f>
        <v>13</v>
      </c>
      <c r="M240" s="3">
        <f>HOUR(Table1[[#This Row],[زمان شروع توقف]])</f>
        <v>1</v>
      </c>
      <c r="N240" s="3">
        <f>MINUTE(Table1[[#This Row],[زمان شروع توقف]])</f>
        <v>0</v>
      </c>
      <c r="O240" s="3">
        <f>((Table1[[#This Row],[سال توقف]]*365+IF(Table1[[#This Row],[ماه توقف]]&lt;7,(Table1[[#This Row],[ماه توقف]]-1)*31,6*31+(Table1[[#This Row],[ماه توقف]]-6-1)*30)+(Table1[[#This Row],[روز توقف]])-1)*24+Table1[[#This Row],[ساعت توقف2]])*60+Table1[[#This Row],[دقیقه توقف]]</f>
        <v>738270780</v>
      </c>
      <c r="P240" s="57" t="s">
        <v>1153</v>
      </c>
      <c r="Q240" s="53">
        <v>0.1111111111111111</v>
      </c>
      <c r="R240" s="3" t="str">
        <f>LEFT(Table1[[#This Row],[تاریخ پایان توقف]],4)</f>
        <v>1404</v>
      </c>
      <c r="S240" s="3" t="str">
        <f>_xlfn.IFNA(VLOOKUP(Table1[[#This Row],[ماه رفع توقف]],Table2[],3,0),"در حال تعمیر")</f>
        <v>پاییز</v>
      </c>
      <c r="T240" s="3">
        <f>_xlfn.NUMBERVALUE(RIGHT(LEFT(Table1[[#This Row],[تاریخ پایان توقف]],7),2))</f>
        <v>8</v>
      </c>
      <c r="U240" s="3" t="str">
        <f>RIGHT(LEFT(Table1[[#This Row],[تاریخ پایان توقف]],10),2)</f>
        <v>13</v>
      </c>
      <c r="V240" s="3">
        <f>HOUR(Table1[[#This Row],[زمان پایان توقف]])</f>
        <v>2</v>
      </c>
      <c r="W240" s="3">
        <f>MINUTE(Table1[[#This Row],[زمان پایان توقف]])</f>
        <v>40</v>
      </c>
      <c r="X24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738270880</v>
      </c>
      <c r="Y240" s="44" t="s">
        <v>1195</v>
      </c>
      <c r="Z240" s="83">
        <f>IFERROR((IF(Table1[[#This Row],[تاریخ پایان توقف]]&lt;&gt;"",Table1[[#This Row],[زمان رفع توقف]]-Table1[[#This Row],[زمان توقف]],"")/60),"")</f>
        <v>1.6666666666666667</v>
      </c>
      <c r="AA240" s="3">
        <f>VLOOKUP(E240,Table4[],4,0)</f>
        <v>24</v>
      </c>
      <c r="AB240" s="3">
        <f>VLOOKUP(E240,Table4[],5,0)</f>
        <v>0.2</v>
      </c>
      <c r="AC240" s="3">
        <v>360</v>
      </c>
      <c r="AD240" s="3">
        <f>VLOOKUP(E240,Table4[],7,0)</f>
        <v>720</v>
      </c>
      <c r="AE240" s="83">
        <f>IF(Table1[[#This Row],[زمان آخرین رفع توقف قبل از توقف فعلی]]="","",(Table1[[#This Row],[زمان توقف]]-Table1[[#This Row],[زمان آخرین رفع توقف قبل از توقف فعلی]])/60)</f>
        <v>1.9166666666666667</v>
      </c>
      <c r="AF24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738270665</v>
      </c>
    </row>
    <row r="241" spans="1:32">
      <c r="A241" s="36">
        <v>242</v>
      </c>
      <c r="B241" s="36" t="s">
        <v>98</v>
      </c>
      <c r="C241" s="36" t="s">
        <v>1120</v>
      </c>
      <c r="D241" s="36" t="s">
        <v>45</v>
      </c>
      <c r="E241" s="85" t="s">
        <v>74</v>
      </c>
      <c r="F241" s="36" t="s">
        <v>12</v>
      </c>
      <c r="G241" s="57" t="s">
        <v>1153</v>
      </c>
      <c r="H241" s="53">
        <v>0.33333333333333331</v>
      </c>
      <c r="I241" s="6" t="str">
        <f>LEFT(Table1[[#This Row],[تاریخ توقف]],4)</f>
        <v>1404</v>
      </c>
      <c r="J241" s="6" t="str">
        <f>VLOOKUP(Table1[[#This Row],[ماه توقف]],Table2[],3,0)</f>
        <v>پاییز</v>
      </c>
      <c r="K241" s="3">
        <f>_xlfn.NUMBERVALUE(RIGHT(LEFT(Table1[[#This Row],[تاریخ توقف]],7),2))</f>
        <v>8</v>
      </c>
      <c r="L241" s="3" t="str">
        <f>RIGHT(LEFT(Table1[[#This Row],[تاریخ توقف]],10),2)</f>
        <v>13</v>
      </c>
      <c r="M241" s="3">
        <f>HOUR(Table1[[#This Row],[زمان شروع توقف]])</f>
        <v>8</v>
      </c>
      <c r="N241" s="3">
        <f>MINUTE(Table1[[#This Row],[زمان شروع توقف]])</f>
        <v>0</v>
      </c>
      <c r="O241" s="3">
        <f>((Table1[[#This Row],[سال توقف]]*365+IF(Table1[[#This Row],[ماه توقف]]&lt;7,(Table1[[#This Row],[ماه توقف]]-1)*31,6*31+(Table1[[#This Row],[ماه توقف]]-6-1)*30)+(Table1[[#This Row],[روز توقف]])-1)*24+Table1[[#This Row],[ساعت توقف2]])*60+Table1[[#This Row],[دقیقه توقف]]</f>
        <v>738271200</v>
      </c>
      <c r="P241" s="57" t="s">
        <v>1153</v>
      </c>
      <c r="Q241" s="53">
        <v>0.39583333333333331</v>
      </c>
      <c r="R241" s="3" t="str">
        <f>LEFT(Table1[[#This Row],[تاریخ پایان توقف]],4)</f>
        <v>1404</v>
      </c>
      <c r="S241" s="3" t="str">
        <f>_xlfn.IFNA(VLOOKUP(Table1[[#This Row],[ماه رفع توقف]],Table2[],3,0),"در حال تعمیر")</f>
        <v>پاییز</v>
      </c>
      <c r="T241" s="3">
        <f>_xlfn.NUMBERVALUE(RIGHT(LEFT(Table1[[#This Row],[تاریخ پایان توقف]],7),2))</f>
        <v>8</v>
      </c>
      <c r="U241" s="3" t="str">
        <f>RIGHT(LEFT(Table1[[#This Row],[تاریخ پایان توقف]],10),2)</f>
        <v>13</v>
      </c>
      <c r="V241" s="3">
        <f>HOUR(Table1[[#This Row],[زمان پایان توقف]])</f>
        <v>9</v>
      </c>
      <c r="W241" s="3">
        <f>MINUTE(Table1[[#This Row],[زمان پایان توقف]])</f>
        <v>30</v>
      </c>
      <c r="X24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738271290</v>
      </c>
      <c r="Y241" s="44" t="s">
        <v>1196</v>
      </c>
      <c r="Z241" s="83">
        <f>IFERROR((IF(Table1[[#This Row],[تاریخ پایان توقف]]&lt;&gt;"",Table1[[#This Row],[زمان رفع توقف]]-Table1[[#This Row],[زمان توقف]],"")/60),"")</f>
        <v>1.5</v>
      </c>
      <c r="AA241" s="3">
        <f>VLOOKUP(E241,Table4[],4,0)</f>
        <v>24</v>
      </c>
      <c r="AB241" s="3">
        <f>VLOOKUP(E241,Table4[],5,0)</f>
        <v>0.2</v>
      </c>
      <c r="AC241" s="3">
        <v>360</v>
      </c>
      <c r="AD241" s="3">
        <f>VLOOKUP(E241,Table4[],7,0)</f>
        <v>720</v>
      </c>
      <c r="AE241" s="83">
        <f>IF(Table1[[#This Row],[زمان آخرین رفع توقف قبل از توقف فعلی]]="","",(Table1[[#This Row],[زمان توقف]]-Table1[[#This Row],[زمان آخرین رفع توقف قبل از توقف فعلی]])/60)</f>
        <v>5.333333333333333</v>
      </c>
      <c r="AF24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738270880</v>
      </c>
    </row>
    <row r="242" spans="1:32">
      <c r="A242" s="36">
        <v>243</v>
      </c>
      <c r="B242" s="36" t="s">
        <v>98</v>
      </c>
      <c r="C242" s="36" t="s">
        <v>1123</v>
      </c>
      <c r="D242" s="36" t="s">
        <v>120</v>
      </c>
      <c r="E242" s="85" t="s">
        <v>122</v>
      </c>
      <c r="F242" s="36" t="s">
        <v>12</v>
      </c>
      <c r="G242" s="57" t="s">
        <v>1153</v>
      </c>
      <c r="H242" s="53">
        <v>0.34722222222222221</v>
      </c>
      <c r="I242" s="6" t="str">
        <f>LEFT(Table1[[#This Row],[تاریخ توقف]],4)</f>
        <v>1404</v>
      </c>
      <c r="J242" s="6" t="str">
        <f>VLOOKUP(Table1[[#This Row],[ماه توقف]],Table2[],3,0)</f>
        <v>پاییز</v>
      </c>
      <c r="K242" s="3">
        <f>_xlfn.NUMBERVALUE(RIGHT(LEFT(Table1[[#This Row],[تاریخ توقف]],7),2))</f>
        <v>8</v>
      </c>
      <c r="L242" s="3" t="str">
        <f>RIGHT(LEFT(Table1[[#This Row],[تاریخ توقف]],10),2)</f>
        <v>13</v>
      </c>
      <c r="M242" s="3">
        <f>HOUR(Table1[[#This Row],[زمان شروع توقف]])</f>
        <v>8</v>
      </c>
      <c r="N242" s="3">
        <f>MINUTE(Table1[[#This Row],[زمان شروع توقف]])</f>
        <v>20</v>
      </c>
      <c r="O242" s="3">
        <f>((Table1[[#This Row],[سال توقف]]*365+IF(Table1[[#This Row],[ماه توقف]]&lt;7,(Table1[[#This Row],[ماه توقف]]-1)*31,6*31+(Table1[[#This Row],[ماه توقف]]-6-1)*30)+(Table1[[#This Row],[روز توقف]])-1)*24+Table1[[#This Row],[ساعت توقف2]])*60+Table1[[#This Row],[دقیقه توقف]]</f>
        <v>738271220</v>
      </c>
      <c r="P242" s="57" t="s">
        <v>1153</v>
      </c>
      <c r="Q242" s="53">
        <v>0.37152777777777779</v>
      </c>
      <c r="R242" s="3" t="str">
        <f>LEFT(Table1[[#This Row],[تاریخ پایان توقف]],4)</f>
        <v>1404</v>
      </c>
      <c r="S242" s="3" t="str">
        <f>_xlfn.IFNA(VLOOKUP(Table1[[#This Row],[ماه رفع توقف]],Table2[],3,0),"در حال تعمیر")</f>
        <v>پاییز</v>
      </c>
      <c r="T242" s="3">
        <f>_xlfn.NUMBERVALUE(RIGHT(LEFT(Table1[[#This Row],[تاریخ پایان توقف]],7),2))</f>
        <v>8</v>
      </c>
      <c r="U242" s="3" t="str">
        <f>RIGHT(LEFT(Table1[[#This Row],[تاریخ پایان توقف]],10),2)</f>
        <v>13</v>
      </c>
      <c r="V242" s="3">
        <f>HOUR(Table1[[#This Row],[زمان پایان توقف]])</f>
        <v>8</v>
      </c>
      <c r="W242" s="3">
        <f>MINUTE(Table1[[#This Row],[زمان پایان توقف]])</f>
        <v>55</v>
      </c>
      <c r="X24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738271255</v>
      </c>
      <c r="Y242" s="44" t="s">
        <v>1197</v>
      </c>
      <c r="Z242" s="83">
        <f>IFERROR((IF(Table1[[#This Row],[تاریخ پایان توقف]]&lt;&gt;"",Table1[[#This Row],[زمان رفع توقف]]-Table1[[#This Row],[زمان توقف]],"")/60),"")</f>
        <v>0.58333333333333337</v>
      </c>
      <c r="AA242" s="3">
        <f>VLOOKUP(E242,Table4[],4,0)</f>
        <v>24</v>
      </c>
      <c r="AB242" s="3">
        <f>VLOOKUP(E242,Table4[],5,0)</f>
        <v>0.2</v>
      </c>
      <c r="AC242" s="3">
        <v>360</v>
      </c>
      <c r="AD242" s="3">
        <f>VLOOKUP(E242,Table4[],7,0)</f>
        <v>720</v>
      </c>
      <c r="AE242" s="83">
        <f>IF(Table1[[#This Row],[زمان آخرین رفع توقف قبل از توقف فعلی]]="","",(Table1[[#This Row],[زمان توقف]]-Table1[[#This Row],[زمان آخرین رفع توقف قبل از توقف فعلی]])/60)</f>
        <v>42.166666666666664</v>
      </c>
      <c r="AF24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738268690</v>
      </c>
    </row>
    <row r="243" spans="1:32">
      <c r="A243" s="36">
        <v>244</v>
      </c>
      <c r="B243" s="36" t="s">
        <v>98</v>
      </c>
      <c r="C243" s="36" t="s">
        <v>1113</v>
      </c>
      <c r="D243" s="36" t="s">
        <v>106</v>
      </c>
      <c r="E243" s="85" t="s">
        <v>107</v>
      </c>
      <c r="F243" s="36" t="s">
        <v>12</v>
      </c>
      <c r="G243" s="57" t="s">
        <v>1154</v>
      </c>
      <c r="H243" s="53">
        <v>0.33333333333333331</v>
      </c>
      <c r="I243" s="6" t="str">
        <f>LEFT(Table1[[#This Row],[تاریخ توقف]],4)</f>
        <v>1404</v>
      </c>
      <c r="J243" s="6" t="str">
        <f>VLOOKUP(Table1[[#This Row],[ماه توقف]],Table2[],3,0)</f>
        <v>پاییز</v>
      </c>
      <c r="K243" s="3">
        <f>_xlfn.NUMBERVALUE(RIGHT(LEFT(Table1[[#This Row],[تاریخ توقف]],7),2))</f>
        <v>8</v>
      </c>
      <c r="L243" s="3" t="str">
        <f>RIGHT(LEFT(Table1[[#This Row],[تاریخ توقف]],10),2)</f>
        <v>14</v>
      </c>
      <c r="M243" s="3">
        <f>HOUR(Table1[[#This Row],[زمان شروع توقف]])</f>
        <v>8</v>
      </c>
      <c r="N243" s="3">
        <f>MINUTE(Table1[[#This Row],[زمان شروع توقف]])</f>
        <v>0</v>
      </c>
      <c r="O243" s="3">
        <f>((Table1[[#This Row],[سال توقف]]*365+IF(Table1[[#This Row],[ماه توقف]]&lt;7,(Table1[[#This Row],[ماه توقف]]-1)*31,6*31+(Table1[[#This Row],[ماه توقف]]-6-1)*30)+(Table1[[#This Row],[روز توقف]])-1)*24+Table1[[#This Row],[ساعت توقف2]])*60+Table1[[#This Row],[دقیقه توقف]]</f>
        <v>738272640</v>
      </c>
      <c r="P243" s="57" t="s">
        <v>1154</v>
      </c>
      <c r="Q243" s="53">
        <v>0.38333333333333336</v>
      </c>
      <c r="R243" s="3" t="str">
        <f>LEFT(Table1[[#This Row],[تاریخ پایان توقف]],4)</f>
        <v>1404</v>
      </c>
      <c r="S243" s="3" t="str">
        <f>_xlfn.IFNA(VLOOKUP(Table1[[#This Row],[ماه رفع توقف]],Table2[],3,0),"در حال تعمیر")</f>
        <v>پاییز</v>
      </c>
      <c r="T243" s="3">
        <f>_xlfn.NUMBERVALUE(RIGHT(LEFT(Table1[[#This Row],[تاریخ پایان توقف]],7),2))</f>
        <v>8</v>
      </c>
      <c r="U243" s="3" t="str">
        <f>RIGHT(LEFT(Table1[[#This Row],[تاریخ پایان توقف]],10),2)</f>
        <v>14</v>
      </c>
      <c r="V243" s="3">
        <f>HOUR(Table1[[#This Row],[زمان پایان توقف]])</f>
        <v>9</v>
      </c>
      <c r="W243" s="3">
        <f>MINUTE(Table1[[#This Row],[زمان پایان توقف]])</f>
        <v>12</v>
      </c>
      <c r="X24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738272712</v>
      </c>
      <c r="Y243" s="44" t="s">
        <v>1198</v>
      </c>
      <c r="Z243" s="83">
        <f>IFERROR((IF(Table1[[#This Row],[تاریخ پایان توقف]]&lt;&gt;"",Table1[[#This Row],[زمان رفع توقف]]-Table1[[#This Row],[زمان توقف]],"")/60),"")</f>
        <v>1.2</v>
      </c>
      <c r="AA243" s="3">
        <f>VLOOKUP(E243,Table4[],4,0)</f>
        <v>24</v>
      </c>
      <c r="AB243" s="3">
        <f>VLOOKUP(E243,Table4[],5,0)</f>
        <v>0.2</v>
      </c>
      <c r="AC243" s="3">
        <v>360</v>
      </c>
      <c r="AD243" s="3">
        <f>VLOOKUP(E243,Table4[],7,0)</f>
        <v>720</v>
      </c>
      <c r="AE243" s="83">
        <f>IF(Table1[[#This Row],[زمان آخرین رفع توقف قبل از توقف فعلی]]="","",(Table1[[#This Row],[زمان توقف]]-Table1[[#This Row],[زمان آخرین رفع توقف قبل از توقف فعلی]])/60)</f>
        <v>68.733333333333334</v>
      </c>
      <c r="AF24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738268516</v>
      </c>
    </row>
    <row r="244" spans="1:32" ht="75">
      <c r="A244" s="36">
        <v>245</v>
      </c>
      <c r="B244" s="36" t="s">
        <v>98</v>
      </c>
      <c r="C244" s="36" t="s">
        <v>1050</v>
      </c>
      <c r="D244" s="36" t="s">
        <v>1095</v>
      </c>
      <c r="E244" s="85" t="s">
        <v>1133</v>
      </c>
      <c r="F244" s="36" t="s">
        <v>12</v>
      </c>
      <c r="G244" s="57" t="s">
        <v>1155</v>
      </c>
      <c r="H244" s="53">
        <v>0.44513888888888886</v>
      </c>
      <c r="I244" s="6" t="str">
        <f>LEFT(Table1[[#This Row],[تاریخ توقف]],4)</f>
        <v>1404</v>
      </c>
      <c r="J244" s="6" t="str">
        <f>VLOOKUP(Table1[[#This Row],[ماه توقف]],Table2[],3,0)</f>
        <v>پاییز</v>
      </c>
      <c r="K244" s="3">
        <f>_xlfn.NUMBERVALUE(RIGHT(LEFT(Table1[[#This Row],[تاریخ توقف]],7),2))</f>
        <v>8</v>
      </c>
      <c r="L244" s="3" t="str">
        <f>RIGHT(LEFT(Table1[[#This Row],[تاریخ توقف]],10),2)</f>
        <v>15</v>
      </c>
      <c r="M244" s="3">
        <f>HOUR(Table1[[#This Row],[زمان شروع توقف]])</f>
        <v>10</v>
      </c>
      <c r="N244" s="3">
        <f>MINUTE(Table1[[#This Row],[زمان شروع توقف]])</f>
        <v>41</v>
      </c>
      <c r="O244" s="3">
        <f>((Table1[[#This Row],[سال توقف]]*365+IF(Table1[[#This Row],[ماه توقف]]&lt;7,(Table1[[#This Row],[ماه توقف]]-1)*31,6*31+(Table1[[#This Row],[ماه توقف]]-6-1)*30)+(Table1[[#This Row],[روز توقف]])-1)*24+Table1[[#This Row],[ساعت توقف2]])*60+Table1[[#This Row],[دقیقه توقف]]</f>
        <v>738274241</v>
      </c>
      <c r="P244" s="57" t="s">
        <v>1155</v>
      </c>
      <c r="Q244" s="53">
        <v>0.4548611111111111</v>
      </c>
      <c r="R244" s="3" t="str">
        <f>LEFT(Table1[[#This Row],[تاریخ پایان توقف]],4)</f>
        <v>1404</v>
      </c>
      <c r="S244" s="3" t="str">
        <f>_xlfn.IFNA(VLOOKUP(Table1[[#This Row],[ماه رفع توقف]],Table2[],3,0),"در حال تعمیر")</f>
        <v>پاییز</v>
      </c>
      <c r="T244" s="3">
        <f>_xlfn.NUMBERVALUE(RIGHT(LEFT(Table1[[#This Row],[تاریخ پایان توقف]],7),2))</f>
        <v>8</v>
      </c>
      <c r="U244" s="3" t="str">
        <f>RIGHT(LEFT(Table1[[#This Row],[تاریخ پایان توقف]],10),2)</f>
        <v>15</v>
      </c>
      <c r="V244" s="3">
        <f>HOUR(Table1[[#This Row],[زمان پایان توقف]])</f>
        <v>10</v>
      </c>
      <c r="W244" s="3">
        <f>MINUTE(Table1[[#This Row],[زمان پایان توقف]])</f>
        <v>55</v>
      </c>
      <c r="X24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738274255</v>
      </c>
      <c r="Y244" s="49" t="s">
        <v>1199</v>
      </c>
      <c r="Z244" s="83">
        <f>IFERROR((IF(Table1[[#This Row],[تاریخ پایان توقف]]&lt;&gt;"",Table1[[#This Row],[زمان رفع توقف]]-Table1[[#This Row],[زمان توقف]],"")/60),"")</f>
        <v>0.23333333333333334</v>
      </c>
      <c r="AA244" s="3">
        <f>VLOOKUP(E244,Table4[],4,0)</f>
        <v>24</v>
      </c>
      <c r="AB244" s="3">
        <f>VLOOKUP(E244,Table4[],5,0)</f>
        <v>0.2</v>
      </c>
      <c r="AC244" s="3">
        <v>360</v>
      </c>
      <c r="AD244" s="3">
        <f>VLOOKUP(E244,Table4[],7,0)</f>
        <v>720</v>
      </c>
      <c r="AE244" s="83">
        <f>IF(Table1[[#This Row],[زمان آخرین رفع توقف قبل از توقف فعلی]]="","",(Table1[[#This Row],[زمان توقف]]-Table1[[#This Row],[زمان آخرین رفع توقف قبل از توقف فعلی]])/60)</f>
        <v>266.18333333333334</v>
      </c>
      <c r="AF24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738258270</v>
      </c>
    </row>
    <row r="245" spans="1:32">
      <c r="A245" s="36">
        <v>246</v>
      </c>
      <c r="B245" s="36" t="s">
        <v>98</v>
      </c>
      <c r="C245" s="36" t="s">
        <v>1120</v>
      </c>
      <c r="D245" s="36" t="s">
        <v>45</v>
      </c>
      <c r="E245" s="85" t="s">
        <v>74</v>
      </c>
      <c r="F245" s="36" t="s">
        <v>12</v>
      </c>
      <c r="G245" s="57" t="s">
        <v>1156</v>
      </c>
      <c r="H245" s="53">
        <v>0.33333333333333331</v>
      </c>
      <c r="I245" s="6" t="str">
        <f>LEFT(Table1[[#This Row],[تاریخ توقف]],4)</f>
        <v>1404</v>
      </c>
      <c r="J245" s="6" t="str">
        <f>VLOOKUP(Table1[[#This Row],[ماه توقف]],Table2[],3,0)</f>
        <v>پاییز</v>
      </c>
      <c r="K245" s="3">
        <f>_xlfn.NUMBERVALUE(RIGHT(LEFT(Table1[[#This Row],[تاریخ توقف]],7),2))</f>
        <v>8</v>
      </c>
      <c r="L245" s="3" t="str">
        <f>RIGHT(LEFT(Table1[[#This Row],[تاریخ توقف]],10),2)</f>
        <v>17</v>
      </c>
      <c r="M245" s="3">
        <f>HOUR(Table1[[#This Row],[زمان شروع توقف]])</f>
        <v>8</v>
      </c>
      <c r="N245" s="3">
        <f>MINUTE(Table1[[#This Row],[زمان شروع توقف]])</f>
        <v>0</v>
      </c>
      <c r="O245" s="3">
        <f>((Table1[[#This Row],[سال توقف]]*365+IF(Table1[[#This Row],[ماه توقف]]&lt;7,(Table1[[#This Row],[ماه توقف]]-1)*31,6*31+(Table1[[#This Row],[ماه توقف]]-6-1)*30)+(Table1[[#This Row],[روز توقف]])-1)*24+Table1[[#This Row],[ساعت توقف2]])*60+Table1[[#This Row],[دقیقه توقف]]</f>
        <v>738276960</v>
      </c>
      <c r="P245" s="57" t="s">
        <v>1156</v>
      </c>
      <c r="Q245" s="53">
        <v>0.35416666666666669</v>
      </c>
      <c r="R245" s="3" t="str">
        <f>LEFT(Table1[[#This Row],[تاریخ پایان توقف]],4)</f>
        <v>1404</v>
      </c>
      <c r="S245" s="3" t="str">
        <f>_xlfn.IFNA(VLOOKUP(Table1[[#This Row],[ماه رفع توقف]],Table2[],3,0),"در حال تعمیر")</f>
        <v>پاییز</v>
      </c>
      <c r="T245" s="3">
        <f>_xlfn.NUMBERVALUE(RIGHT(LEFT(Table1[[#This Row],[تاریخ پایان توقف]],7),2))</f>
        <v>8</v>
      </c>
      <c r="U245" s="3" t="str">
        <f>RIGHT(LEFT(Table1[[#This Row],[تاریخ پایان توقف]],10),2)</f>
        <v>17</v>
      </c>
      <c r="V245" s="3">
        <f>HOUR(Table1[[#This Row],[زمان پایان توقف]])</f>
        <v>8</v>
      </c>
      <c r="W245" s="3">
        <f>MINUTE(Table1[[#This Row],[زمان پایان توقف]])</f>
        <v>30</v>
      </c>
      <c r="X24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738276990</v>
      </c>
      <c r="Y245" s="44" t="s">
        <v>1200</v>
      </c>
      <c r="Z245" s="83">
        <f>IFERROR((IF(Table1[[#This Row],[تاریخ پایان توقف]]&lt;&gt;"",Table1[[#This Row],[زمان رفع توقف]]-Table1[[#This Row],[زمان توقف]],"")/60),"")</f>
        <v>0.5</v>
      </c>
      <c r="AA245" s="3">
        <f>VLOOKUP(E245,Table4[],4,0)</f>
        <v>24</v>
      </c>
      <c r="AB245" s="3">
        <f>VLOOKUP(E245,Table4[],5,0)</f>
        <v>0.2</v>
      </c>
      <c r="AC245" s="3">
        <v>360</v>
      </c>
      <c r="AD245" s="3">
        <f>VLOOKUP(E245,Table4[],7,0)</f>
        <v>720</v>
      </c>
      <c r="AE245" s="83">
        <f>IF(Table1[[#This Row],[زمان آخرین رفع توقف قبل از توقف فعلی]]="","",(Table1[[#This Row],[زمان توقف]]-Table1[[#This Row],[زمان آخرین رفع توقف قبل از توقف فعلی]])/60)</f>
        <v>94.5</v>
      </c>
      <c r="AF24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738271290</v>
      </c>
    </row>
    <row r="246" spans="1:32">
      <c r="A246" s="36">
        <v>247</v>
      </c>
      <c r="B246" s="36" t="s">
        <v>98</v>
      </c>
      <c r="C246" s="36" t="s">
        <v>1113</v>
      </c>
      <c r="D246" s="36" t="s">
        <v>106</v>
      </c>
      <c r="E246" s="85" t="s">
        <v>107</v>
      </c>
      <c r="F246" s="36" t="s">
        <v>12</v>
      </c>
      <c r="G246" s="57" t="s">
        <v>1156</v>
      </c>
      <c r="H246" s="53">
        <v>0.47222222222222221</v>
      </c>
      <c r="I246" s="6" t="str">
        <f>LEFT(Table1[[#This Row],[تاریخ توقف]],4)</f>
        <v>1404</v>
      </c>
      <c r="J246" s="6" t="str">
        <f>VLOOKUP(Table1[[#This Row],[ماه توقف]],Table2[],3,0)</f>
        <v>پاییز</v>
      </c>
      <c r="K246" s="3">
        <f>_xlfn.NUMBERVALUE(RIGHT(LEFT(Table1[[#This Row],[تاریخ توقف]],7),2))</f>
        <v>8</v>
      </c>
      <c r="L246" s="3" t="str">
        <f>RIGHT(LEFT(Table1[[#This Row],[تاریخ توقف]],10),2)</f>
        <v>17</v>
      </c>
      <c r="M246" s="3">
        <f>HOUR(Table1[[#This Row],[زمان شروع توقف]])</f>
        <v>11</v>
      </c>
      <c r="N246" s="3">
        <f>MINUTE(Table1[[#This Row],[زمان شروع توقف]])</f>
        <v>20</v>
      </c>
      <c r="O246" s="3">
        <f>((Table1[[#This Row],[سال توقف]]*365+IF(Table1[[#This Row],[ماه توقف]]&lt;7,(Table1[[#This Row],[ماه توقف]]-1)*31,6*31+(Table1[[#This Row],[ماه توقف]]-6-1)*30)+(Table1[[#This Row],[روز توقف]])-1)*24+Table1[[#This Row],[ساعت توقف2]])*60+Table1[[#This Row],[دقیقه توقف]]</f>
        <v>738277160</v>
      </c>
      <c r="P246" s="57" t="s">
        <v>1156</v>
      </c>
      <c r="Q246" s="53">
        <v>0.50347222222222221</v>
      </c>
      <c r="R246" s="3" t="str">
        <f>LEFT(Table1[[#This Row],[تاریخ پایان توقف]],4)</f>
        <v>1404</v>
      </c>
      <c r="S246" s="3" t="str">
        <f>_xlfn.IFNA(VLOOKUP(Table1[[#This Row],[ماه رفع توقف]],Table2[],3,0),"در حال تعمیر")</f>
        <v>پاییز</v>
      </c>
      <c r="T246" s="3">
        <f>_xlfn.NUMBERVALUE(RIGHT(LEFT(Table1[[#This Row],[تاریخ پایان توقف]],7),2))</f>
        <v>8</v>
      </c>
      <c r="U246" s="3" t="str">
        <f>RIGHT(LEFT(Table1[[#This Row],[تاریخ پایان توقف]],10),2)</f>
        <v>17</v>
      </c>
      <c r="V246" s="3">
        <f>HOUR(Table1[[#This Row],[زمان پایان توقف]])</f>
        <v>12</v>
      </c>
      <c r="W246" s="3">
        <f>MINUTE(Table1[[#This Row],[زمان پایان توقف]])</f>
        <v>5</v>
      </c>
      <c r="X24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738277205</v>
      </c>
      <c r="Y246" s="44"/>
      <c r="Z246" s="83">
        <f>IFERROR((IF(Table1[[#This Row],[تاریخ پایان توقف]]&lt;&gt;"",Table1[[#This Row],[زمان رفع توقف]]-Table1[[#This Row],[زمان توقف]],"")/60),"")</f>
        <v>0.75</v>
      </c>
      <c r="AA246" s="3">
        <f>VLOOKUP(E246,Table4[],4,0)</f>
        <v>24</v>
      </c>
      <c r="AB246" s="3">
        <f>VLOOKUP(E246,Table4[],5,0)</f>
        <v>0.2</v>
      </c>
      <c r="AC246" s="3">
        <v>360</v>
      </c>
      <c r="AD246" s="3">
        <f>VLOOKUP(E246,Table4[],7,0)</f>
        <v>720</v>
      </c>
      <c r="AE246" s="83">
        <f>IF(Table1[[#This Row],[زمان آخرین رفع توقف قبل از توقف فعلی]]="","",(Table1[[#This Row],[زمان توقف]]-Table1[[#This Row],[زمان آخرین رفع توقف قبل از توقف فعلی]])/60)</f>
        <v>74.13333333333334</v>
      </c>
      <c r="AF24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738272712</v>
      </c>
    </row>
    <row r="247" spans="1:32">
      <c r="A247" s="36">
        <v>248</v>
      </c>
      <c r="B247" s="36" t="s">
        <v>99</v>
      </c>
      <c r="C247" s="36" t="s">
        <v>1125</v>
      </c>
      <c r="D247" s="36" t="s">
        <v>1126</v>
      </c>
      <c r="E247" s="85" t="s">
        <v>215</v>
      </c>
      <c r="F247" s="36" t="s">
        <v>12</v>
      </c>
      <c r="G247" s="57" t="s">
        <v>1156</v>
      </c>
      <c r="H247" s="53">
        <v>0.45833333333333331</v>
      </c>
      <c r="I247" s="6" t="str">
        <f>LEFT(Table1[[#This Row],[تاریخ توقف]],4)</f>
        <v>1404</v>
      </c>
      <c r="J247" s="6" t="str">
        <f>VLOOKUP(Table1[[#This Row],[ماه توقف]],Table2[],3,0)</f>
        <v>پاییز</v>
      </c>
      <c r="K247" s="3">
        <f>_xlfn.NUMBERVALUE(RIGHT(LEFT(Table1[[#This Row],[تاریخ توقف]],7),2))</f>
        <v>8</v>
      </c>
      <c r="L247" s="3" t="str">
        <f>RIGHT(LEFT(Table1[[#This Row],[تاریخ توقف]],10),2)</f>
        <v>17</v>
      </c>
      <c r="M247" s="3">
        <f>HOUR(Table1[[#This Row],[زمان شروع توقف]])</f>
        <v>11</v>
      </c>
      <c r="N247" s="3">
        <f>MINUTE(Table1[[#This Row],[زمان شروع توقف]])</f>
        <v>0</v>
      </c>
      <c r="O247" s="3">
        <f>((Table1[[#This Row],[سال توقف]]*365+IF(Table1[[#This Row],[ماه توقف]]&lt;7,(Table1[[#This Row],[ماه توقف]]-1)*31,6*31+(Table1[[#This Row],[ماه توقف]]-6-1)*30)+(Table1[[#This Row],[روز توقف]])-1)*24+Table1[[#This Row],[ساعت توقف2]])*60+Table1[[#This Row],[دقیقه توقف]]</f>
        <v>738277140</v>
      </c>
      <c r="P247" s="57" t="s">
        <v>1156</v>
      </c>
      <c r="Q247" s="53">
        <v>0.5</v>
      </c>
      <c r="R247" s="3" t="str">
        <f>LEFT(Table1[[#This Row],[تاریخ پایان توقف]],4)</f>
        <v>1404</v>
      </c>
      <c r="S247" s="3" t="str">
        <f>_xlfn.IFNA(VLOOKUP(Table1[[#This Row],[ماه رفع توقف]],Table2[],3,0),"در حال تعمیر")</f>
        <v>پاییز</v>
      </c>
      <c r="T247" s="3">
        <f>_xlfn.NUMBERVALUE(RIGHT(LEFT(Table1[[#This Row],[تاریخ پایان توقف]],7),2))</f>
        <v>8</v>
      </c>
      <c r="U247" s="3" t="str">
        <f>RIGHT(LEFT(Table1[[#This Row],[تاریخ پایان توقف]],10),2)</f>
        <v>17</v>
      </c>
      <c r="V247" s="3">
        <f>HOUR(Table1[[#This Row],[زمان پایان توقف]])</f>
        <v>12</v>
      </c>
      <c r="W247" s="3">
        <f>MINUTE(Table1[[#This Row],[زمان پایان توقف]])</f>
        <v>0</v>
      </c>
      <c r="X24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738277200</v>
      </c>
      <c r="Y247" s="42" t="s">
        <v>1201</v>
      </c>
      <c r="Z247" s="83">
        <f>IFERROR((IF(Table1[[#This Row],[تاریخ پایان توقف]]&lt;&gt;"",Table1[[#This Row],[زمان رفع توقف]]-Table1[[#This Row],[زمان توقف]],"")/60),"")</f>
        <v>1</v>
      </c>
      <c r="AA247" s="3">
        <f>VLOOKUP(E247,Table4[],4,0)</f>
        <v>24</v>
      </c>
      <c r="AB247" s="3">
        <f>VLOOKUP(E247,Table4[],5,0)</f>
        <v>0.2</v>
      </c>
      <c r="AC247" s="3">
        <v>360</v>
      </c>
      <c r="AD247" s="3">
        <f>VLOOKUP(E247,Table4[],7,0)</f>
        <v>720</v>
      </c>
      <c r="AE247" s="83" t="str">
        <f>IF(Table1[[#This Row],[زمان آخرین رفع توقف قبل از توقف فعلی]]="","",(Table1[[#This Row],[زمان توقف]]-Table1[[#This Row],[زمان آخرین رفع توقف قبل از توقف فعلی]])/60)</f>
        <v/>
      </c>
      <c r="AF24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48" spans="1:32">
      <c r="A248" s="36">
        <v>249</v>
      </c>
      <c r="B248" s="36" t="s">
        <v>98</v>
      </c>
      <c r="C248" s="36" t="s">
        <v>1120</v>
      </c>
      <c r="D248" s="36" t="s">
        <v>45</v>
      </c>
      <c r="E248" s="85" t="s">
        <v>74</v>
      </c>
      <c r="F248" s="36" t="s">
        <v>12</v>
      </c>
      <c r="G248" s="57" t="s">
        <v>1157</v>
      </c>
      <c r="H248" s="53">
        <v>0.75694444444444442</v>
      </c>
      <c r="I248" s="6" t="str">
        <f>LEFT(Table1[[#This Row],[تاریخ توقف]],4)</f>
        <v>1404</v>
      </c>
      <c r="J248" s="6" t="str">
        <f>VLOOKUP(Table1[[#This Row],[ماه توقف]],Table2[],3,0)</f>
        <v>پاییز</v>
      </c>
      <c r="K248" s="3">
        <f>_xlfn.NUMBERVALUE(RIGHT(LEFT(Table1[[#This Row],[تاریخ توقف]],7),2))</f>
        <v>8</v>
      </c>
      <c r="L248" s="3" t="str">
        <f>RIGHT(LEFT(Table1[[#This Row],[تاریخ توقف]],10),2)</f>
        <v>18</v>
      </c>
      <c r="M248" s="3">
        <f>HOUR(Table1[[#This Row],[زمان شروع توقف]])</f>
        <v>18</v>
      </c>
      <c r="N248" s="3">
        <f>MINUTE(Table1[[#This Row],[زمان شروع توقف]])</f>
        <v>10</v>
      </c>
      <c r="O248" s="3">
        <f>((Table1[[#This Row],[سال توقف]]*365+IF(Table1[[#This Row],[ماه توقف]]&lt;7,(Table1[[#This Row],[ماه توقف]]-1)*31,6*31+(Table1[[#This Row],[ماه توقف]]-6-1)*30)+(Table1[[#This Row],[روز توقف]])-1)*24+Table1[[#This Row],[ساعت توقف2]])*60+Table1[[#This Row],[دقیقه توقف]]</f>
        <v>738279010</v>
      </c>
      <c r="P248" s="57" t="s">
        <v>1157</v>
      </c>
      <c r="Q248" s="53">
        <v>0.77777777777777779</v>
      </c>
      <c r="R248" s="3" t="str">
        <f>LEFT(Table1[[#This Row],[تاریخ پایان توقف]],4)</f>
        <v>1404</v>
      </c>
      <c r="S248" s="3" t="str">
        <f>_xlfn.IFNA(VLOOKUP(Table1[[#This Row],[ماه رفع توقف]],Table2[],3,0),"در حال تعمیر")</f>
        <v>پاییز</v>
      </c>
      <c r="T248" s="3">
        <f>_xlfn.NUMBERVALUE(RIGHT(LEFT(Table1[[#This Row],[تاریخ پایان توقف]],7),2))</f>
        <v>8</v>
      </c>
      <c r="U248" s="3" t="str">
        <f>RIGHT(LEFT(Table1[[#This Row],[تاریخ پایان توقف]],10),2)</f>
        <v>18</v>
      </c>
      <c r="V248" s="3">
        <f>HOUR(Table1[[#This Row],[زمان پایان توقف]])</f>
        <v>18</v>
      </c>
      <c r="W248" s="3">
        <f>MINUTE(Table1[[#This Row],[زمان پایان توقف]])</f>
        <v>40</v>
      </c>
      <c r="X24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738279040</v>
      </c>
      <c r="Y248" s="42" t="s">
        <v>1202</v>
      </c>
      <c r="Z248" s="83">
        <f>IFERROR((IF(Table1[[#This Row],[تاریخ پایان توقف]]&lt;&gt;"",Table1[[#This Row],[زمان رفع توقف]]-Table1[[#This Row],[زمان توقف]],"")/60),"")</f>
        <v>0.5</v>
      </c>
      <c r="AA248" s="3">
        <f>VLOOKUP(E248,Table4[],4,0)</f>
        <v>24</v>
      </c>
      <c r="AB248" s="3">
        <f>VLOOKUP(E248,Table4[],5,0)</f>
        <v>0.2</v>
      </c>
      <c r="AC248" s="3">
        <v>360</v>
      </c>
      <c r="AD248" s="3">
        <f>VLOOKUP(E248,Table4[],7,0)</f>
        <v>720</v>
      </c>
      <c r="AE248" s="83">
        <f>IF(Table1[[#This Row],[زمان آخرین رفع توقف قبل از توقف فعلی]]="","",(Table1[[#This Row],[زمان توقف]]-Table1[[#This Row],[زمان آخرین رفع توقف قبل از توقف فعلی]])/60)</f>
        <v>33.666666666666664</v>
      </c>
      <c r="AF24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738276990</v>
      </c>
    </row>
    <row r="249" spans="1:32">
      <c r="A249" s="36">
        <v>250</v>
      </c>
      <c r="B249" s="36" t="s">
        <v>97</v>
      </c>
      <c r="C249" s="36" t="s">
        <v>635</v>
      </c>
      <c r="D249" s="36" t="s">
        <v>1029</v>
      </c>
      <c r="E249" s="85" t="s">
        <v>279</v>
      </c>
      <c r="F249" s="36" t="s">
        <v>12</v>
      </c>
      <c r="G249" s="57" t="s">
        <v>1158</v>
      </c>
      <c r="H249" s="53">
        <v>0.77777777777777779</v>
      </c>
      <c r="I249" s="6" t="str">
        <f>LEFT(Table1[[#This Row],[تاریخ توقف]],4)</f>
        <v>1404</v>
      </c>
      <c r="J249" s="6" t="str">
        <f>VLOOKUP(Table1[[#This Row],[ماه توقف]],Table2[],3,0)</f>
        <v>پاییز</v>
      </c>
      <c r="K249" s="3">
        <f>_xlfn.NUMBERVALUE(RIGHT(LEFT(Table1[[#This Row],[تاریخ توقف]],7),2))</f>
        <v>8</v>
      </c>
      <c r="L249" s="3" t="str">
        <f>RIGHT(LEFT(Table1[[#This Row],[تاریخ توقف]],10),2)</f>
        <v>19</v>
      </c>
      <c r="M249" s="3">
        <f>HOUR(Table1[[#This Row],[زمان شروع توقف]])</f>
        <v>18</v>
      </c>
      <c r="N249" s="3">
        <f>MINUTE(Table1[[#This Row],[زمان شروع توقف]])</f>
        <v>40</v>
      </c>
      <c r="O249" s="3">
        <f>((Table1[[#This Row],[سال توقف]]*365+IF(Table1[[#This Row],[ماه توقف]]&lt;7,(Table1[[#This Row],[ماه توقف]]-1)*31,6*31+(Table1[[#This Row],[ماه توقف]]-6-1)*30)+(Table1[[#This Row],[روز توقف]])-1)*24+Table1[[#This Row],[ساعت توقف2]])*60+Table1[[#This Row],[دقیقه توقف]]</f>
        <v>738280480</v>
      </c>
      <c r="P249" s="57" t="s">
        <v>1158</v>
      </c>
      <c r="Q249" s="53">
        <v>0.79166666666666663</v>
      </c>
      <c r="R249" s="3" t="str">
        <f>LEFT(Table1[[#This Row],[تاریخ پایان توقف]],4)</f>
        <v>1404</v>
      </c>
      <c r="S249" s="3" t="str">
        <f>_xlfn.IFNA(VLOOKUP(Table1[[#This Row],[ماه رفع توقف]],Table2[],3,0),"در حال تعمیر")</f>
        <v>پاییز</v>
      </c>
      <c r="T249" s="3">
        <f>_xlfn.NUMBERVALUE(RIGHT(LEFT(Table1[[#This Row],[تاریخ پایان توقف]],7),2))</f>
        <v>8</v>
      </c>
      <c r="U249" s="3" t="str">
        <f>RIGHT(LEFT(Table1[[#This Row],[تاریخ پایان توقف]],10),2)</f>
        <v>19</v>
      </c>
      <c r="V249" s="3">
        <f>HOUR(Table1[[#This Row],[زمان پایان توقف]])</f>
        <v>19</v>
      </c>
      <c r="W249" s="3">
        <f>MINUTE(Table1[[#This Row],[زمان پایان توقف]])</f>
        <v>0</v>
      </c>
      <c r="X24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738280500</v>
      </c>
      <c r="Y249" s="42" t="s">
        <v>1203</v>
      </c>
      <c r="Z249" s="83">
        <f>IFERROR((IF(Table1[[#This Row],[تاریخ پایان توقف]]&lt;&gt;"",Table1[[#This Row],[زمان رفع توقف]]-Table1[[#This Row],[زمان توقف]],"")/60),"")</f>
        <v>0.33333333333333331</v>
      </c>
      <c r="AA249" s="3">
        <f>VLOOKUP(E249,Table4[],4,0)</f>
        <v>24</v>
      </c>
      <c r="AB249" s="3">
        <f>VLOOKUP(E249,Table4[],5,0)</f>
        <v>0.2</v>
      </c>
      <c r="AC249" s="3">
        <v>360</v>
      </c>
      <c r="AD249" s="3">
        <f>VLOOKUP(E249,Table4[],7,0)</f>
        <v>720</v>
      </c>
      <c r="AE249" s="83">
        <f>IF(Table1[[#This Row],[زمان آخرین رفع توقف قبل از توقف فعلی]]="","",(Table1[[#This Row],[زمان توقف]]-Table1[[#This Row],[زمان آخرین رفع توقف قبل از توقف فعلی]])/60)</f>
        <v>1279.25</v>
      </c>
      <c r="AF24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738203725</v>
      </c>
    </row>
    <row r="250" spans="1:32">
      <c r="A250" s="36">
        <v>251</v>
      </c>
      <c r="B250" s="36" t="s">
        <v>98</v>
      </c>
      <c r="C250" s="36" t="s">
        <v>121</v>
      </c>
      <c r="D250" s="36" t="s">
        <v>120</v>
      </c>
      <c r="E250" s="85" t="s">
        <v>122</v>
      </c>
      <c r="F250" s="36" t="s">
        <v>12</v>
      </c>
      <c r="G250" s="57" t="s">
        <v>1158</v>
      </c>
      <c r="H250" s="53">
        <v>0.39583333333333331</v>
      </c>
      <c r="I250" s="6" t="str">
        <f>LEFT(Table1[[#This Row],[تاریخ توقف]],4)</f>
        <v>1404</v>
      </c>
      <c r="J250" s="6" t="str">
        <f>VLOOKUP(Table1[[#This Row],[ماه توقف]],Table2[],3,0)</f>
        <v>پاییز</v>
      </c>
      <c r="K250" s="3">
        <f>_xlfn.NUMBERVALUE(RIGHT(LEFT(Table1[[#This Row],[تاریخ توقف]],7),2))</f>
        <v>8</v>
      </c>
      <c r="L250" s="3" t="str">
        <f>RIGHT(LEFT(Table1[[#This Row],[تاریخ توقف]],10),2)</f>
        <v>19</v>
      </c>
      <c r="M250" s="3">
        <f>HOUR(Table1[[#This Row],[زمان شروع توقف]])</f>
        <v>9</v>
      </c>
      <c r="N250" s="3">
        <f>MINUTE(Table1[[#This Row],[زمان شروع توقف]])</f>
        <v>30</v>
      </c>
      <c r="O250" s="3">
        <f>((Table1[[#This Row],[سال توقف]]*365+IF(Table1[[#This Row],[ماه توقف]]&lt;7,(Table1[[#This Row],[ماه توقف]]-1)*31,6*31+(Table1[[#This Row],[ماه توقف]]-6-1)*30)+(Table1[[#This Row],[روز توقف]])-1)*24+Table1[[#This Row],[ساعت توقف2]])*60+Table1[[#This Row],[دقیقه توقف]]</f>
        <v>738279930</v>
      </c>
      <c r="P250" s="57" t="s">
        <v>1159</v>
      </c>
      <c r="Q250" s="53">
        <v>0.5</v>
      </c>
      <c r="R250" s="3" t="str">
        <f>LEFT(Table1[[#This Row],[تاریخ پایان توقف]],4)</f>
        <v>1404</v>
      </c>
      <c r="S250" s="3" t="str">
        <f>_xlfn.IFNA(VLOOKUP(Table1[[#This Row],[ماه رفع توقف]],Table2[],3,0),"در حال تعمیر")</f>
        <v>پاییز</v>
      </c>
      <c r="T250" s="3">
        <f>_xlfn.NUMBERVALUE(RIGHT(LEFT(Table1[[#This Row],[تاریخ پایان توقف]],7),2))</f>
        <v>8</v>
      </c>
      <c r="U250" s="3" t="str">
        <f>RIGHT(LEFT(Table1[[#This Row],[تاریخ پایان توقف]],10),2)</f>
        <v>20</v>
      </c>
      <c r="V250" s="3">
        <f>HOUR(Table1[[#This Row],[زمان پایان توقف]])</f>
        <v>12</v>
      </c>
      <c r="W250" s="3">
        <f>MINUTE(Table1[[#This Row],[زمان پایان توقف]])</f>
        <v>0</v>
      </c>
      <c r="X25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738281520</v>
      </c>
      <c r="Y250" s="42" t="s">
        <v>1204</v>
      </c>
      <c r="Z250" s="83">
        <f>IFERROR((IF(Table1[[#This Row],[تاریخ پایان توقف]]&lt;&gt;"",Table1[[#This Row],[زمان رفع توقف]]-Table1[[#This Row],[زمان توقف]],"")/60),"")</f>
        <v>26.5</v>
      </c>
      <c r="AA250" s="3">
        <f>VLOOKUP(E250,Table4[],4,0)</f>
        <v>24</v>
      </c>
      <c r="AB250" s="3">
        <f>VLOOKUP(E250,Table4[],5,0)</f>
        <v>0.2</v>
      </c>
      <c r="AC250" s="3">
        <v>360</v>
      </c>
      <c r="AD250" s="3">
        <f>VLOOKUP(E250,Table4[],7,0)</f>
        <v>720</v>
      </c>
      <c r="AE250" s="83">
        <f>IF(Table1[[#This Row],[زمان آخرین رفع توقف قبل از توقف فعلی]]="","",(Table1[[#This Row],[زمان توقف]]-Table1[[#This Row],[زمان آخرین رفع توقف قبل از توقف فعلی]])/60)</f>
        <v>144.58333333333334</v>
      </c>
      <c r="AF25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738271255</v>
      </c>
    </row>
    <row r="251" spans="1:32">
      <c r="A251" s="36">
        <v>252</v>
      </c>
      <c r="B251" s="36" t="s">
        <v>97</v>
      </c>
      <c r="C251" s="36" t="s">
        <v>1127</v>
      </c>
      <c r="D251" s="36" t="s">
        <v>1029</v>
      </c>
      <c r="E251" s="85" t="s">
        <v>279</v>
      </c>
      <c r="F251" s="36" t="s">
        <v>12</v>
      </c>
      <c r="G251" s="57" t="s">
        <v>1159</v>
      </c>
      <c r="H251" s="53">
        <v>0.375</v>
      </c>
      <c r="I251" s="6" t="str">
        <f>LEFT(Table1[[#This Row],[تاریخ توقف]],4)</f>
        <v>1404</v>
      </c>
      <c r="J251" s="6" t="str">
        <f>VLOOKUP(Table1[[#This Row],[ماه توقف]],Table2[],3,0)</f>
        <v>پاییز</v>
      </c>
      <c r="K251" s="3">
        <f>_xlfn.NUMBERVALUE(RIGHT(LEFT(Table1[[#This Row],[تاریخ توقف]],7),2))</f>
        <v>8</v>
      </c>
      <c r="L251" s="3" t="str">
        <f>RIGHT(LEFT(Table1[[#This Row],[تاریخ توقف]],10),2)</f>
        <v>20</v>
      </c>
      <c r="M251" s="3">
        <f>HOUR(Table1[[#This Row],[زمان شروع توقف]])</f>
        <v>9</v>
      </c>
      <c r="N251" s="3">
        <f>MINUTE(Table1[[#This Row],[زمان شروع توقف]])</f>
        <v>0</v>
      </c>
      <c r="O251" s="3">
        <f>((Table1[[#This Row],[سال توقف]]*365+IF(Table1[[#This Row],[ماه توقف]]&lt;7,(Table1[[#This Row],[ماه توقف]]-1)*31,6*31+(Table1[[#This Row],[ماه توقف]]-6-1)*30)+(Table1[[#This Row],[روز توقف]])-1)*24+Table1[[#This Row],[ساعت توقف2]])*60+Table1[[#This Row],[دقیقه توقف]]</f>
        <v>738281340</v>
      </c>
      <c r="P251" s="57" t="s">
        <v>1159</v>
      </c>
      <c r="Q251" s="53">
        <v>0.40625</v>
      </c>
      <c r="R251" s="3" t="str">
        <f>LEFT(Table1[[#This Row],[تاریخ پایان توقف]],4)</f>
        <v>1404</v>
      </c>
      <c r="S251" s="3" t="str">
        <f>_xlfn.IFNA(VLOOKUP(Table1[[#This Row],[ماه رفع توقف]],Table2[],3,0),"در حال تعمیر")</f>
        <v>پاییز</v>
      </c>
      <c r="T251" s="3">
        <f>_xlfn.NUMBERVALUE(RIGHT(LEFT(Table1[[#This Row],[تاریخ پایان توقف]],7),2))</f>
        <v>8</v>
      </c>
      <c r="U251" s="3" t="str">
        <f>RIGHT(LEFT(Table1[[#This Row],[تاریخ پایان توقف]],10),2)</f>
        <v>20</v>
      </c>
      <c r="V251" s="3">
        <f>HOUR(Table1[[#This Row],[زمان پایان توقف]])</f>
        <v>9</v>
      </c>
      <c r="W251" s="3">
        <f>MINUTE(Table1[[#This Row],[زمان پایان توقف]])</f>
        <v>45</v>
      </c>
      <c r="X25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738281385</v>
      </c>
      <c r="Y251" s="42" t="s">
        <v>1205</v>
      </c>
      <c r="Z251" s="83">
        <f>IFERROR((IF(Table1[[#This Row],[تاریخ پایان توقف]]&lt;&gt;"",Table1[[#This Row],[زمان رفع توقف]]-Table1[[#This Row],[زمان توقف]],"")/60),"")</f>
        <v>0.75</v>
      </c>
      <c r="AA251" s="3">
        <f>VLOOKUP(E251,Table4[],4,0)</f>
        <v>24</v>
      </c>
      <c r="AB251" s="3">
        <f>VLOOKUP(E251,Table4[],5,0)</f>
        <v>0.2</v>
      </c>
      <c r="AC251" s="3">
        <v>360</v>
      </c>
      <c r="AD251" s="3">
        <f>VLOOKUP(E251,Table4[],7,0)</f>
        <v>720</v>
      </c>
      <c r="AE251" s="83">
        <f>IF(Table1[[#This Row],[زمان آخرین رفع توقف قبل از توقف فعلی]]="","",(Table1[[#This Row],[زمان توقف]]-Table1[[#This Row],[زمان آخرین رفع توقف قبل از توقف فعلی]])/60)</f>
        <v>14</v>
      </c>
      <c r="AF25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738280500</v>
      </c>
    </row>
    <row r="252" spans="1:32">
      <c r="A252" s="36">
        <v>253</v>
      </c>
      <c r="B252" s="36" t="s">
        <v>98</v>
      </c>
      <c r="C252" s="36" t="s">
        <v>1120</v>
      </c>
      <c r="D252" s="36" t="s">
        <v>45</v>
      </c>
      <c r="E252" s="85" t="s">
        <v>74</v>
      </c>
      <c r="F252" s="36" t="s">
        <v>12</v>
      </c>
      <c r="G252" s="57" t="s">
        <v>1159</v>
      </c>
      <c r="H252" s="53">
        <v>0.80555555555555558</v>
      </c>
      <c r="I252" s="6" t="str">
        <f>LEFT(Table1[[#This Row],[تاریخ توقف]],4)</f>
        <v>1404</v>
      </c>
      <c r="J252" s="6" t="str">
        <f>VLOOKUP(Table1[[#This Row],[ماه توقف]],Table2[],3,0)</f>
        <v>پاییز</v>
      </c>
      <c r="K252" s="3">
        <f>_xlfn.NUMBERVALUE(RIGHT(LEFT(Table1[[#This Row],[تاریخ توقف]],7),2))</f>
        <v>8</v>
      </c>
      <c r="L252" s="3" t="str">
        <f>RIGHT(LEFT(Table1[[#This Row],[تاریخ توقف]],10),2)</f>
        <v>20</v>
      </c>
      <c r="M252" s="3">
        <f>HOUR(Table1[[#This Row],[زمان شروع توقف]])</f>
        <v>19</v>
      </c>
      <c r="N252" s="3">
        <f>MINUTE(Table1[[#This Row],[زمان شروع توقف]])</f>
        <v>20</v>
      </c>
      <c r="O252" s="3">
        <f>((Table1[[#This Row],[سال توقف]]*365+IF(Table1[[#This Row],[ماه توقف]]&lt;7,(Table1[[#This Row],[ماه توقف]]-1)*31,6*31+(Table1[[#This Row],[ماه توقف]]-6-1)*30)+(Table1[[#This Row],[روز توقف]])-1)*24+Table1[[#This Row],[ساعت توقف2]])*60+Table1[[#This Row],[دقیقه توقف]]</f>
        <v>738281960</v>
      </c>
      <c r="P252" s="57" t="s">
        <v>1159</v>
      </c>
      <c r="Q252" s="53">
        <v>0.83333333333333337</v>
      </c>
      <c r="R252" s="3" t="str">
        <f>LEFT(Table1[[#This Row],[تاریخ پایان توقف]],4)</f>
        <v>1404</v>
      </c>
      <c r="S252" s="3" t="str">
        <f>_xlfn.IFNA(VLOOKUP(Table1[[#This Row],[ماه رفع توقف]],Table2[],3,0),"در حال تعمیر")</f>
        <v>پاییز</v>
      </c>
      <c r="T252" s="3">
        <f>_xlfn.NUMBERVALUE(RIGHT(LEFT(Table1[[#This Row],[تاریخ پایان توقف]],7),2))</f>
        <v>8</v>
      </c>
      <c r="U252" s="3" t="str">
        <f>RIGHT(LEFT(Table1[[#This Row],[تاریخ پایان توقف]],10),2)</f>
        <v>20</v>
      </c>
      <c r="V252" s="3">
        <f>HOUR(Table1[[#This Row],[زمان پایان توقف]])</f>
        <v>20</v>
      </c>
      <c r="W252" s="3">
        <f>MINUTE(Table1[[#This Row],[زمان پایان توقف]])</f>
        <v>0</v>
      </c>
      <c r="X25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738282000</v>
      </c>
      <c r="Y252" s="42" t="s">
        <v>1206</v>
      </c>
      <c r="Z252" s="83">
        <f>IFERROR((IF(Table1[[#This Row],[تاریخ پایان توقف]]&lt;&gt;"",Table1[[#This Row],[زمان رفع توقف]]-Table1[[#This Row],[زمان توقف]],"")/60),"")</f>
        <v>0.66666666666666663</v>
      </c>
      <c r="AA252" s="3">
        <f>VLOOKUP(E252,Table4[],4,0)</f>
        <v>24</v>
      </c>
      <c r="AB252" s="3">
        <f>VLOOKUP(E252,Table4[],5,0)</f>
        <v>0.2</v>
      </c>
      <c r="AC252" s="3">
        <v>360</v>
      </c>
      <c r="AD252" s="3">
        <f>VLOOKUP(E252,Table4[],7,0)</f>
        <v>720</v>
      </c>
      <c r="AE252" s="83">
        <f>IF(Table1[[#This Row],[زمان آخرین رفع توقف قبل از توقف فعلی]]="","",(Table1[[#This Row],[زمان توقف]]-Table1[[#This Row],[زمان آخرین رفع توقف قبل از توقف فعلی]])/60)</f>
        <v>48.666666666666664</v>
      </c>
      <c r="AF25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738279040</v>
      </c>
    </row>
    <row r="253" spans="1:32">
      <c r="A253" s="36">
        <v>254</v>
      </c>
      <c r="B253" s="36" t="s">
        <v>98</v>
      </c>
      <c r="C253" s="36" t="s">
        <v>1120</v>
      </c>
      <c r="D253" s="36" t="s">
        <v>45</v>
      </c>
      <c r="E253" s="85" t="s">
        <v>74</v>
      </c>
      <c r="F253" s="36" t="s">
        <v>12</v>
      </c>
      <c r="G253" s="57" t="s">
        <v>1160</v>
      </c>
      <c r="H253" s="53">
        <v>0.52083333333333337</v>
      </c>
      <c r="I253" s="6" t="str">
        <f>LEFT(Table1[[#This Row],[تاریخ توقف]],4)</f>
        <v>1404</v>
      </c>
      <c r="J253" s="6" t="str">
        <f>VLOOKUP(Table1[[#This Row],[ماه توقف]],Table2[],3,0)</f>
        <v>پاییز</v>
      </c>
      <c r="K253" s="3">
        <f>_xlfn.NUMBERVALUE(RIGHT(LEFT(Table1[[#This Row],[تاریخ توقف]],7),2))</f>
        <v>8</v>
      </c>
      <c r="L253" s="3" t="str">
        <f>RIGHT(LEFT(Table1[[#This Row],[تاریخ توقف]],10),2)</f>
        <v>21</v>
      </c>
      <c r="M253" s="3">
        <f>HOUR(Table1[[#This Row],[زمان شروع توقف]])</f>
        <v>12</v>
      </c>
      <c r="N253" s="3">
        <f>MINUTE(Table1[[#This Row],[زمان شروع توقف]])</f>
        <v>30</v>
      </c>
      <c r="O253" s="3">
        <f>((Table1[[#This Row],[سال توقف]]*365+IF(Table1[[#This Row],[ماه توقف]]&lt;7,(Table1[[#This Row],[ماه توقف]]-1)*31,6*31+(Table1[[#This Row],[ماه توقف]]-6-1)*30)+(Table1[[#This Row],[روز توقف]])-1)*24+Table1[[#This Row],[ساعت توقف2]])*60+Table1[[#This Row],[دقیقه توقف]]</f>
        <v>738282990</v>
      </c>
      <c r="P253" s="57" t="s">
        <v>1160</v>
      </c>
      <c r="Q253" s="53">
        <v>0.60416666666666663</v>
      </c>
      <c r="R253" s="3" t="str">
        <f>LEFT(Table1[[#This Row],[تاریخ پایان توقف]],4)</f>
        <v>1404</v>
      </c>
      <c r="S253" s="3" t="str">
        <f>_xlfn.IFNA(VLOOKUP(Table1[[#This Row],[ماه رفع توقف]],Table2[],3,0),"در حال تعمیر")</f>
        <v>پاییز</v>
      </c>
      <c r="T253" s="3">
        <f>_xlfn.NUMBERVALUE(RIGHT(LEFT(Table1[[#This Row],[تاریخ پایان توقف]],7),2))</f>
        <v>8</v>
      </c>
      <c r="U253" s="3" t="str">
        <f>RIGHT(LEFT(Table1[[#This Row],[تاریخ پایان توقف]],10),2)</f>
        <v>21</v>
      </c>
      <c r="V253" s="3">
        <f>HOUR(Table1[[#This Row],[زمان پایان توقف]])</f>
        <v>14</v>
      </c>
      <c r="W253" s="3">
        <f>MINUTE(Table1[[#This Row],[زمان پایان توقف]])</f>
        <v>30</v>
      </c>
      <c r="X25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738283110</v>
      </c>
      <c r="Y253" s="42" t="s">
        <v>1206</v>
      </c>
      <c r="Z253" s="83">
        <f>IFERROR((IF(Table1[[#This Row],[تاریخ پایان توقف]]&lt;&gt;"",Table1[[#This Row],[زمان رفع توقف]]-Table1[[#This Row],[زمان توقف]],"")/60),"")</f>
        <v>2</v>
      </c>
      <c r="AA253" s="3">
        <f>VLOOKUP(E253,Table4[],4,0)</f>
        <v>24</v>
      </c>
      <c r="AB253" s="3">
        <f>VLOOKUP(E253,Table4[],5,0)</f>
        <v>0.2</v>
      </c>
      <c r="AC253" s="3">
        <v>360</v>
      </c>
      <c r="AD253" s="3">
        <f>VLOOKUP(E253,Table4[],7,0)</f>
        <v>720</v>
      </c>
      <c r="AE253" s="83">
        <f>IF(Table1[[#This Row],[زمان آخرین رفع توقف قبل از توقف فعلی]]="","",(Table1[[#This Row],[زمان توقف]]-Table1[[#This Row],[زمان آخرین رفع توقف قبل از توقف فعلی]])/60)</f>
        <v>16.5</v>
      </c>
      <c r="AF25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738282000</v>
      </c>
    </row>
    <row r="254" spans="1:32">
      <c r="A254" s="36">
        <v>255</v>
      </c>
      <c r="B254" s="36" t="s">
        <v>97</v>
      </c>
      <c r="C254" s="36" t="s">
        <v>645</v>
      </c>
      <c r="D254" s="36" t="s">
        <v>1128</v>
      </c>
      <c r="E254" s="85" t="s">
        <v>293</v>
      </c>
      <c r="F254" s="36" t="s">
        <v>12</v>
      </c>
      <c r="G254" s="57" t="s">
        <v>1160</v>
      </c>
      <c r="H254" s="53">
        <v>0.71875</v>
      </c>
      <c r="I254" s="6" t="str">
        <f>LEFT(Table1[[#This Row],[تاریخ توقف]],4)</f>
        <v>1404</v>
      </c>
      <c r="J254" s="6" t="str">
        <f>VLOOKUP(Table1[[#This Row],[ماه توقف]],Table2[],3,0)</f>
        <v>پاییز</v>
      </c>
      <c r="K254" s="3">
        <f>_xlfn.NUMBERVALUE(RIGHT(LEFT(Table1[[#This Row],[تاریخ توقف]],7),2))</f>
        <v>8</v>
      </c>
      <c r="L254" s="3" t="str">
        <f>RIGHT(LEFT(Table1[[#This Row],[تاریخ توقف]],10),2)</f>
        <v>21</v>
      </c>
      <c r="M254" s="3">
        <f>HOUR(Table1[[#This Row],[زمان شروع توقف]])</f>
        <v>17</v>
      </c>
      <c r="N254" s="3">
        <f>MINUTE(Table1[[#This Row],[زمان شروع توقف]])</f>
        <v>15</v>
      </c>
      <c r="O254" s="3">
        <f>((Table1[[#This Row],[سال توقف]]*365+IF(Table1[[#This Row],[ماه توقف]]&lt;7,(Table1[[#This Row],[ماه توقف]]-1)*31,6*31+(Table1[[#This Row],[ماه توقف]]-6-1)*30)+(Table1[[#This Row],[روز توقف]])-1)*24+Table1[[#This Row],[ساعت توقف2]])*60+Table1[[#This Row],[دقیقه توقف]]</f>
        <v>738283275</v>
      </c>
      <c r="P254" s="57" t="s">
        <v>1160</v>
      </c>
      <c r="Q254" s="53">
        <v>0.75</v>
      </c>
      <c r="R254" s="3" t="str">
        <f>LEFT(Table1[[#This Row],[تاریخ پایان توقف]],4)</f>
        <v>1404</v>
      </c>
      <c r="S254" s="3" t="str">
        <f>_xlfn.IFNA(VLOOKUP(Table1[[#This Row],[ماه رفع توقف]],Table2[],3,0),"در حال تعمیر")</f>
        <v>پاییز</v>
      </c>
      <c r="T254" s="3">
        <f>_xlfn.NUMBERVALUE(RIGHT(LEFT(Table1[[#This Row],[تاریخ پایان توقف]],7),2))</f>
        <v>8</v>
      </c>
      <c r="U254" s="3" t="str">
        <f>RIGHT(LEFT(Table1[[#This Row],[تاریخ پایان توقف]],10),2)</f>
        <v>21</v>
      </c>
      <c r="V254" s="3">
        <f>HOUR(Table1[[#This Row],[زمان پایان توقف]])</f>
        <v>18</v>
      </c>
      <c r="W254" s="3">
        <f>MINUTE(Table1[[#This Row],[زمان پایان توقف]])</f>
        <v>0</v>
      </c>
      <c r="X25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738283320</v>
      </c>
      <c r="Y254" s="42" t="s">
        <v>1207</v>
      </c>
      <c r="Z254" s="83">
        <f>IFERROR((IF(Table1[[#This Row],[تاریخ پایان توقف]]&lt;&gt;"",Table1[[#This Row],[زمان رفع توقف]]-Table1[[#This Row],[زمان توقف]],"")/60),"")</f>
        <v>0.75</v>
      </c>
      <c r="AA254" s="3">
        <f>VLOOKUP(E254,Table4[],4,0)</f>
        <v>24</v>
      </c>
      <c r="AB254" s="3">
        <f>VLOOKUP(E254,Table4[],5,0)</f>
        <v>0.2</v>
      </c>
      <c r="AC254" s="3">
        <v>360</v>
      </c>
      <c r="AD254" s="3">
        <f>VLOOKUP(E254,Table4[],7,0)</f>
        <v>720</v>
      </c>
      <c r="AE254" s="83">
        <f>IF(Table1[[#This Row],[زمان آخرین رفع توقف قبل از توقف فعلی]]="","",(Table1[[#This Row],[زمان توقف]]-Table1[[#This Row],[زمان آخرین رفع توقف قبل از توقف فعلی]])/60)</f>
        <v>200.41666666666666</v>
      </c>
      <c r="AF25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738271250</v>
      </c>
    </row>
    <row r="255" spans="1:32">
      <c r="A255" s="36">
        <v>256</v>
      </c>
      <c r="B255" s="36" t="s">
        <v>99</v>
      </c>
      <c r="C255" s="36" t="s">
        <v>1288</v>
      </c>
      <c r="D255" s="36"/>
      <c r="E255" s="85" t="s">
        <v>219</v>
      </c>
      <c r="F255" s="36" t="s">
        <v>12</v>
      </c>
      <c r="G255" s="57" t="s">
        <v>1160</v>
      </c>
      <c r="H255" s="53">
        <v>0.9375</v>
      </c>
      <c r="I255" s="6" t="str">
        <f>LEFT(Table1[[#This Row],[تاریخ توقف]],4)</f>
        <v>1404</v>
      </c>
      <c r="J255" s="6" t="str">
        <f>VLOOKUP(Table1[[#This Row],[ماه توقف]],Table2[],3,0)</f>
        <v>پاییز</v>
      </c>
      <c r="K255" s="3">
        <f>_xlfn.NUMBERVALUE(RIGHT(LEFT(Table1[[#This Row],[تاریخ توقف]],7),2))</f>
        <v>8</v>
      </c>
      <c r="L255" s="3" t="str">
        <f>RIGHT(LEFT(Table1[[#This Row],[تاریخ توقف]],10),2)</f>
        <v>21</v>
      </c>
      <c r="M255" s="3">
        <f>HOUR(Table1[[#This Row],[زمان شروع توقف]])</f>
        <v>22</v>
      </c>
      <c r="N255" s="3">
        <f>MINUTE(Table1[[#This Row],[زمان شروع توقف]])</f>
        <v>30</v>
      </c>
      <c r="O255" s="3">
        <f>((Table1[[#This Row],[سال توقف]]*365+IF(Table1[[#This Row],[ماه توقف]]&lt;7,(Table1[[#This Row],[ماه توقف]]-1)*31,6*31+(Table1[[#This Row],[ماه توقف]]-6-1)*30)+(Table1[[#This Row],[روز توقف]])-1)*24+Table1[[#This Row],[ساعت توقف2]])*60+Table1[[#This Row],[دقیقه توقف]]</f>
        <v>738283590</v>
      </c>
      <c r="P255" s="57" t="s">
        <v>1173</v>
      </c>
      <c r="Q255" s="53">
        <v>0.33333333333333331</v>
      </c>
      <c r="R255" s="3" t="str">
        <f>LEFT(Table1[[#This Row],[تاریخ پایان توقف]],4)</f>
        <v>1404</v>
      </c>
      <c r="S255" s="3" t="str">
        <f>_xlfn.IFNA(VLOOKUP(Table1[[#This Row],[ماه رفع توقف]],Table2[],3,0),"در حال تعمیر")</f>
        <v>پاییز</v>
      </c>
      <c r="T255" s="3">
        <f>_xlfn.NUMBERVALUE(RIGHT(LEFT(Table1[[#This Row],[تاریخ پایان توقف]],7),2))</f>
        <v>8</v>
      </c>
      <c r="U255" s="3" t="str">
        <f>RIGHT(LEFT(Table1[[#This Row],[تاریخ پایان توقف]],10),2)</f>
        <v>22</v>
      </c>
      <c r="V255" s="3">
        <f>HOUR(Table1[[#This Row],[زمان پایان توقف]])</f>
        <v>8</v>
      </c>
      <c r="W255" s="3">
        <f>MINUTE(Table1[[#This Row],[زمان پایان توقف]])</f>
        <v>0</v>
      </c>
      <c r="X25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738284160</v>
      </c>
      <c r="Y255" s="42" t="s">
        <v>1208</v>
      </c>
      <c r="Z255" s="83">
        <f>IFERROR((IF(Table1[[#This Row],[تاریخ پایان توقف]]&lt;&gt;"",Table1[[#This Row],[زمان رفع توقف]]-Table1[[#This Row],[زمان توقف]],"")/60),"")</f>
        <v>9.5</v>
      </c>
      <c r="AA255" s="3">
        <f>VLOOKUP(E255,Table4[],4,0)</f>
        <v>24</v>
      </c>
      <c r="AB255" s="3">
        <f>VLOOKUP(E255,Table4[],5,0)</f>
        <v>0.2</v>
      </c>
      <c r="AC255" s="3">
        <v>360</v>
      </c>
      <c r="AD255" s="3">
        <f>VLOOKUP(E255,Table4[],7,0)</f>
        <v>720</v>
      </c>
      <c r="AE255" s="83" t="str">
        <f>IF(Table1[[#This Row],[زمان آخرین رفع توقف قبل از توقف فعلی]]="","",(Table1[[#This Row],[زمان توقف]]-Table1[[#This Row],[زمان آخرین رفع توقف قبل از توقف فعلی]])/60)</f>
        <v/>
      </c>
      <c r="AF25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56" spans="1:32">
      <c r="A256" s="36">
        <v>257</v>
      </c>
      <c r="B256" s="36" t="s">
        <v>98</v>
      </c>
      <c r="C256" s="36" t="s">
        <v>1129</v>
      </c>
      <c r="D256" s="36" t="s">
        <v>115</v>
      </c>
      <c r="E256" s="85" t="s">
        <v>117</v>
      </c>
      <c r="F256" s="36" t="s">
        <v>12</v>
      </c>
      <c r="G256" s="57" t="s">
        <v>1161</v>
      </c>
      <c r="H256" s="53">
        <v>0.38541666666666669</v>
      </c>
      <c r="I256" s="6" t="str">
        <f>LEFT(Table1[[#This Row],[تاریخ توقف]],4)</f>
        <v>1404</v>
      </c>
      <c r="J256" s="6" t="str">
        <f>VLOOKUP(Table1[[#This Row],[ماه توقف]],Table2[],3,0)</f>
        <v>پاییز</v>
      </c>
      <c r="K256" s="3">
        <f>_xlfn.NUMBERVALUE(RIGHT(LEFT(Table1[[#This Row],[تاریخ توقف]],7),2))</f>
        <v>8</v>
      </c>
      <c r="L256" s="3" t="str">
        <f>RIGHT(LEFT(Table1[[#This Row],[تاریخ توقف]],10),2)</f>
        <v>26</v>
      </c>
      <c r="M256" s="3">
        <f>HOUR(Table1[[#This Row],[زمان شروع توقف]])</f>
        <v>9</v>
      </c>
      <c r="N256" s="3">
        <f>MINUTE(Table1[[#This Row],[زمان شروع توقف]])</f>
        <v>15</v>
      </c>
      <c r="O256" s="3">
        <f>((Table1[[#This Row],[سال توقف]]*365+IF(Table1[[#This Row],[ماه توقف]]&lt;7,(Table1[[#This Row],[ماه توقف]]-1)*31,6*31+(Table1[[#This Row],[ماه توقف]]-6-1)*30)+(Table1[[#This Row],[روز توقف]])-1)*24+Table1[[#This Row],[ساعت توقف2]])*60+Table1[[#This Row],[دقیقه توقف]]</f>
        <v>738289995</v>
      </c>
      <c r="P256" s="57" t="s">
        <v>1161</v>
      </c>
      <c r="Q256" s="53">
        <v>0.41666666666666669</v>
      </c>
      <c r="R256" s="3" t="str">
        <f>LEFT(Table1[[#This Row],[تاریخ پایان توقف]],4)</f>
        <v>1404</v>
      </c>
      <c r="S256" s="3" t="str">
        <f>_xlfn.IFNA(VLOOKUP(Table1[[#This Row],[ماه رفع توقف]],Table2[],3,0),"در حال تعمیر")</f>
        <v>پاییز</v>
      </c>
      <c r="T256" s="3">
        <f>_xlfn.NUMBERVALUE(RIGHT(LEFT(Table1[[#This Row],[تاریخ پایان توقف]],7),2))</f>
        <v>8</v>
      </c>
      <c r="U256" s="3" t="str">
        <f>RIGHT(LEFT(Table1[[#This Row],[تاریخ پایان توقف]],10),2)</f>
        <v>26</v>
      </c>
      <c r="V256" s="3">
        <f>HOUR(Table1[[#This Row],[زمان پایان توقف]])</f>
        <v>10</v>
      </c>
      <c r="W256" s="3">
        <f>MINUTE(Table1[[#This Row],[زمان پایان توقف]])</f>
        <v>0</v>
      </c>
      <c r="X25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738290040</v>
      </c>
      <c r="Y256" s="42" t="s">
        <v>1209</v>
      </c>
      <c r="Z256" s="83">
        <f>IFERROR((IF(Table1[[#This Row],[تاریخ پایان توقف]]&lt;&gt;"",Table1[[#This Row],[زمان رفع توقف]]-Table1[[#This Row],[زمان توقف]],"")/60),"")</f>
        <v>0.75</v>
      </c>
      <c r="AA256" s="3">
        <f>VLOOKUP(E256,Table4[],4,0)</f>
        <v>24</v>
      </c>
      <c r="AB256" s="3">
        <f>VLOOKUP(E256,Table4[],5,0)</f>
        <v>0.2</v>
      </c>
      <c r="AC256" s="3">
        <v>360</v>
      </c>
      <c r="AD256" s="3">
        <f>VLOOKUP(E256,Table4[],7,0)</f>
        <v>720</v>
      </c>
      <c r="AE256" s="83">
        <f>IF(Table1[[#This Row],[زمان آخرین رفع توقف قبل از توقف فعلی]]="","",(Table1[[#This Row],[زمان توقف]]-Table1[[#This Row],[زمان آخرین رفع توقف قبل از توقف فعلی]])/60)</f>
        <v>325.91666666666669</v>
      </c>
      <c r="AF256"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738270440</v>
      </c>
    </row>
    <row r="257" spans="1:32">
      <c r="A257" s="36">
        <v>258</v>
      </c>
      <c r="B257" s="36" t="s">
        <v>98</v>
      </c>
      <c r="C257" s="36" t="s">
        <v>1120</v>
      </c>
      <c r="D257" s="36" t="s">
        <v>45</v>
      </c>
      <c r="E257" s="85" t="s">
        <v>74</v>
      </c>
      <c r="F257" s="36" t="s">
        <v>12</v>
      </c>
      <c r="G257" s="57" t="s">
        <v>1161</v>
      </c>
      <c r="H257" s="53">
        <v>0.44444444444444442</v>
      </c>
      <c r="I257" s="6" t="str">
        <f>LEFT(Table1[[#This Row],[تاریخ توقف]],4)</f>
        <v>1404</v>
      </c>
      <c r="J257" s="6" t="str">
        <f>VLOOKUP(Table1[[#This Row],[ماه توقف]],Table2[],3,0)</f>
        <v>پاییز</v>
      </c>
      <c r="K257" s="3">
        <f>_xlfn.NUMBERVALUE(RIGHT(LEFT(Table1[[#This Row],[تاریخ توقف]],7),2))</f>
        <v>8</v>
      </c>
      <c r="L257" s="3" t="str">
        <f>RIGHT(LEFT(Table1[[#This Row],[تاریخ توقف]],10),2)</f>
        <v>26</v>
      </c>
      <c r="M257" s="3">
        <f>HOUR(Table1[[#This Row],[زمان شروع توقف]])</f>
        <v>10</v>
      </c>
      <c r="N257" s="3">
        <f>MINUTE(Table1[[#This Row],[زمان شروع توقف]])</f>
        <v>40</v>
      </c>
      <c r="O257" s="3">
        <f>((Table1[[#This Row],[سال توقف]]*365+IF(Table1[[#This Row],[ماه توقف]]&lt;7,(Table1[[#This Row],[ماه توقف]]-1)*31,6*31+(Table1[[#This Row],[ماه توقف]]-6-1)*30)+(Table1[[#This Row],[روز توقف]])-1)*24+Table1[[#This Row],[ساعت توقف2]])*60+Table1[[#This Row],[دقیقه توقف]]</f>
        <v>738290080</v>
      </c>
      <c r="P257" s="57" t="s">
        <v>1161</v>
      </c>
      <c r="Q257" s="53">
        <v>0.45833333333333331</v>
      </c>
      <c r="R257" s="3" t="str">
        <f>LEFT(Table1[[#This Row],[تاریخ پایان توقف]],4)</f>
        <v>1404</v>
      </c>
      <c r="S257" s="3" t="str">
        <f>_xlfn.IFNA(VLOOKUP(Table1[[#This Row],[ماه رفع توقف]],Table2[],3,0),"در حال تعمیر")</f>
        <v>پاییز</v>
      </c>
      <c r="T257" s="3">
        <f>_xlfn.NUMBERVALUE(RIGHT(LEFT(Table1[[#This Row],[تاریخ پایان توقف]],7),2))</f>
        <v>8</v>
      </c>
      <c r="U257" s="3" t="str">
        <f>RIGHT(LEFT(Table1[[#This Row],[تاریخ پایان توقف]],10),2)</f>
        <v>26</v>
      </c>
      <c r="V257" s="3">
        <f>HOUR(Table1[[#This Row],[زمان پایان توقف]])</f>
        <v>11</v>
      </c>
      <c r="W257" s="3">
        <f>MINUTE(Table1[[#This Row],[زمان پایان توقف]])</f>
        <v>0</v>
      </c>
      <c r="X25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738290100</v>
      </c>
      <c r="Y257" s="42" t="s">
        <v>1210</v>
      </c>
      <c r="Z257" s="83">
        <f>IFERROR((IF(Table1[[#This Row],[تاریخ پایان توقف]]&lt;&gt;"",Table1[[#This Row],[زمان رفع توقف]]-Table1[[#This Row],[زمان توقف]],"")/60),"")</f>
        <v>0.33333333333333331</v>
      </c>
      <c r="AA257" s="3">
        <f>VLOOKUP(E257,Table4[],4,0)</f>
        <v>24</v>
      </c>
      <c r="AB257" s="3">
        <f>VLOOKUP(E257,Table4[],5,0)</f>
        <v>0.2</v>
      </c>
      <c r="AC257" s="3">
        <v>360</v>
      </c>
      <c r="AD257" s="3">
        <f>VLOOKUP(E257,Table4[],7,0)</f>
        <v>720</v>
      </c>
      <c r="AE257" s="83">
        <f>IF(Table1[[#This Row],[زمان آخرین رفع توقف قبل از توقف فعلی]]="","",(Table1[[#This Row],[زمان توقف]]-Table1[[#This Row],[زمان آخرین رفع توقف قبل از توقف فعلی]])/60)</f>
        <v>116.16666666666667</v>
      </c>
      <c r="AF25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738283110</v>
      </c>
    </row>
    <row r="258" spans="1:32">
      <c r="A258" s="36">
        <v>259</v>
      </c>
      <c r="B258" s="36" t="s">
        <v>98</v>
      </c>
      <c r="C258" s="36" t="s">
        <v>1130</v>
      </c>
      <c r="D258" s="36" t="s">
        <v>44</v>
      </c>
      <c r="E258" s="85" t="s">
        <v>73</v>
      </c>
      <c r="F258" s="36" t="s">
        <v>12</v>
      </c>
      <c r="G258" s="57" t="s">
        <v>1162</v>
      </c>
      <c r="H258" s="53">
        <v>0.47916666666666669</v>
      </c>
      <c r="I258" s="6" t="str">
        <f>LEFT(Table1[[#This Row],[تاریخ توقف]],4)</f>
        <v>1404</v>
      </c>
      <c r="J258" s="6" t="str">
        <f>VLOOKUP(Table1[[#This Row],[ماه توقف]],Table2[],3,0)</f>
        <v>پاییز</v>
      </c>
      <c r="K258" s="3">
        <f>_xlfn.NUMBERVALUE(RIGHT(LEFT(Table1[[#This Row],[تاریخ توقف]],7),2))</f>
        <v>8</v>
      </c>
      <c r="L258" s="3" t="str">
        <f>RIGHT(LEFT(Table1[[#This Row],[تاریخ توقف]],10),2)</f>
        <v>27</v>
      </c>
      <c r="M258" s="3">
        <f>HOUR(Table1[[#This Row],[زمان شروع توقف]])</f>
        <v>11</v>
      </c>
      <c r="N258" s="3">
        <f>MINUTE(Table1[[#This Row],[زمان شروع توقف]])</f>
        <v>30</v>
      </c>
      <c r="O258" s="3">
        <f>((Table1[[#This Row],[سال توقف]]*365+IF(Table1[[#This Row],[ماه توقف]]&lt;7,(Table1[[#This Row],[ماه توقف]]-1)*31,6*31+(Table1[[#This Row],[ماه توقف]]-6-1)*30)+(Table1[[#This Row],[روز توقف]])-1)*24+Table1[[#This Row],[ساعت توقف2]])*60+Table1[[#This Row],[دقیقه توقف]]</f>
        <v>738291570</v>
      </c>
      <c r="P258" s="57" t="s">
        <v>1163</v>
      </c>
      <c r="Q258" s="53">
        <v>0.35694444444444445</v>
      </c>
      <c r="R258" s="3" t="str">
        <f>LEFT(Table1[[#This Row],[تاریخ پایان توقف]],4)</f>
        <v>1404</v>
      </c>
      <c r="S258" s="3" t="str">
        <f>_xlfn.IFNA(VLOOKUP(Table1[[#This Row],[ماه رفع توقف]],Table2[],3,0),"در حال تعمیر")</f>
        <v>پاییز</v>
      </c>
      <c r="T258" s="3">
        <f>_xlfn.NUMBERVALUE(RIGHT(LEFT(Table1[[#This Row],[تاریخ پایان توقف]],7),2))</f>
        <v>8</v>
      </c>
      <c r="U258" s="3" t="str">
        <f>RIGHT(LEFT(Table1[[#This Row],[تاریخ پایان توقف]],10),2)</f>
        <v>28</v>
      </c>
      <c r="V258" s="3">
        <f>HOUR(Table1[[#This Row],[زمان پایان توقف]])</f>
        <v>8</v>
      </c>
      <c r="W258" s="3">
        <f>MINUTE(Table1[[#This Row],[زمان پایان توقف]])</f>
        <v>34</v>
      </c>
      <c r="X25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738292834</v>
      </c>
      <c r="Y258" s="42" t="s">
        <v>1211</v>
      </c>
      <c r="Z258" s="83">
        <f>IFERROR((IF(Table1[[#This Row],[تاریخ پایان توقف]]&lt;&gt;"",Table1[[#This Row],[زمان رفع توقف]]-Table1[[#This Row],[زمان توقف]],"")/60),"")</f>
        <v>21.066666666666666</v>
      </c>
      <c r="AA258" s="3">
        <f>VLOOKUP(E258,Table4[],4,0)</f>
        <v>24</v>
      </c>
      <c r="AB258" s="3">
        <f>VLOOKUP(E258,Table4[],5,0)</f>
        <v>0.2</v>
      </c>
      <c r="AC258" s="3">
        <v>360</v>
      </c>
      <c r="AD258" s="3">
        <f>VLOOKUP(E258,Table4[],7,0)</f>
        <v>720</v>
      </c>
      <c r="AE258" s="83">
        <f>IF(Table1[[#This Row],[زمان آخرین رفع توقف قبل از توقف فعلی]]="","",(Table1[[#This Row],[زمان توقف]]-Table1[[#This Row],[زمان آخرین رفع توقف قبل از توقف فعلی]])/60)</f>
        <v>792.25</v>
      </c>
      <c r="AF25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738244035</v>
      </c>
    </row>
    <row r="259" spans="1:32">
      <c r="A259" s="36">
        <v>260</v>
      </c>
      <c r="B259" s="36" t="s">
        <v>98</v>
      </c>
      <c r="C259" s="36" t="s">
        <v>1123</v>
      </c>
      <c r="D259" s="36" t="s">
        <v>120</v>
      </c>
      <c r="E259" s="85" t="s">
        <v>122</v>
      </c>
      <c r="F259" s="36" t="s">
        <v>12</v>
      </c>
      <c r="G259" s="57" t="s">
        <v>1163</v>
      </c>
      <c r="H259" s="53">
        <v>0.39583333333333331</v>
      </c>
      <c r="I259" s="6" t="str">
        <f>LEFT(Table1[[#This Row],[تاریخ توقف]],4)</f>
        <v>1404</v>
      </c>
      <c r="J259" s="6" t="str">
        <f>VLOOKUP(Table1[[#This Row],[ماه توقف]],Table2[],3,0)</f>
        <v>پاییز</v>
      </c>
      <c r="K259" s="3">
        <f>_xlfn.NUMBERVALUE(RIGHT(LEFT(Table1[[#This Row],[تاریخ توقف]],7),2))</f>
        <v>8</v>
      </c>
      <c r="L259" s="3" t="str">
        <f>RIGHT(LEFT(Table1[[#This Row],[تاریخ توقف]],10),2)</f>
        <v>28</v>
      </c>
      <c r="M259" s="3">
        <f>HOUR(Table1[[#This Row],[زمان شروع توقف]])</f>
        <v>9</v>
      </c>
      <c r="N259" s="3">
        <f>MINUTE(Table1[[#This Row],[زمان شروع توقف]])</f>
        <v>30</v>
      </c>
      <c r="O259" s="3">
        <f>((Table1[[#This Row],[سال توقف]]*365+IF(Table1[[#This Row],[ماه توقف]]&lt;7,(Table1[[#This Row],[ماه توقف]]-1)*31,6*31+(Table1[[#This Row],[ماه توقف]]-6-1)*30)+(Table1[[#This Row],[روز توقف]])-1)*24+Table1[[#This Row],[ساعت توقف2]])*60+Table1[[#This Row],[دقیقه توقف]]</f>
        <v>738292890</v>
      </c>
      <c r="P259" s="57" t="s">
        <v>1163</v>
      </c>
      <c r="Q259" s="53">
        <v>0.45833333333333331</v>
      </c>
      <c r="R259" s="3" t="str">
        <f>LEFT(Table1[[#This Row],[تاریخ پایان توقف]],4)</f>
        <v>1404</v>
      </c>
      <c r="S259" s="3" t="str">
        <f>_xlfn.IFNA(VLOOKUP(Table1[[#This Row],[ماه رفع توقف]],Table2[],3,0),"در حال تعمیر")</f>
        <v>پاییز</v>
      </c>
      <c r="T259" s="3">
        <f>_xlfn.NUMBERVALUE(RIGHT(LEFT(Table1[[#This Row],[تاریخ پایان توقف]],7),2))</f>
        <v>8</v>
      </c>
      <c r="U259" s="3" t="str">
        <f>RIGHT(LEFT(Table1[[#This Row],[تاریخ پایان توقف]],10),2)</f>
        <v>28</v>
      </c>
      <c r="V259" s="3">
        <f>HOUR(Table1[[#This Row],[زمان پایان توقف]])</f>
        <v>11</v>
      </c>
      <c r="W259" s="3">
        <f>MINUTE(Table1[[#This Row],[زمان پایان توقف]])</f>
        <v>0</v>
      </c>
      <c r="X25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738292980</v>
      </c>
      <c r="Y259" s="42" t="s">
        <v>1184</v>
      </c>
      <c r="Z259" s="83">
        <f>IFERROR((IF(Table1[[#This Row],[تاریخ پایان توقف]]&lt;&gt;"",Table1[[#This Row],[زمان رفع توقف]]-Table1[[#This Row],[زمان توقف]],"")/60),"")</f>
        <v>1.5</v>
      </c>
      <c r="AA259" s="3">
        <f>VLOOKUP(E259,Table4[],4,0)</f>
        <v>24</v>
      </c>
      <c r="AB259" s="3">
        <f>VLOOKUP(E259,Table4[],5,0)</f>
        <v>0.2</v>
      </c>
      <c r="AC259" s="3">
        <v>360</v>
      </c>
      <c r="AD259" s="3">
        <f>VLOOKUP(E259,Table4[],7,0)</f>
        <v>720</v>
      </c>
      <c r="AE259" s="83">
        <f>IF(Table1[[#This Row],[زمان آخرین رفع توقف قبل از توقف فعلی]]="","",(Table1[[#This Row],[زمان توقف]]-Table1[[#This Row],[زمان آخرین رفع توقف قبل از توقف فعلی]])/60)</f>
        <v>189.5</v>
      </c>
      <c r="AF25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738281520</v>
      </c>
    </row>
    <row r="260" spans="1:32">
      <c r="A260" s="36">
        <v>261</v>
      </c>
      <c r="B260" s="36" t="s">
        <v>98</v>
      </c>
      <c r="C260" s="36" t="s">
        <v>1050</v>
      </c>
      <c r="D260" s="36" t="s">
        <v>1095</v>
      </c>
      <c r="E260" s="85" t="s">
        <v>1133</v>
      </c>
      <c r="F260" s="36" t="s">
        <v>12</v>
      </c>
      <c r="G260" s="57" t="s">
        <v>1164</v>
      </c>
      <c r="H260" s="53">
        <v>0.71180555555555547</v>
      </c>
      <c r="I260" s="6" t="str">
        <f>LEFT(Table1[[#This Row],[تاریخ توقف]],4)</f>
        <v>1404</v>
      </c>
      <c r="J260" s="6" t="str">
        <f>VLOOKUP(Table1[[#This Row],[ماه توقف]],Table2[],3,0)</f>
        <v>پاییز</v>
      </c>
      <c r="K260" s="3">
        <f>_xlfn.NUMBERVALUE(RIGHT(LEFT(Table1[[#This Row],[تاریخ توقف]],7),2))</f>
        <v>9</v>
      </c>
      <c r="L260" s="3" t="str">
        <f>RIGHT(LEFT(Table1[[#This Row],[تاریخ توقف]],10),2)</f>
        <v>05</v>
      </c>
      <c r="M260" s="3">
        <f>HOUR(Table1[[#This Row],[زمان شروع توقف]])</f>
        <v>17</v>
      </c>
      <c r="N260" s="3">
        <f>MINUTE(Table1[[#This Row],[زمان شروع توقف]])</f>
        <v>5</v>
      </c>
      <c r="O260" s="3">
        <f>((Table1[[#This Row],[سال توقف]]*365+IF(Table1[[#This Row],[ماه توقف]]&lt;7,(Table1[[#This Row],[ماه توقف]]-1)*31,6*31+(Table1[[#This Row],[ماه توقف]]-6-1)*30)+(Table1[[#This Row],[روز توقف]])-1)*24+Table1[[#This Row],[ساعت توقف2]])*60+Table1[[#This Row],[دقیقه توقف]]</f>
        <v>738303425</v>
      </c>
      <c r="P260" s="57" t="s">
        <v>1164</v>
      </c>
      <c r="Q260" s="53">
        <v>0.84583333333333333</v>
      </c>
      <c r="R260" s="3" t="str">
        <f>LEFT(Table1[[#This Row],[تاریخ پایان توقف]],4)</f>
        <v>1404</v>
      </c>
      <c r="S260" s="3" t="str">
        <f>_xlfn.IFNA(VLOOKUP(Table1[[#This Row],[ماه رفع توقف]],Table2[],3,0),"در حال تعمیر")</f>
        <v>پاییز</v>
      </c>
      <c r="T260" s="3">
        <f>_xlfn.NUMBERVALUE(RIGHT(LEFT(Table1[[#This Row],[تاریخ پایان توقف]],7),2))</f>
        <v>9</v>
      </c>
      <c r="U260" s="3" t="str">
        <f>RIGHT(LEFT(Table1[[#This Row],[تاریخ پایان توقف]],10),2)</f>
        <v>05</v>
      </c>
      <c r="V260" s="3">
        <f>HOUR(Table1[[#This Row],[زمان پایان توقف]])</f>
        <v>20</v>
      </c>
      <c r="W260" s="3">
        <f>MINUTE(Table1[[#This Row],[زمان پایان توقف]])</f>
        <v>18</v>
      </c>
      <c r="X26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738303618</v>
      </c>
      <c r="Y260" s="42"/>
      <c r="Z260" s="83">
        <f>IFERROR((IF(Table1[[#This Row],[تاریخ پایان توقف]]&lt;&gt;"",Table1[[#This Row],[زمان رفع توقف]]-Table1[[#This Row],[زمان توقف]],"")/60),"")</f>
        <v>3.2166666666666668</v>
      </c>
      <c r="AA260" s="3">
        <f>VLOOKUP(E260,Table4[],4,0)</f>
        <v>24</v>
      </c>
      <c r="AB260" s="3">
        <f>VLOOKUP(E260,Table4[],5,0)</f>
        <v>0.2</v>
      </c>
      <c r="AC260" s="3">
        <v>360</v>
      </c>
      <c r="AD260" s="3">
        <f>VLOOKUP(E260,Table4[],7,0)</f>
        <v>720</v>
      </c>
      <c r="AE260" s="83">
        <f>IF(Table1[[#This Row],[زمان آخرین رفع توقف قبل از توقف فعلی]]="","",(Table1[[#This Row],[زمان توقف]]-Table1[[#This Row],[زمان آخرین رفع توقف قبل از توقف فعلی]])/60)</f>
        <v>486.16666666666669</v>
      </c>
      <c r="AF26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738274255</v>
      </c>
    </row>
    <row r="261" spans="1:32">
      <c r="A261" s="36">
        <v>262</v>
      </c>
      <c r="B261" s="36" t="s">
        <v>98</v>
      </c>
      <c r="C261" s="36" t="s">
        <v>1120</v>
      </c>
      <c r="D261" s="36" t="s">
        <v>45</v>
      </c>
      <c r="E261" s="85" t="s">
        <v>74</v>
      </c>
      <c r="F261" s="36" t="s">
        <v>12</v>
      </c>
      <c r="G261" s="57" t="s">
        <v>1165</v>
      </c>
      <c r="H261" s="53">
        <v>0.97222222222222221</v>
      </c>
      <c r="I261" s="6" t="str">
        <f>LEFT(Table1[[#This Row],[تاریخ توقف]],4)</f>
        <v>1404</v>
      </c>
      <c r="J261" s="6" t="str">
        <f>VLOOKUP(Table1[[#This Row],[ماه توقف]],Table2[],3,0)</f>
        <v>پاییز</v>
      </c>
      <c r="K261" s="3">
        <f>_xlfn.NUMBERVALUE(RIGHT(LEFT(Table1[[#This Row],[تاریخ توقف]],7),2))</f>
        <v>9</v>
      </c>
      <c r="L261" s="3" t="str">
        <f>RIGHT(LEFT(Table1[[#This Row],[تاریخ توقف]],10),2)</f>
        <v>06</v>
      </c>
      <c r="M261" s="3">
        <f>HOUR(Table1[[#This Row],[زمان شروع توقف]])</f>
        <v>23</v>
      </c>
      <c r="N261" s="3">
        <f>MINUTE(Table1[[#This Row],[زمان شروع توقف]])</f>
        <v>20</v>
      </c>
      <c r="O261" s="3">
        <f>((Table1[[#This Row],[سال توقف]]*365+IF(Table1[[#This Row],[ماه توقف]]&lt;7,(Table1[[#This Row],[ماه توقف]]-1)*31,6*31+(Table1[[#This Row],[ماه توقف]]-6-1)*30)+(Table1[[#This Row],[روز توقف]])-1)*24+Table1[[#This Row],[ساعت توقف2]])*60+Table1[[#This Row],[دقیقه توقف]]</f>
        <v>738305240</v>
      </c>
      <c r="P261" s="57" t="s">
        <v>1165</v>
      </c>
      <c r="Q261" s="53">
        <v>0.98263888888888884</v>
      </c>
      <c r="R261" s="3" t="str">
        <f>LEFT(Table1[[#This Row],[تاریخ پایان توقف]],4)</f>
        <v>1404</v>
      </c>
      <c r="S261" s="3" t="str">
        <f>_xlfn.IFNA(VLOOKUP(Table1[[#This Row],[ماه رفع توقف]],Table2[],3,0),"در حال تعمیر")</f>
        <v>پاییز</v>
      </c>
      <c r="T261" s="3">
        <f>_xlfn.NUMBERVALUE(RIGHT(LEFT(Table1[[#This Row],[تاریخ پایان توقف]],7),2))</f>
        <v>9</v>
      </c>
      <c r="U261" s="3" t="str">
        <f>RIGHT(LEFT(Table1[[#This Row],[تاریخ پایان توقف]],10),2)</f>
        <v>06</v>
      </c>
      <c r="V261" s="3">
        <f>HOUR(Table1[[#This Row],[زمان پایان توقف]])</f>
        <v>23</v>
      </c>
      <c r="W261" s="3">
        <f>MINUTE(Table1[[#This Row],[زمان پایان توقف]])</f>
        <v>35</v>
      </c>
      <c r="X26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738305255</v>
      </c>
      <c r="Y261" s="42" t="s">
        <v>1212</v>
      </c>
      <c r="Z261" s="83">
        <f>IFERROR((IF(Table1[[#This Row],[تاریخ پایان توقف]]&lt;&gt;"",Table1[[#This Row],[زمان رفع توقف]]-Table1[[#This Row],[زمان توقف]],"")/60),"")</f>
        <v>0.25</v>
      </c>
      <c r="AA261" s="3">
        <f>VLOOKUP(E261,Table4[],4,0)</f>
        <v>24</v>
      </c>
      <c r="AB261" s="3">
        <f>VLOOKUP(E261,Table4[],5,0)</f>
        <v>0.2</v>
      </c>
      <c r="AC261" s="3">
        <v>360</v>
      </c>
      <c r="AD261" s="3">
        <f>VLOOKUP(E261,Table4[],7,0)</f>
        <v>720</v>
      </c>
      <c r="AE261" s="83">
        <f>IF(Table1[[#This Row],[زمان آخرین رفع توقف قبل از توقف فعلی]]="","",(Table1[[#This Row],[زمان توقف]]-Table1[[#This Row],[زمان آخرین رفع توقف قبل از توقف فعلی]])/60)</f>
        <v>252.33333333333334</v>
      </c>
      <c r="AF26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738290100</v>
      </c>
    </row>
    <row r="262" spans="1:32">
      <c r="A262" s="36">
        <v>263</v>
      </c>
      <c r="B262" s="36" t="s">
        <v>98</v>
      </c>
      <c r="C262" s="36" t="s">
        <v>1115</v>
      </c>
      <c r="D262" s="36" t="s">
        <v>115</v>
      </c>
      <c r="E262" s="85" t="s">
        <v>117</v>
      </c>
      <c r="F262" s="36" t="s">
        <v>12</v>
      </c>
      <c r="G262" s="57" t="s">
        <v>1166</v>
      </c>
      <c r="H262" s="53">
        <v>0.34027777777777773</v>
      </c>
      <c r="I262" s="6" t="str">
        <f>LEFT(Table1[[#This Row],[تاریخ توقف]],4)</f>
        <v>1404</v>
      </c>
      <c r="J262" s="6" t="str">
        <f>VLOOKUP(Table1[[#This Row],[ماه توقف]],Table2[],3,0)</f>
        <v>پاییز</v>
      </c>
      <c r="K262" s="3">
        <f>_xlfn.NUMBERVALUE(RIGHT(LEFT(Table1[[#This Row],[تاریخ توقف]],7),2))</f>
        <v>9</v>
      </c>
      <c r="L262" s="3" t="str">
        <f>RIGHT(LEFT(Table1[[#This Row],[تاریخ توقف]],10),2)</f>
        <v>08</v>
      </c>
      <c r="M262" s="3">
        <f>HOUR(Table1[[#This Row],[زمان شروع توقف]])</f>
        <v>8</v>
      </c>
      <c r="N262" s="3">
        <f>MINUTE(Table1[[#This Row],[زمان شروع توقف]])</f>
        <v>10</v>
      </c>
      <c r="O262" s="3">
        <f>((Table1[[#This Row],[سال توقف]]*365+IF(Table1[[#This Row],[ماه توقف]]&lt;7,(Table1[[#This Row],[ماه توقف]]-1)*31,6*31+(Table1[[#This Row],[ماه توقف]]-6-1)*30)+(Table1[[#This Row],[روز توقف]])-1)*24+Table1[[#This Row],[ساعت توقف2]])*60+Table1[[#This Row],[دقیقه توقف]]</f>
        <v>738307210</v>
      </c>
      <c r="P262" s="57" t="s">
        <v>1166</v>
      </c>
      <c r="Q262" s="53">
        <v>0.46180555555555558</v>
      </c>
      <c r="R262" s="3" t="str">
        <f>LEFT(Table1[[#This Row],[تاریخ پایان توقف]],4)</f>
        <v>1404</v>
      </c>
      <c r="S262" s="3" t="str">
        <f>_xlfn.IFNA(VLOOKUP(Table1[[#This Row],[ماه رفع توقف]],Table2[],3,0),"در حال تعمیر")</f>
        <v>پاییز</v>
      </c>
      <c r="T262" s="3">
        <f>_xlfn.NUMBERVALUE(RIGHT(LEFT(Table1[[#This Row],[تاریخ پایان توقف]],7),2))</f>
        <v>9</v>
      </c>
      <c r="U262" s="3" t="str">
        <f>RIGHT(LEFT(Table1[[#This Row],[تاریخ پایان توقف]],10),2)</f>
        <v>08</v>
      </c>
      <c r="V262" s="3">
        <f>HOUR(Table1[[#This Row],[زمان پایان توقف]])</f>
        <v>11</v>
      </c>
      <c r="W262" s="3">
        <f>MINUTE(Table1[[#This Row],[زمان پایان توقف]])</f>
        <v>5</v>
      </c>
      <c r="X26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738307385</v>
      </c>
      <c r="Y262" s="42" t="s">
        <v>1213</v>
      </c>
      <c r="Z262" s="83">
        <f>IFERROR((IF(Table1[[#This Row],[تاریخ پایان توقف]]&lt;&gt;"",Table1[[#This Row],[زمان رفع توقف]]-Table1[[#This Row],[زمان توقف]],"")/60),"")</f>
        <v>2.9166666666666665</v>
      </c>
      <c r="AA262" s="3">
        <f>VLOOKUP(E262,Table4[],4,0)</f>
        <v>24</v>
      </c>
      <c r="AB262" s="3">
        <f>VLOOKUP(E262,Table4[],5,0)</f>
        <v>0.2</v>
      </c>
      <c r="AC262" s="3">
        <v>360</v>
      </c>
      <c r="AD262" s="3">
        <f>VLOOKUP(E262,Table4[],7,0)</f>
        <v>720</v>
      </c>
      <c r="AE262" s="83">
        <f>IF(Table1[[#This Row],[زمان آخرین رفع توقف قبل از توقف فعلی]]="","",(Table1[[#This Row],[زمان توقف]]-Table1[[#This Row],[زمان آخرین رفع توقف قبل از توقف فعلی]])/60)</f>
        <v>286.16666666666669</v>
      </c>
      <c r="AF26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738290040</v>
      </c>
    </row>
    <row r="263" spans="1:32">
      <c r="A263" s="36">
        <v>264</v>
      </c>
      <c r="B263" s="36" t="s">
        <v>97</v>
      </c>
      <c r="C263" s="36" t="s">
        <v>1127</v>
      </c>
      <c r="D263" s="36" t="s">
        <v>1029</v>
      </c>
      <c r="E263" s="85" t="s">
        <v>279</v>
      </c>
      <c r="F263" s="36" t="s">
        <v>12</v>
      </c>
      <c r="G263" s="57" t="s">
        <v>1167</v>
      </c>
      <c r="H263" s="53">
        <v>0.39583333333333331</v>
      </c>
      <c r="I263" s="6" t="str">
        <f>LEFT(Table1[[#This Row],[تاریخ توقف]],4)</f>
        <v>1404</v>
      </c>
      <c r="J263" s="6" t="str">
        <f>VLOOKUP(Table1[[#This Row],[ماه توقف]],Table2[],3,0)</f>
        <v>پاییز</v>
      </c>
      <c r="K263" s="3">
        <f>_xlfn.NUMBERVALUE(RIGHT(LEFT(Table1[[#This Row],[تاریخ توقف]],7),2))</f>
        <v>9</v>
      </c>
      <c r="L263" s="3" t="str">
        <f>RIGHT(LEFT(Table1[[#This Row],[تاریخ توقف]],10),2)</f>
        <v>09</v>
      </c>
      <c r="M263" s="3">
        <f>HOUR(Table1[[#This Row],[زمان شروع توقف]])</f>
        <v>9</v>
      </c>
      <c r="N263" s="3">
        <f>MINUTE(Table1[[#This Row],[زمان شروع توقف]])</f>
        <v>30</v>
      </c>
      <c r="O263" s="3">
        <f>((Table1[[#This Row],[سال توقف]]*365+IF(Table1[[#This Row],[ماه توقف]]&lt;7,(Table1[[#This Row],[ماه توقف]]-1)*31,6*31+(Table1[[#This Row],[ماه توقف]]-6-1)*30)+(Table1[[#This Row],[روز توقف]])-1)*24+Table1[[#This Row],[ساعت توقف2]])*60+Table1[[#This Row],[دقیقه توقف]]</f>
        <v>738308730</v>
      </c>
      <c r="P263" s="57" t="s">
        <v>1167</v>
      </c>
      <c r="Q263" s="53">
        <v>0.41666666666666669</v>
      </c>
      <c r="R263" s="3" t="str">
        <f>LEFT(Table1[[#This Row],[تاریخ پایان توقف]],4)</f>
        <v>1404</v>
      </c>
      <c r="S263" s="3" t="str">
        <f>_xlfn.IFNA(VLOOKUP(Table1[[#This Row],[ماه رفع توقف]],Table2[],3,0),"در حال تعمیر")</f>
        <v>پاییز</v>
      </c>
      <c r="T263" s="3">
        <f>_xlfn.NUMBERVALUE(RIGHT(LEFT(Table1[[#This Row],[تاریخ پایان توقف]],7),2))</f>
        <v>9</v>
      </c>
      <c r="U263" s="3" t="str">
        <f>RIGHT(LEFT(Table1[[#This Row],[تاریخ پایان توقف]],10),2)</f>
        <v>09</v>
      </c>
      <c r="V263" s="3">
        <f>HOUR(Table1[[#This Row],[زمان پایان توقف]])</f>
        <v>10</v>
      </c>
      <c r="W263" s="3">
        <f>MINUTE(Table1[[#This Row],[زمان پایان توقف]])</f>
        <v>0</v>
      </c>
      <c r="X26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738308760</v>
      </c>
      <c r="Y263" s="42" t="s">
        <v>1214</v>
      </c>
      <c r="Z263" s="83">
        <f>IFERROR((IF(Table1[[#This Row],[تاریخ پایان توقف]]&lt;&gt;"",Table1[[#This Row],[زمان رفع توقف]]-Table1[[#This Row],[زمان توقف]],"")/60),"")</f>
        <v>0.5</v>
      </c>
      <c r="AA263" s="3">
        <f>VLOOKUP(E263,Table4[],4,0)</f>
        <v>24</v>
      </c>
      <c r="AB263" s="3">
        <f>VLOOKUP(E263,Table4[],5,0)</f>
        <v>0.2</v>
      </c>
      <c r="AC263" s="3">
        <v>360</v>
      </c>
      <c r="AD263" s="3">
        <f>VLOOKUP(E263,Table4[],7,0)</f>
        <v>720</v>
      </c>
      <c r="AE263" s="83">
        <f>IF(Table1[[#This Row],[زمان آخرین رفع توقف قبل از توقف فعلی]]="","",(Table1[[#This Row],[زمان توقف]]-Table1[[#This Row],[زمان آخرین رفع توقف قبل از توقف فعلی]])/60)</f>
        <v>455.75</v>
      </c>
      <c r="AF26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738281385</v>
      </c>
    </row>
    <row r="264" spans="1:32">
      <c r="A264" s="36">
        <v>265</v>
      </c>
      <c r="B264" s="36" t="s">
        <v>98</v>
      </c>
      <c r="C264" s="36" t="s">
        <v>1115</v>
      </c>
      <c r="D264" s="36" t="s">
        <v>115</v>
      </c>
      <c r="E264" s="85" t="s">
        <v>117</v>
      </c>
      <c r="F264" s="36" t="s">
        <v>12</v>
      </c>
      <c r="G264" s="57" t="s">
        <v>1167</v>
      </c>
      <c r="H264" s="53">
        <v>0.77083333333333337</v>
      </c>
      <c r="I264" s="6" t="str">
        <f>LEFT(Table1[[#This Row],[تاریخ توقف]],4)</f>
        <v>1404</v>
      </c>
      <c r="J264" s="6" t="str">
        <f>VLOOKUP(Table1[[#This Row],[ماه توقف]],Table2[],3,0)</f>
        <v>پاییز</v>
      </c>
      <c r="K264" s="3">
        <f>_xlfn.NUMBERVALUE(RIGHT(LEFT(Table1[[#This Row],[تاریخ توقف]],7),2))</f>
        <v>9</v>
      </c>
      <c r="L264" s="3" t="str">
        <f>RIGHT(LEFT(Table1[[#This Row],[تاریخ توقف]],10),2)</f>
        <v>09</v>
      </c>
      <c r="M264" s="3">
        <f>HOUR(Table1[[#This Row],[زمان شروع توقف]])</f>
        <v>18</v>
      </c>
      <c r="N264" s="3">
        <f>MINUTE(Table1[[#This Row],[زمان شروع توقف]])</f>
        <v>30</v>
      </c>
      <c r="O264" s="3">
        <f>((Table1[[#This Row],[سال توقف]]*365+IF(Table1[[#This Row],[ماه توقف]]&lt;7,(Table1[[#This Row],[ماه توقف]]-1)*31,6*31+(Table1[[#This Row],[ماه توقف]]-6-1)*30)+(Table1[[#This Row],[روز توقف]])-1)*24+Table1[[#This Row],[ساعت توقف2]])*60+Table1[[#This Row],[دقیقه توقف]]</f>
        <v>738309270</v>
      </c>
      <c r="P264" s="57" t="s">
        <v>1167</v>
      </c>
      <c r="Q264" s="53">
        <v>0.80555555555555547</v>
      </c>
      <c r="R264" s="3" t="str">
        <f>LEFT(Table1[[#This Row],[تاریخ پایان توقف]],4)</f>
        <v>1404</v>
      </c>
      <c r="S264" s="3" t="str">
        <f>_xlfn.IFNA(VLOOKUP(Table1[[#This Row],[ماه رفع توقف]],Table2[],3,0),"در حال تعمیر")</f>
        <v>پاییز</v>
      </c>
      <c r="T264" s="3">
        <f>_xlfn.NUMBERVALUE(RIGHT(LEFT(Table1[[#This Row],[تاریخ پایان توقف]],7),2))</f>
        <v>9</v>
      </c>
      <c r="U264" s="3" t="str">
        <f>RIGHT(LEFT(Table1[[#This Row],[تاریخ پایان توقف]],10),2)</f>
        <v>09</v>
      </c>
      <c r="V264" s="3">
        <f>HOUR(Table1[[#This Row],[زمان پایان توقف]])</f>
        <v>19</v>
      </c>
      <c r="W264" s="3">
        <f>MINUTE(Table1[[#This Row],[زمان پایان توقف]])</f>
        <v>20</v>
      </c>
      <c r="X26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738309320</v>
      </c>
      <c r="Y264" s="42" t="s">
        <v>1215</v>
      </c>
      <c r="Z264" s="83">
        <f>IFERROR((IF(Table1[[#This Row],[تاریخ پایان توقف]]&lt;&gt;"",Table1[[#This Row],[زمان رفع توقف]]-Table1[[#This Row],[زمان توقف]],"")/60),"")</f>
        <v>0.83333333333333337</v>
      </c>
      <c r="AA264" s="3">
        <f>VLOOKUP(E264,Table4[],4,0)</f>
        <v>24</v>
      </c>
      <c r="AB264" s="3">
        <f>VLOOKUP(E264,Table4[],5,0)</f>
        <v>0.2</v>
      </c>
      <c r="AC264" s="3">
        <v>360</v>
      </c>
      <c r="AD264" s="3">
        <f>VLOOKUP(E264,Table4[],7,0)</f>
        <v>720</v>
      </c>
      <c r="AE264" s="83">
        <f>IF(Table1[[#This Row],[زمان آخرین رفع توقف قبل از توقف فعلی]]="","",(Table1[[#This Row],[زمان توقف]]-Table1[[#This Row],[زمان آخرین رفع توقف قبل از توقف فعلی]])/60)</f>
        <v>31.416666666666668</v>
      </c>
      <c r="AF26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738307385</v>
      </c>
    </row>
    <row r="265" spans="1:32">
      <c r="A265" s="36">
        <v>266</v>
      </c>
      <c r="B265" s="36" t="s">
        <v>98</v>
      </c>
      <c r="C265" s="36" t="s">
        <v>1115</v>
      </c>
      <c r="D265" s="36" t="s">
        <v>115</v>
      </c>
      <c r="E265" s="85" t="s">
        <v>117</v>
      </c>
      <c r="F265" s="36" t="s">
        <v>12</v>
      </c>
      <c r="G265" s="57" t="s">
        <v>1168</v>
      </c>
      <c r="H265" s="53">
        <v>1.7361111111111112E-2</v>
      </c>
      <c r="I265" s="6" t="str">
        <f>LEFT(Table1[[#This Row],[تاریخ توقف]],4)</f>
        <v>1404</v>
      </c>
      <c r="J265" s="6" t="str">
        <f>VLOOKUP(Table1[[#This Row],[ماه توقف]],Table2[],3,0)</f>
        <v>پاییز</v>
      </c>
      <c r="K265" s="3">
        <f>_xlfn.NUMBERVALUE(RIGHT(LEFT(Table1[[#This Row],[تاریخ توقف]],7),2))</f>
        <v>9</v>
      </c>
      <c r="L265" s="3" t="str">
        <f>RIGHT(LEFT(Table1[[#This Row],[تاریخ توقف]],10),2)</f>
        <v>11</v>
      </c>
      <c r="M265" s="3">
        <f>HOUR(Table1[[#This Row],[زمان شروع توقف]])</f>
        <v>0</v>
      </c>
      <c r="N265" s="3">
        <f>MINUTE(Table1[[#This Row],[زمان شروع توقف]])</f>
        <v>25</v>
      </c>
      <c r="O265" s="3">
        <f>((Table1[[#This Row],[سال توقف]]*365+IF(Table1[[#This Row],[ماه توقف]]&lt;7,(Table1[[#This Row],[ماه توقف]]-1)*31,6*31+(Table1[[#This Row],[ماه توقف]]-6-1)*30)+(Table1[[#This Row],[روز توقف]])-1)*24+Table1[[#This Row],[ساعت توقف2]])*60+Table1[[#This Row],[دقیقه توقف]]</f>
        <v>738311065</v>
      </c>
      <c r="P265" s="57" t="s">
        <v>1168</v>
      </c>
      <c r="Q265" s="53">
        <v>0.34791666666666665</v>
      </c>
      <c r="R265" s="3" t="str">
        <f>LEFT(Table1[[#This Row],[تاریخ پایان توقف]],4)</f>
        <v>1404</v>
      </c>
      <c r="S265" s="3" t="str">
        <f>_xlfn.IFNA(VLOOKUP(Table1[[#This Row],[ماه رفع توقف]],Table2[],3,0),"در حال تعمیر")</f>
        <v>پاییز</v>
      </c>
      <c r="T265" s="3">
        <f>_xlfn.NUMBERVALUE(RIGHT(LEFT(Table1[[#This Row],[تاریخ پایان توقف]],7),2))</f>
        <v>9</v>
      </c>
      <c r="U265" s="3" t="str">
        <f>RIGHT(LEFT(Table1[[#This Row],[تاریخ پایان توقف]],10),2)</f>
        <v>11</v>
      </c>
      <c r="V265" s="3">
        <f>HOUR(Table1[[#This Row],[زمان پایان توقف]])</f>
        <v>8</v>
      </c>
      <c r="W265" s="3">
        <f>MINUTE(Table1[[#This Row],[زمان پایان توقف]])</f>
        <v>21</v>
      </c>
      <c r="X26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738311541</v>
      </c>
      <c r="Y265" s="42" t="s">
        <v>1216</v>
      </c>
      <c r="Z265" s="83">
        <f>IFERROR((IF(Table1[[#This Row],[تاریخ پایان توقف]]&lt;&gt;"",Table1[[#This Row],[زمان رفع توقف]]-Table1[[#This Row],[زمان توقف]],"")/60),"")</f>
        <v>7.9333333333333336</v>
      </c>
      <c r="AA265" s="3">
        <f>VLOOKUP(E265,Table4[],4,0)</f>
        <v>24</v>
      </c>
      <c r="AB265" s="3">
        <f>VLOOKUP(E265,Table4[],5,0)</f>
        <v>0.2</v>
      </c>
      <c r="AC265" s="3">
        <v>360</v>
      </c>
      <c r="AD265" s="3">
        <f>VLOOKUP(E265,Table4[],7,0)</f>
        <v>720</v>
      </c>
      <c r="AE265" s="83">
        <f>IF(Table1[[#This Row],[زمان آخرین رفع توقف قبل از توقف فعلی]]="","",(Table1[[#This Row],[زمان توقف]]-Table1[[#This Row],[زمان آخرین رفع توقف قبل از توقف فعلی]])/60)</f>
        <v>29.083333333333332</v>
      </c>
      <c r="AF26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738309320</v>
      </c>
    </row>
    <row r="266" spans="1:32">
      <c r="A266" s="36"/>
      <c r="B266" s="36" t="s">
        <v>99</v>
      </c>
      <c r="C266" s="36" t="s">
        <v>1131</v>
      </c>
      <c r="D266" s="36" t="s">
        <v>1132</v>
      </c>
      <c r="E266" s="85" t="s">
        <v>1134</v>
      </c>
      <c r="F266" s="36" t="s">
        <v>12</v>
      </c>
      <c r="G266" s="57" t="s">
        <v>1169</v>
      </c>
      <c r="H266" s="53">
        <v>0.29166666666666669</v>
      </c>
      <c r="I266" s="6" t="str">
        <f>LEFT(Table1[[#This Row],[تاریخ توقف]],4)</f>
        <v>1404</v>
      </c>
      <c r="J266" s="6" t="str">
        <f>VLOOKUP(Table1[[#This Row],[ماه توقف]],Table2[],3,0)</f>
        <v>پاییز</v>
      </c>
      <c r="K266" s="3">
        <f>_xlfn.NUMBERVALUE(RIGHT(LEFT(Table1[[#This Row],[تاریخ توقف]],7),2))</f>
        <v>9</v>
      </c>
      <c r="L266" s="3" t="str">
        <f>RIGHT(LEFT(Table1[[#This Row],[تاریخ توقف]],10),2)</f>
        <v>12</v>
      </c>
      <c r="M266" s="3">
        <f>HOUR(Table1[[#This Row],[زمان شروع توقف]])</f>
        <v>7</v>
      </c>
      <c r="N266" s="3">
        <f>MINUTE(Table1[[#This Row],[زمان شروع توقف]])</f>
        <v>0</v>
      </c>
      <c r="O266" s="3">
        <f>((Table1[[#This Row],[سال توقف]]*365+IF(Table1[[#This Row],[ماه توقف]]&lt;7,(Table1[[#This Row],[ماه توقف]]-1)*31,6*31+(Table1[[#This Row],[ماه توقف]]-6-1)*30)+(Table1[[#This Row],[روز توقف]])-1)*24+Table1[[#This Row],[ساعت توقف2]])*60+Table1[[#This Row],[دقیقه توقف]]</f>
        <v>738312900</v>
      </c>
      <c r="P266" s="57" t="s">
        <v>1169</v>
      </c>
      <c r="Q266" s="53">
        <v>0.34375</v>
      </c>
      <c r="R266" s="3" t="str">
        <f>LEFT(Table1[[#This Row],[تاریخ پایان توقف]],4)</f>
        <v>1404</v>
      </c>
      <c r="S266" s="3" t="str">
        <f>_xlfn.IFNA(VLOOKUP(Table1[[#This Row],[ماه رفع توقف]],Table2[],3,0),"در حال تعمیر")</f>
        <v>پاییز</v>
      </c>
      <c r="T266" s="3">
        <f>_xlfn.NUMBERVALUE(RIGHT(LEFT(Table1[[#This Row],[تاریخ پایان توقف]],7),2))</f>
        <v>9</v>
      </c>
      <c r="U266" s="3" t="str">
        <f>RIGHT(LEFT(Table1[[#This Row],[تاریخ پایان توقف]],10),2)</f>
        <v>12</v>
      </c>
      <c r="V266" s="3">
        <f>HOUR(Table1[[#This Row],[زمان پایان توقف]])</f>
        <v>8</v>
      </c>
      <c r="W266" s="3">
        <f>MINUTE(Table1[[#This Row],[زمان پایان توقف]])</f>
        <v>15</v>
      </c>
      <c r="X26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738312975</v>
      </c>
      <c r="Y266" s="42" t="s">
        <v>1290</v>
      </c>
      <c r="Z266" s="83">
        <f>IFERROR((IF(Table1[[#This Row],[تاریخ پایان توقف]]&lt;&gt;"",Table1[[#This Row],[زمان رفع توقف]]-Table1[[#This Row],[زمان توقف]],"")/60),"")</f>
        <v>1.25</v>
      </c>
      <c r="AA266" s="3">
        <f>VLOOKUP(E266,Table4[],4,0)</f>
        <v>24</v>
      </c>
      <c r="AB266" s="3">
        <f>VLOOKUP(E266,Table4[],5,0)</f>
        <v>0.2</v>
      </c>
      <c r="AC266" s="3">
        <v>360</v>
      </c>
      <c r="AD266" s="3">
        <f>VLOOKUP(E266,Table4[],7,0)</f>
        <v>720</v>
      </c>
      <c r="AE266" s="83" t="str">
        <f>IF(Table1[[#This Row],[زمان آخرین رفع توقف قبل از توقف فعلی]]="","",(Table1[[#This Row],[زمان توقف]]-Table1[[#This Row],[زمان آخرین رفع توقف قبل از توقف فعلی]])/60)</f>
        <v/>
      </c>
      <c r="AF266"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67" spans="1:32">
      <c r="A267" s="36">
        <v>267</v>
      </c>
      <c r="B267" s="36" t="s">
        <v>99</v>
      </c>
      <c r="C267" s="36" t="s">
        <v>1131</v>
      </c>
      <c r="D267" s="36" t="s">
        <v>1132</v>
      </c>
      <c r="E267" s="85" t="s">
        <v>1134</v>
      </c>
      <c r="F267" s="36" t="s">
        <v>12</v>
      </c>
      <c r="G267" s="57" t="s">
        <v>1169</v>
      </c>
      <c r="H267" s="53">
        <v>0.29166666666666669</v>
      </c>
      <c r="I267" s="6" t="str">
        <f>LEFT(Table1[[#This Row],[تاریخ توقف]],4)</f>
        <v>1404</v>
      </c>
      <c r="J267" s="6" t="str">
        <f>VLOOKUP(Table1[[#This Row],[ماه توقف]],Table2[],3,0)</f>
        <v>پاییز</v>
      </c>
      <c r="K267" s="3">
        <f>_xlfn.NUMBERVALUE(RIGHT(LEFT(Table1[[#This Row],[تاریخ توقف]],7),2))</f>
        <v>9</v>
      </c>
      <c r="L267" s="3" t="str">
        <f>RIGHT(LEFT(Table1[[#This Row],[تاریخ توقف]],10),2)</f>
        <v>12</v>
      </c>
      <c r="M267" s="3">
        <f>HOUR(Table1[[#This Row],[زمان شروع توقف]])</f>
        <v>7</v>
      </c>
      <c r="N267" s="3">
        <f>MINUTE(Table1[[#This Row],[زمان شروع توقف]])</f>
        <v>0</v>
      </c>
      <c r="O267" s="3">
        <f>((Table1[[#This Row],[سال توقف]]*365+IF(Table1[[#This Row],[ماه توقف]]&lt;7,(Table1[[#This Row],[ماه توقف]]-1)*31,6*31+(Table1[[#This Row],[ماه توقف]]-6-1)*30)+(Table1[[#This Row],[روز توقف]])-1)*24+Table1[[#This Row],[ساعت توقف2]])*60+Table1[[#This Row],[دقیقه توقف]]</f>
        <v>738312900</v>
      </c>
      <c r="P267" s="57" t="s">
        <v>1169</v>
      </c>
      <c r="Q267" s="53">
        <v>0.34375</v>
      </c>
      <c r="R267" s="3" t="str">
        <f>LEFT(Table1[[#This Row],[تاریخ پایان توقف]],4)</f>
        <v>1404</v>
      </c>
      <c r="S267" s="3" t="str">
        <f>_xlfn.IFNA(VLOOKUP(Table1[[#This Row],[ماه رفع توقف]],Table2[],3,0),"در حال تعمیر")</f>
        <v>پاییز</v>
      </c>
      <c r="T267" s="3">
        <f>_xlfn.NUMBERVALUE(RIGHT(LEFT(Table1[[#This Row],[تاریخ پایان توقف]],7),2))</f>
        <v>9</v>
      </c>
      <c r="U267" s="3" t="str">
        <f>RIGHT(LEFT(Table1[[#This Row],[تاریخ پایان توقف]],10),2)</f>
        <v>12</v>
      </c>
      <c r="V267" s="3">
        <f>HOUR(Table1[[#This Row],[زمان پایان توقف]])</f>
        <v>8</v>
      </c>
      <c r="W267" s="3">
        <f>MINUTE(Table1[[#This Row],[زمان پایان توقف]])</f>
        <v>15</v>
      </c>
      <c r="X26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738312975</v>
      </c>
      <c r="Y267" s="42" t="s">
        <v>1290</v>
      </c>
      <c r="Z267" s="83">
        <f>IFERROR((IF(Table1[[#This Row],[تاریخ پایان توقف]]&lt;&gt;"",Table1[[#This Row],[زمان رفع توقف]]-Table1[[#This Row],[زمان توقف]],"")/60),"")</f>
        <v>1.25</v>
      </c>
      <c r="AA267" s="3">
        <f>VLOOKUP(E267,Table4[],4,0)</f>
        <v>24</v>
      </c>
      <c r="AB267" s="3">
        <f>VLOOKUP(E267,Table4[],5,0)</f>
        <v>0.2</v>
      </c>
      <c r="AC267" s="3">
        <v>360</v>
      </c>
      <c r="AD267" s="3">
        <f>VLOOKUP(E267,Table4[],7,0)</f>
        <v>720</v>
      </c>
      <c r="AE267" s="83" t="str">
        <f>IF(Table1[[#This Row],[زمان آخرین رفع توقف قبل از توقف فعلی]]="","",(Table1[[#This Row],[زمان توقف]]-Table1[[#This Row],[زمان آخرین رفع توقف قبل از توقف فعلی]])/60)</f>
        <v/>
      </c>
      <c r="AF26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68" spans="1:32">
      <c r="A268" s="36">
        <v>268</v>
      </c>
      <c r="B268" s="36" t="s">
        <v>97</v>
      </c>
      <c r="C268" s="36" t="s">
        <v>1343</v>
      </c>
      <c r="D268" s="36" t="s">
        <v>1041</v>
      </c>
      <c r="E268" s="85" t="s">
        <v>59</v>
      </c>
      <c r="F268" s="36" t="s">
        <v>12</v>
      </c>
      <c r="G268" s="57" t="s">
        <v>1291</v>
      </c>
      <c r="H268" s="53">
        <v>0.36805555555555558</v>
      </c>
      <c r="I268" s="6"/>
      <c r="J268" s="6"/>
      <c r="K268" s="3"/>
      <c r="L268" s="3"/>
      <c r="M268" s="3"/>
      <c r="N268" s="3"/>
      <c r="O268" s="3"/>
      <c r="P268" s="57" t="s">
        <v>1292</v>
      </c>
      <c r="Q268" s="53">
        <v>0.47916666666666669</v>
      </c>
      <c r="R268" s="3" t="str">
        <f>LEFT(Table1[[#This Row],[تاریخ پایان توقف]],4)</f>
        <v>1404</v>
      </c>
      <c r="S268" s="3" t="str">
        <f>_xlfn.IFNA(VLOOKUP(Table1[[#This Row],[ماه رفع توقف]],Table2[],3,0),"در حال تعمیر")</f>
        <v>زمستان</v>
      </c>
      <c r="T268" s="3">
        <f>_xlfn.NUMBERVALUE(RIGHT(LEFT(Table1[[#This Row],[تاریخ پایان توقف]],7),2))</f>
        <v>10</v>
      </c>
      <c r="U268" s="3" t="str">
        <f>RIGHT(LEFT(Table1[[#This Row],[تاریخ پایان توقف]],10),2)</f>
        <v>15</v>
      </c>
      <c r="V268" s="3">
        <f>HOUR(Table1[[#This Row],[زمان پایان توقف]])</f>
        <v>11</v>
      </c>
      <c r="W268" s="3">
        <f>MINUTE(Table1[[#This Row],[زمان پایان توقف]])</f>
        <v>30</v>
      </c>
      <c r="X26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738360690</v>
      </c>
      <c r="Y268" s="44"/>
      <c r="Z268" s="83">
        <f>IFERROR((IF(Table1[[#This Row],[تاریخ پایان توقف]]&lt;&gt;"",Table1[[#This Row],[زمان رفع توقف]]-Table1[[#This Row],[زمان توقف]],"")/60),"")</f>
        <v>12306011.5</v>
      </c>
      <c r="AA268" s="3">
        <f>VLOOKUP(E268,Table4[],4,0)</f>
        <v>24</v>
      </c>
      <c r="AB268" s="3">
        <f>VLOOKUP(E268,Table4[],5,0)</f>
        <v>0.2</v>
      </c>
      <c r="AC268" s="3">
        <v>360</v>
      </c>
      <c r="AD268" s="3">
        <f>VLOOKUP(E268,Table4[],7,0)</f>
        <v>720</v>
      </c>
      <c r="AE268" s="83" t="str">
        <f>IF(Table1[[#This Row],[زمان آخرین رفع توقف قبل از توقف فعلی]]="","",(Table1[[#This Row],[زمان توقف]]-Table1[[#This Row],[زمان آخرین رفع توقف قبل از توقف فعلی]])/60)</f>
        <v/>
      </c>
      <c r="AF268"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69" spans="1:32">
      <c r="A269" s="36">
        <v>269</v>
      </c>
      <c r="B269" s="36" t="s">
        <v>98</v>
      </c>
      <c r="C269" s="36" t="s">
        <v>1050</v>
      </c>
      <c r="D269" s="36" t="s">
        <v>1095</v>
      </c>
      <c r="E269" s="85" t="s">
        <v>1133</v>
      </c>
      <c r="F269" s="36" t="s">
        <v>12</v>
      </c>
      <c r="G269" s="57" t="s">
        <v>1293</v>
      </c>
      <c r="H269" s="53">
        <v>0.75</v>
      </c>
      <c r="I269" s="6"/>
      <c r="J269" s="6"/>
      <c r="K269" s="3"/>
      <c r="L269" s="3"/>
      <c r="M269" s="3"/>
      <c r="N269" s="3"/>
      <c r="O269" s="3"/>
      <c r="P269" s="57" t="s">
        <v>1294</v>
      </c>
      <c r="Q269" s="53">
        <v>0.35416666666666669</v>
      </c>
      <c r="R269" s="3" t="str">
        <f>LEFT(Table1[[#This Row],[تاریخ پایان توقف]],4)</f>
        <v>1404</v>
      </c>
      <c r="S269" s="3" t="str">
        <f>_xlfn.IFNA(VLOOKUP(Table1[[#This Row],[ماه رفع توقف]],Table2[],3,0),"در حال تعمیر")</f>
        <v>زمستان</v>
      </c>
      <c r="T269" s="3">
        <f>_xlfn.NUMBERVALUE(RIGHT(LEFT(Table1[[#This Row],[تاریخ پایان توقف]],7),2))</f>
        <v>10</v>
      </c>
      <c r="U269" s="3" t="str">
        <f>RIGHT(LEFT(Table1[[#This Row],[تاریخ پایان توقف]],10),2)</f>
        <v>17</v>
      </c>
      <c r="V269" s="3">
        <f>HOUR(Table1[[#This Row],[زمان پایان توقف]])</f>
        <v>8</v>
      </c>
      <c r="W269" s="3">
        <f>MINUTE(Table1[[#This Row],[زمان پایان توقف]])</f>
        <v>30</v>
      </c>
      <c r="X26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738363390</v>
      </c>
      <c r="Y269" s="44"/>
      <c r="Z269" s="83">
        <f>IFERROR((IF(Table1[[#This Row],[تاریخ پایان توقف]]&lt;&gt;"",Table1[[#This Row],[زمان رفع توقف]]-Table1[[#This Row],[زمان توقف]],"")/60),"")</f>
        <v>12306056.5</v>
      </c>
      <c r="AA269" s="3">
        <f>VLOOKUP(E269,Table4[],4,0)</f>
        <v>24</v>
      </c>
      <c r="AB269" s="3">
        <f>VLOOKUP(E269,Table4[],5,0)</f>
        <v>0.2</v>
      </c>
      <c r="AC269" s="3">
        <v>360</v>
      </c>
      <c r="AD269" s="3">
        <f>VLOOKUP(E269,Table4[],7,0)</f>
        <v>720</v>
      </c>
      <c r="AE269" s="83" t="str">
        <f>IF(Table1[[#This Row],[زمان آخرین رفع توقف قبل از توقف فعلی]]="","",(Table1[[#This Row],[زمان توقف]]-Table1[[#This Row],[زمان آخرین رفع توقف قبل از توقف فعلی]])/60)</f>
        <v/>
      </c>
      <c r="AF269"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0" spans="1:32">
      <c r="A270" s="36">
        <v>270</v>
      </c>
      <c r="B270" s="36" t="s">
        <v>99</v>
      </c>
      <c r="C270" s="36" t="s">
        <v>551</v>
      </c>
      <c r="D270" s="36" t="s">
        <v>1295</v>
      </c>
      <c r="E270" s="85" t="s">
        <v>92</v>
      </c>
      <c r="F270" s="36" t="s">
        <v>12</v>
      </c>
      <c r="G270" s="57" t="s">
        <v>1296</v>
      </c>
      <c r="H270" s="53">
        <v>0.77361111111111114</v>
      </c>
      <c r="I270" s="6"/>
      <c r="J270" s="6"/>
      <c r="K270" s="3"/>
      <c r="L270" s="3"/>
      <c r="M270" s="3"/>
      <c r="N270" s="3"/>
      <c r="O270" s="3"/>
      <c r="P270" s="57" t="s">
        <v>1297</v>
      </c>
      <c r="Q270" s="53">
        <v>0.39583333333333331</v>
      </c>
      <c r="R270" s="3" t="str">
        <f>LEFT(Table1[[#This Row],[تاریخ پایان توقف]],4)</f>
        <v>1404</v>
      </c>
      <c r="S270" s="3" t="str">
        <f>_xlfn.IFNA(VLOOKUP(Table1[[#This Row],[ماه رفع توقف]],Table2[],3,0),"در حال تعمیر")</f>
        <v>زمستان</v>
      </c>
      <c r="T270" s="3">
        <f>_xlfn.NUMBERVALUE(RIGHT(LEFT(Table1[[#This Row],[تاریخ پایان توقف]],7),2))</f>
        <v>10</v>
      </c>
      <c r="U270" s="3" t="str">
        <f>RIGHT(LEFT(Table1[[#This Row],[تاریخ پایان توقف]],10),2)</f>
        <v>20</v>
      </c>
      <c r="V270" s="3">
        <f>HOUR(Table1[[#This Row],[زمان پایان توقف]])</f>
        <v>9</v>
      </c>
      <c r="W270" s="3">
        <f>MINUTE(Table1[[#This Row],[زمان پایان توقف]])</f>
        <v>30</v>
      </c>
      <c r="X27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738367770</v>
      </c>
      <c r="Y270" s="44" t="s">
        <v>1298</v>
      </c>
      <c r="Z270" s="83">
        <f>IFERROR((IF(Table1[[#This Row],[تاریخ پایان توقف]]&lt;&gt;"",Table1[[#This Row],[زمان رفع توقف]]-Table1[[#This Row],[زمان توقف]],"")/60),"")</f>
        <v>12306129.5</v>
      </c>
      <c r="AA270" s="3">
        <f>VLOOKUP(E270,Table4[],4,0)</f>
        <v>24</v>
      </c>
      <c r="AB270" s="3">
        <f>VLOOKUP(E270,Table4[],5,0)</f>
        <v>0.2</v>
      </c>
      <c r="AC270" s="3">
        <v>360</v>
      </c>
      <c r="AD270" s="3">
        <f>VLOOKUP(E270,Table4[],7,0)</f>
        <v>720</v>
      </c>
      <c r="AE270" s="83" t="str">
        <f>IF(Table1[[#This Row],[زمان آخرین رفع توقف قبل از توقف فعلی]]="","",(Table1[[#This Row],[زمان توقف]]-Table1[[#This Row],[زمان آخرین رفع توقف قبل از توقف فعلی]])/60)</f>
        <v/>
      </c>
      <c r="AF270"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1" spans="1:32">
      <c r="A271" s="36">
        <v>271</v>
      </c>
      <c r="B271" s="36" t="s">
        <v>99</v>
      </c>
      <c r="C271" s="36" t="s">
        <v>1341</v>
      </c>
      <c r="D271" s="36"/>
      <c r="E271" s="85" t="s">
        <v>1342</v>
      </c>
      <c r="F271" s="36" t="s">
        <v>12</v>
      </c>
      <c r="G271" s="57" t="s">
        <v>1299</v>
      </c>
      <c r="H271" s="53">
        <v>0.7006944444444444</v>
      </c>
      <c r="I271" s="6"/>
      <c r="J271" s="6"/>
      <c r="K271" s="3"/>
      <c r="L271" s="3"/>
      <c r="M271" s="3"/>
      <c r="N271" s="3"/>
      <c r="O271" s="3"/>
      <c r="P271" s="57" t="s">
        <v>1300</v>
      </c>
      <c r="Q271" s="53">
        <v>0.85416666666666663</v>
      </c>
      <c r="R271" s="3" t="str">
        <f>LEFT(Table1[[#This Row],[تاریخ پایان توقف]],4)</f>
        <v>1404</v>
      </c>
      <c r="S271" s="3" t="str">
        <f>_xlfn.IFNA(VLOOKUP(Table1[[#This Row],[ماه رفع توقف]],Table2[],3,0),"در حال تعمیر")</f>
        <v>زمستان</v>
      </c>
      <c r="T271" s="3">
        <f>_xlfn.NUMBERVALUE(RIGHT(LEFT(Table1[[#This Row],[تاریخ پایان توقف]],7),2))</f>
        <v>10</v>
      </c>
      <c r="U271" s="3" t="str">
        <f>RIGHT(LEFT(Table1[[#This Row],[تاریخ پایان توقف]],10),2)</f>
        <v>23</v>
      </c>
      <c r="V271" s="3">
        <f>HOUR(Table1[[#This Row],[زمان پایان توقف]])</f>
        <v>20</v>
      </c>
      <c r="W271" s="3">
        <f>MINUTE(Table1[[#This Row],[زمان پایان توقف]])</f>
        <v>30</v>
      </c>
      <c r="X27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738372750</v>
      </c>
      <c r="Y271" s="44" t="s">
        <v>1301</v>
      </c>
      <c r="Z271" s="83">
        <f>IFERROR((IF(Table1[[#This Row],[تاریخ پایان توقف]]&lt;&gt;"",Table1[[#This Row],[زمان رفع توقف]]-Table1[[#This Row],[زمان توقف]],"")/60),"")</f>
        <v>12306212.5</v>
      </c>
      <c r="AA271" s="3">
        <f>VLOOKUP(E271,Table4[],4,0)</f>
        <v>24</v>
      </c>
      <c r="AB271" s="3">
        <f>VLOOKUP(E271,Table4[],5,0)</f>
        <v>0.2</v>
      </c>
      <c r="AC271" s="3">
        <v>360</v>
      </c>
      <c r="AD271" s="3">
        <f>VLOOKUP(E271,Table4[],7,0)</f>
        <v>720</v>
      </c>
      <c r="AE271" s="83" t="str">
        <f>IF(Table1[[#This Row],[زمان آخرین رفع توقف قبل از توقف فعلی]]="","",(Table1[[#This Row],[زمان توقف]]-Table1[[#This Row],[زمان آخرین رفع توقف قبل از توقف فعلی]])/60)</f>
        <v/>
      </c>
      <c r="AF271"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2" spans="1:32">
      <c r="A272" s="36">
        <v>272</v>
      </c>
      <c r="B272" s="36" t="s">
        <v>98</v>
      </c>
      <c r="C272" s="36" t="s">
        <v>1120</v>
      </c>
      <c r="D272" s="36" t="s">
        <v>45</v>
      </c>
      <c r="E272" s="85" t="s">
        <v>74</v>
      </c>
      <c r="F272" s="36" t="s">
        <v>12</v>
      </c>
      <c r="G272" s="57" t="s">
        <v>1302</v>
      </c>
      <c r="H272" s="53">
        <v>0.33333333333333331</v>
      </c>
      <c r="I272" s="6"/>
      <c r="J272" s="6"/>
      <c r="K272" s="3"/>
      <c r="L272" s="3"/>
      <c r="M272" s="3"/>
      <c r="N272" s="3"/>
      <c r="O272" s="3"/>
      <c r="P272" s="57" t="s">
        <v>1303</v>
      </c>
      <c r="Q272" s="53">
        <v>0.36041666666666666</v>
      </c>
      <c r="R272" s="3" t="str">
        <f>LEFT(Table1[[#This Row],[تاریخ پایان توقف]],4)</f>
        <v>1404</v>
      </c>
      <c r="S272" s="3" t="str">
        <f>_xlfn.IFNA(VLOOKUP(Table1[[#This Row],[ماه رفع توقف]],Table2[],3,0),"در حال تعمیر")</f>
        <v>زمستان</v>
      </c>
      <c r="T272" s="3">
        <f>_xlfn.NUMBERVALUE(RIGHT(LEFT(Table1[[#This Row],[تاریخ پایان توقف]],7),2))</f>
        <v>10</v>
      </c>
      <c r="U272" s="3" t="str">
        <f>RIGHT(LEFT(Table1[[#This Row],[تاریخ پایان توقف]],10),2)</f>
        <v>19</v>
      </c>
      <c r="V272" s="3">
        <f>HOUR(Table1[[#This Row],[زمان پایان توقف]])</f>
        <v>8</v>
      </c>
      <c r="W272" s="3">
        <f>MINUTE(Table1[[#This Row],[زمان پایان توقف]])</f>
        <v>39</v>
      </c>
      <c r="X27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738366279</v>
      </c>
      <c r="Y272" s="44" t="s">
        <v>1304</v>
      </c>
      <c r="Z272" s="83">
        <f>IFERROR((IF(Table1[[#This Row],[تاریخ پایان توقف]]&lt;&gt;"",Table1[[#This Row],[زمان رفع توقف]]-Table1[[#This Row],[زمان توقف]],"")/60),"")</f>
        <v>12306104.65</v>
      </c>
      <c r="AA272" s="3">
        <f>VLOOKUP(E272,Table4[],4,0)</f>
        <v>24</v>
      </c>
      <c r="AB272" s="3">
        <f>VLOOKUP(E272,Table4[],5,0)</f>
        <v>0.2</v>
      </c>
      <c r="AC272" s="3">
        <v>360</v>
      </c>
      <c r="AD272" s="3">
        <f>VLOOKUP(E272,Table4[],7,0)</f>
        <v>720</v>
      </c>
      <c r="AE272" s="83" t="str">
        <f>IF(Table1[[#This Row],[زمان آخرین رفع توقف قبل از توقف فعلی]]="","",(Table1[[#This Row],[زمان توقف]]-Table1[[#This Row],[زمان آخرین رفع توقف قبل از توقف فعلی]])/60)</f>
        <v/>
      </c>
      <c r="AF272"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3" spans="1:32">
      <c r="A273" s="36">
        <v>273</v>
      </c>
      <c r="B273" s="36" t="s">
        <v>98</v>
      </c>
      <c r="C273" s="36" t="s">
        <v>1115</v>
      </c>
      <c r="D273" s="36" t="s">
        <v>115</v>
      </c>
      <c r="E273" s="85" t="s">
        <v>117</v>
      </c>
      <c r="F273" s="36" t="s">
        <v>12</v>
      </c>
      <c r="G273" s="57" t="s">
        <v>1302</v>
      </c>
      <c r="H273" s="53">
        <v>0.48402777777777778</v>
      </c>
      <c r="I273" s="6"/>
      <c r="J273" s="6"/>
      <c r="K273" s="3"/>
      <c r="L273" s="3"/>
      <c r="M273" s="3"/>
      <c r="N273" s="3"/>
      <c r="O273" s="3"/>
      <c r="P273" s="57" t="s">
        <v>1303</v>
      </c>
      <c r="Q273" s="53">
        <v>0.51736111111111116</v>
      </c>
      <c r="R273" s="3" t="str">
        <f>LEFT(Table1[[#This Row],[تاریخ پایان توقف]],4)</f>
        <v>1404</v>
      </c>
      <c r="S273" s="3" t="str">
        <f>_xlfn.IFNA(VLOOKUP(Table1[[#This Row],[ماه رفع توقف]],Table2[],3,0),"در حال تعمیر")</f>
        <v>زمستان</v>
      </c>
      <c r="T273" s="3">
        <f>_xlfn.NUMBERVALUE(RIGHT(LEFT(Table1[[#This Row],[تاریخ پایان توقف]],7),2))</f>
        <v>10</v>
      </c>
      <c r="U273" s="3" t="str">
        <f>RIGHT(LEFT(Table1[[#This Row],[تاریخ پایان توقف]],10),2)</f>
        <v>19</v>
      </c>
      <c r="V273" s="3">
        <f>HOUR(Table1[[#This Row],[زمان پایان توقف]])</f>
        <v>12</v>
      </c>
      <c r="W273" s="3">
        <f>MINUTE(Table1[[#This Row],[زمان پایان توقف]])</f>
        <v>25</v>
      </c>
      <c r="X27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738366505</v>
      </c>
      <c r="Y273" s="44" t="s">
        <v>1305</v>
      </c>
      <c r="Z273" s="83">
        <f>IFERROR((IF(Table1[[#This Row],[تاریخ پایان توقف]]&lt;&gt;"",Table1[[#This Row],[زمان رفع توقف]]-Table1[[#This Row],[زمان توقف]],"")/60),"")</f>
        <v>12306108.416666666</v>
      </c>
      <c r="AA273" s="3">
        <f>VLOOKUP(E273,Table4[],4,0)</f>
        <v>24</v>
      </c>
      <c r="AB273" s="3">
        <f>VLOOKUP(E273,Table4[],5,0)</f>
        <v>0.2</v>
      </c>
      <c r="AC273" s="3">
        <v>360</v>
      </c>
      <c r="AD273" s="3">
        <f>VLOOKUP(E273,Table4[],7,0)</f>
        <v>720</v>
      </c>
      <c r="AE273" s="83" t="str">
        <f>IF(Table1[[#This Row],[زمان آخرین رفع توقف قبل از توقف فعلی]]="","",(Table1[[#This Row],[زمان توقف]]-Table1[[#This Row],[زمان آخرین رفع توقف قبل از توقف فعلی]])/60)</f>
        <v/>
      </c>
      <c r="AF273"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4" spans="1:32" s="95" customFormat="1" ht="60">
      <c r="A274" s="36">
        <v>274</v>
      </c>
      <c r="B274" s="85" t="s">
        <v>98</v>
      </c>
      <c r="C274" s="85" t="s">
        <v>1123</v>
      </c>
      <c r="D274" s="85" t="s">
        <v>120</v>
      </c>
      <c r="E274" s="85" t="s">
        <v>122</v>
      </c>
      <c r="F274" s="36" t="s">
        <v>12</v>
      </c>
      <c r="G274" s="91" t="s">
        <v>1306</v>
      </c>
      <c r="H274" s="54">
        <v>0.37708333333333333</v>
      </c>
      <c r="I274" s="92"/>
      <c r="J274" s="92"/>
      <c r="K274" s="93"/>
      <c r="L274" s="93"/>
      <c r="M274" s="93"/>
      <c r="N274" s="93"/>
      <c r="O274" s="93"/>
      <c r="P274" s="91" t="s">
        <v>1306</v>
      </c>
      <c r="Q274" s="54">
        <v>0.74930555555555556</v>
      </c>
      <c r="R274" s="93" t="str">
        <f>LEFT(Table1[[#This Row],[تاریخ پایان توقف]],4)</f>
        <v>1404</v>
      </c>
      <c r="S274" s="93" t="str">
        <f>_xlfn.IFNA(VLOOKUP(Table1[[#This Row],[ماه رفع توقف]],Table2[],3,0),"در حال تعمیر")</f>
        <v>پاییز</v>
      </c>
      <c r="T274" s="93">
        <f>_xlfn.NUMBERVALUE(RIGHT(LEFT(Table1[[#This Row],[تاریخ پایان توقف]],7),2))</f>
        <v>9</v>
      </c>
      <c r="U274" s="93" t="str">
        <f>RIGHT(LEFT(Table1[[#This Row],[تاریخ پایان توقف]],10),2)</f>
        <v>25</v>
      </c>
      <c r="V274" s="93">
        <f>HOUR(Table1[[#This Row],[زمان پایان توقف]])</f>
        <v>17</v>
      </c>
      <c r="W274" s="93">
        <f>MINUTE(Table1[[#This Row],[زمان پایان توقف]])</f>
        <v>59</v>
      </c>
      <c r="X274" s="9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738332279</v>
      </c>
      <c r="Y274" s="48" t="s">
        <v>1307</v>
      </c>
      <c r="Z274" s="94">
        <f>IFERROR((IF(Table1[[#This Row],[تاریخ پایان توقف]]&lt;&gt;"",Table1[[#This Row],[زمان رفع توقف]]-Table1[[#This Row],[زمان توقف]],"")/60),"")</f>
        <v>12305537.983333332</v>
      </c>
      <c r="AA274" s="93">
        <f>VLOOKUP(E274,Table4[],4,0)</f>
        <v>24</v>
      </c>
      <c r="AB274" s="93">
        <f>VLOOKUP(E274,Table4[],5,0)</f>
        <v>0.2</v>
      </c>
      <c r="AC274" s="3">
        <v>360</v>
      </c>
      <c r="AD274" s="93">
        <f>VLOOKUP(E274,Table4[],7,0)</f>
        <v>720</v>
      </c>
      <c r="AE274" s="83" t="str">
        <f>IF(Table1[[#This Row],[زمان آخرین رفع توقف قبل از توقف فعلی]]="","",(Table1[[#This Row],[زمان توقف]]-Table1[[#This Row],[زمان آخرین رفع توقف قبل از توقف فعلی]])/60)</f>
        <v/>
      </c>
      <c r="AF274"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5" spans="1:32">
      <c r="A275" s="36">
        <v>275</v>
      </c>
      <c r="B275" s="36" t="s">
        <v>98</v>
      </c>
      <c r="C275" s="36" t="s">
        <v>1115</v>
      </c>
      <c r="D275" s="36" t="s">
        <v>115</v>
      </c>
      <c r="E275" s="85" t="s">
        <v>117</v>
      </c>
      <c r="F275" s="36" t="s">
        <v>12</v>
      </c>
      <c r="G275" s="56" t="s">
        <v>1308</v>
      </c>
      <c r="H275" s="53">
        <v>0.57638888888888884</v>
      </c>
      <c r="I275" s="6"/>
      <c r="J275" s="6"/>
      <c r="K275" s="3"/>
      <c r="L275" s="3"/>
      <c r="M275" s="3"/>
      <c r="N275" s="3"/>
      <c r="O275" s="3"/>
      <c r="P275" s="56" t="s">
        <v>1308</v>
      </c>
      <c r="Q275" s="53">
        <v>0.79097222222222197</v>
      </c>
      <c r="R275" s="3" t="str">
        <f>LEFT(Table1[[#This Row],[تاریخ پایان توقف]],4)</f>
        <v>1404</v>
      </c>
      <c r="S275" s="3" t="str">
        <f>_xlfn.IFNA(VLOOKUP(Table1[[#This Row],[ماه رفع توقف]],Table2[],3,0),"در حال تعمیر")</f>
        <v>زمستان</v>
      </c>
      <c r="T275" s="3">
        <f>_xlfn.NUMBERVALUE(RIGHT(LEFT(Table1[[#This Row],[تاریخ پایان توقف]],7),2))</f>
        <v>10</v>
      </c>
      <c r="U275" s="3" t="str">
        <f>RIGHT(LEFT(Table1[[#This Row],[تاریخ پایان توقف]],10),2)</f>
        <v>07</v>
      </c>
      <c r="V275" s="3">
        <f>HOUR(Table1[[#This Row],[زمان پایان توقف]])</f>
        <v>18</v>
      </c>
      <c r="W275" s="3">
        <f>MINUTE(Table1[[#This Row],[زمان پایان توقف]])</f>
        <v>59</v>
      </c>
      <c r="X27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738349619</v>
      </c>
      <c r="Y275" s="42" t="s">
        <v>1309</v>
      </c>
      <c r="Z275" s="83">
        <f>IFERROR((IF(Table1[[#This Row],[تاریخ پایان توقف]]&lt;&gt;"",Table1[[#This Row],[زمان رفع توقف]]-Table1[[#This Row],[زمان توقف]],"")/60),"")</f>
        <v>12305826.983333332</v>
      </c>
      <c r="AA275" s="3">
        <f>VLOOKUP(E275,Table4[],4,0)</f>
        <v>24</v>
      </c>
      <c r="AB275" s="3">
        <f>VLOOKUP(E275,Table4[],5,0)</f>
        <v>0.2</v>
      </c>
      <c r="AC275" s="3">
        <v>360</v>
      </c>
      <c r="AD275" s="3">
        <f>VLOOKUP(E275,Table4[],7,0)</f>
        <v>720</v>
      </c>
      <c r="AE275" s="83" t="str">
        <f>IF(Table1[[#This Row],[زمان آخرین رفع توقف قبل از توقف فعلی]]="","",(Table1[[#This Row],[زمان توقف]]-Table1[[#This Row],[زمان آخرین رفع توقف قبل از توقف فعلی]])/60)</f>
        <v/>
      </c>
      <c r="AF275"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6" spans="1:32">
      <c r="A276" s="36">
        <v>276</v>
      </c>
      <c r="B276" s="36" t="s">
        <v>98</v>
      </c>
      <c r="C276" s="36" t="s">
        <v>881</v>
      </c>
      <c r="D276" s="36" t="s">
        <v>905</v>
      </c>
      <c r="E276" s="85" t="s">
        <v>91</v>
      </c>
      <c r="F276" s="36" t="s">
        <v>12</v>
      </c>
      <c r="G276" s="56" t="s">
        <v>1310</v>
      </c>
      <c r="H276" s="53">
        <v>0.3659722222222222</v>
      </c>
      <c r="I276" s="6"/>
      <c r="J276" s="6"/>
      <c r="K276" s="3"/>
      <c r="L276" s="3"/>
      <c r="M276" s="3"/>
      <c r="N276" s="3"/>
      <c r="O276" s="3"/>
      <c r="P276" s="56" t="s">
        <v>1310</v>
      </c>
      <c r="Q276" s="53">
        <v>0.83263888888888904</v>
      </c>
      <c r="R276" s="3" t="str">
        <f>LEFT(Table1[[#This Row],[تاریخ پایان توقف]],4)</f>
        <v>1404</v>
      </c>
      <c r="S276" s="3" t="str">
        <f>_xlfn.IFNA(VLOOKUP(Table1[[#This Row],[ماه رفع توقف]],Table2[],3,0),"در حال تعمیر")</f>
        <v>زمستان</v>
      </c>
      <c r="T276" s="3">
        <f>_xlfn.NUMBERVALUE(RIGHT(LEFT(Table1[[#This Row],[تاریخ پایان توقف]],7),2))</f>
        <v>10</v>
      </c>
      <c r="U276" s="3" t="str">
        <f>RIGHT(LEFT(Table1[[#This Row],[تاریخ پایان توقف]],10),2)</f>
        <v>09</v>
      </c>
      <c r="V276" s="3">
        <f>HOUR(Table1[[#This Row],[زمان پایان توقف]])</f>
        <v>19</v>
      </c>
      <c r="W276" s="3">
        <f>MINUTE(Table1[[#This Row],[زمان پایان توقف]])</f>
        <v>59</v>
      </c>
      <c r="X27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738352559</v>
      </c>
      <c r="Y276" s="42" t="s">
        <v>1311</v>
      </c>
      <c r="Z276" s="83">
        <f>IFERROR((IF(Table1[[#This Row],[تاریخ پایان توقف]]&lt;&gt;"",Table1[[#This Row],[زمان رفع توقف]]-Table1[[#This Row],[زمان توقف]],"")/60),"")</f>
        <v>12305875.983333332</v>
      </c>
      <c r="AA276" s="3">
        <f>VLOOKUP(E276,Table4[],4,0)</f>
        <v>24</v>
      </c>
      <c r="AB276" s="3">
        <f>VLOOKUP(E276,Table4[],5,0)</f>
        <v>0.2</v>
      </c>
      <c r="AC276" s="3">
        <v>360</v>
      </c>
      <c r="AD276" s="3">
        <f>VLOOKUP(E276,Table4[],7,0)</f>
        <v>720</v>
      </c>
      <c r="AE276" s="83" t="str">
        <f>IF(Table1[[#This Row],[زمان آخرین رفع توقف قبل از توقف فعلی]]="","",(Table1[[#This Row],[زمان توقف]]-Table1[[#This Row],[زمان آخرین رفع توقف قبل از توقف فعلی]])/60)</f>
        <v/>
      </c>
      <c r="AF276"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7" spans="1:32">
      <c r="A277" s="36">
        <v>277</v>
      </c>
      <c r="B277" s="36" t="s">
        <v>1289</v>
      </c>
      <c r="C277" s="36" t="s">
        <v>597</v>
      </c>
      <c r="D277" s="36"/>
      <c r="E277" s="85" t="s">
        <v>236</v>
      </c>
      <c r="F277" s="36" t="s">
        <v>12</v>
      </c>
      <c r="G277" s="56" t="s">
        <v>1316</v>
      </c>
      <c r="H277" s="53">
        <v>0.2986111111111111</v>
      </c>
      <c r="I277" s="6" t="str">
        <f>LEFT(Table1[[#This Row],[تاریخ توقف]],4)</f>
        <v>1404</v>
      </c>
      <c r="J277" s="6" t="str">
        <f>VLOOKUP(Table1[[#This Row],[ماه توقف]],Table2[],3,0)</f>
        <v>زمستان</v>
      </c>
      <c r="K277" s="3">
        <f>_xlfn.NUMBERVALUE(RIGHT(LEFT(Table1[[#This Row],[تاریخ توقف]],7),2))</f>
        <v>10</v>
      </c>
      <c r="L277" s="3" t="str">
        <f>RIGHT(LEFT(Table1[[#This Row],[تاریخ توقف]],10),2)</f>
        <v>10</v>
      </c>
      <c r="M277" s="3">
        <f>HOUR(Table1[[#This Row],[زمان شروع توقف]])</f>
        <v>7</v>
      </c>
      <c r="N277" s="3">
        <f>MINUTE(Table1[[#This Row],[زمان شروع توقف]])</f>
        <v>10</v>
      </c>
      <c r="O277" s="3">
        <f>((Table1[[#This Row],[سال توقف]]*365+IF(Table1[[#This Row],[ماه توقف]]&lt;7,(Table1[[#This Row],[ماه توقف]]-1)*31,6*31+(Table1[[#This Row],[ماه توقف]]-6-1)*30)+(Table1[[#This Row],[روز توقف]])-1)*24+Table1[[#This Row],[ساعت توقف2]])*60+Table1[[#This Row],[دقیقه توقف]]</f>
        <v>738353230</v>
      </c>
      <c r="P277" s="56" t="s">
        <v>1316</v>
      </c>
      <c r="Q277" s="53">
        <v>0.3263888888888889</v>
      </c>
      <c r="R277" s="3" t="str">
        <f>LEFT(Table1[[#This Row],[تاریخ پایان توقف]],4)</f>
        <v>1404</v>
      </c>
      <c r="S277" s="3" t="str">
        <f>_xlfn.IFNA(VLOOKUP(Table1[[#This Row],[ماه رفع توقف]],Table2[],3,0),"در حال تعمیر")</f>
        <v>زمستان</v>
      </c>
      <c r="T277" s="3">
        <f>_xlfn.NUMBERVALUE(RIGHT(LEFT(Table1[[#This Row],[تاریخ پایان توقف]],7),2))</f>
        <v>10</v>
      </c>
      <c r="U277" s="3" t="str">
        <f>RIGHT(LEFT(Table1[[#This Row],[تاریخ پایان توقف]],10),2)</f>
        <v>10</v>
      </c>
      <c r="V277" s="3">
        <f>HOUR(Table1[[#This Row],[زمان پایان توقف]])</f>
        <v>7</v>
      </c>
      <c r="W277" s="3">
        <f>MINUTE(Table1[[#This Row],[زمان پایان توقف]])</f>
        <v>50</v>
      </c>
      <c r="X27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738353270</v>
      </c>
      <c r="Y277" s="42" t="s">
        <v>1317</v>
      </c>
      <c r="Z277" s="83">
        <f>IFERROR((IF(Table1[[#This Row],[تاریخ پایان توقف]]&lt;&gt;"",Table1[[#This Row],[زمان رفع توقف]]-Table1[[#This Row],[زمان توقف]],"")/60),"")</f>
        <v>0.66666666666666663</v>
      </c>
      <c r="AA277" s="3">
        <f>VLOOKUP(E277,Table4[],4,0)</f>
        <v>24</v>
      </c>
      <c r="AB277" s="3">
        <f>VLOOKUP(E277,Table4[],5,0)</f>
        <v>0.2</v>
      </c>
      <c r="AC277" s="3"/>
      <c r="AD277" s="3">
        <f>VLOOKUP(E277,Table4[],7,0)</f>
        <v>720</v>
      </c>
      <c r="AE277" s="83" t="str">
        <f>IF(Table1[[#This Row],[زمان آخرین رفع توقف قبل از توقف فعلی]]="","",(Table1[[#This Row],[زمان توقف]]-Table1[[#This Row],[زمان آخرین رفع توقف قبل از توقف فعلی]])/60)</f>
        <v/>
      </c>
      <c r="AF277"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78" spans="1:32">
      <c r="A278" s="36">
        <v>278</v>
      </c>
      <c r="B278" s="36" t="s">
        <v>98</v>
      </c>
      <c r="C278" s="36" t="s">
        <v>1115</v>
      </c>
      <c r="D278" s="36" t="s">
        <v>115</v>
      </c>
      <c r="E278" s="85" t="s">
        <v>117</v>
      </c>
      <c r="F278" s="36" t="s">
        <v>12</v>
      </c>
      <c r="G278" s="56" t="s">
        <v>1316</v>
      </c>
      <c r="H278" s="53">
        <v>0.39583333333333331</v>
      </c>
      <c r="I278" s="6" t="str">
        <f>LEFT(Table1[[#This Row],[تاریخ توقف]],4)</f>
        <v>1404</v>
      </c>
      <c r="J278" s="6" t="str">
        <f>VLOOKUP(Table1[[#This Row],[ماه توقف]],Table2[],3,0)</f>
        <v>زمستان</v>
      </c>
      <c r="K278" s="3">
        <f>_xlfn.NUMBERVALUE(RIGHT(LEFT(Table1[[#This Row],[تاریخ توقف]],7),2))</f>
        <v>10</v>
      </c>
      <c r="L278" s="3" t="str">
        <f>RIGHT(LEFT(Table1[[#This Row],[تاریخ توقف]],10),2)</f>
        <v>10</v>
      </c>
      <c r="M278" s="3">
        <f>HOUR(Table1[[#This Row],[زمان شروع توقف]])</f>
        <v>9</v>
      </c>
      <c r="N278" s="3">
        <f>MINUTE(Table1[[#This Row],[زمان شروع توقف]])</f>
        <v>30</v>
      </c>
      <c r="O278" s="3">
        <f>((Table1[[#This Row],[سال توقف]]*365+IF(Table1[[#This Row],[ماه توقف]]&lt;7,(Table1[[#This Row],[ماه توقف]]-1)*31,6*31+(Table1[[#This Row],[ماه توقف]]-6-1)*30)+(Table1[[#This Row],[روز توقف]])-1)*24+Table1[[#This Row],[ساعت توقف2]])*60+Table1[[#This Row],[دقیقه توقف]]</f>
        <v>738353370</v>
      </c>
      <c r="P278" s="56" t="s">
        <v>1316</v>
      </c>
      <c r="Q278" s="53">
        <v>0.46875</v>
      </c>
      <c r="R278" s="3" t="str">
        <f>LEFT(Table1[[#This Row],[تاریخ پایان توقف]],4)</f>
        <v>1404</v>
      </c>
      <c r="S278" s="3" t="str">
        <f>_xlfn.IFNA(VLOOKUP(Table1[[#This Row],[ماه رفع توقف]],Table2[],3,0),"در حال تعمیر")</f>
        <v>زمستان</v>
      </c>
      <c r="T278" s="3">
        <f>_xlfn.NUMBERVALUE(RIGHT(LEFT(Table1[[#This Row],[تاریخ پایان توقف]],7),2))</f>
        <v>10</v>
      </c>
      <c r="U278" s="3" t="str">
        <f>RIGHT(LEFT(Table1[[#This Row],[تاریخ پایان توقف]],10),2)</f>
        <v>10</v>
      </c>
      <c r="V278" s="3">
        <f>HOUR(Table1[[#This Row],[زمان پایان توقف]])</f>
        <v>11</v>
      </c>
      <c r="W278" s="3">
        <f>MINUTE(Table1[[#This Row],[زمان پایان توقف]])</f>
        <v>15</v>
      </c>
      <c r="X27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738353475</v>
      </c>
      <c r="Y278" s="42" t="s">
        <v>1184</v>
      </c>
      <c r="Z278" s="83">
        <f>IFERROR((IF(Table1[[#This Row],[تاریخ پایان توقف]]&lt;&gt;"",Table1[[#This Row],[زمان رفع توقف]]-Table1[[#This Row],[زمان توقف]],"")/60),"")</f>
        <v>1.75</v>
      </c>
      <c r="AA278" s="3">
        <f>VLOOKUP(E278,Table4[],4,0)</f>
        <v>24</v>
      </c>
      <c r="AB278" s="3">
        <f>VLOOKUP(E278,Table4[],5,0)</f>
        <v>0.2</v>
      </c>
      <c r="AC278" s="3"/>
      <c r="AD278" s="3">
        <f>VLOOKUP(E278,Table4[],7,0)</f>
        <v>720</v>
      </c>
      <c r="AE278" s="83">
        <f>IF(Table1[[#This Row],[زمان آخرین رفع توقف قبل از توقف فعلی]]="","",(Table1[[#This Row],[زمان توقف]]-Table1[[#This Row],[زمان آخرین رفع توقف قبل از توقف فعلی]])/60)</f>
        <v>62.516666666666666</v>
      </c>
      <c r="AF27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738349619</v>
      </c>
    </row>
    <row r="279" spans="1:32">
      <c r="A279" s="36">
        <v>279</v>
      </c>
      <c r="B279" s="36" t="s">
        <v>98</v>
      </c>
      <c r="C279" s="36" t="s">
        <v>1120</v>
      </c>
      <c r="D279" s="36" t="s">
        <v>45</v>
      </c>
      <c r="E279" s="85" t="s">
        <v>74</v>
      </c>
      <c r="F279" s="36" t="s">
        <v>12</v>
      </c>
      <c r="G279" s="56" t="s">
        <v>1294</v>
      </c>
      <c r="H279" s="53">
        <v>0.53125</v>
      </c>
      <c r="I279" s="6" t="str">
        <f>LEFT(Table1[[#This Row],[تاریخ توقف]],4)</f>
        <v>1404</v>
      </c>
      <c r="J279" s="6" t="str">
        <f>VLOOKUP(Table1[[#This Row],[ماه توقف]],Table2[],3,0)</f>
        <v>زمستان</v>
      </c>
      <c r="K279" s="3">
        <f>_xlfn.NUMBERVALUE(RIGHT(LEFT(Table1[[#This Row],[تاریخ توقف]],7),2))</f>
        <v>10</v>
      </c>
      <c r="L279" s="3" t="str">
        <f>RIGHT(LEFT(Table1[[#This Row],[تاریخ توقف]],10),2)</f>
        <v>17</v>
      </c>
      <c r="M279" s="3">
        <f>HOUR(Table1[[#This Row],[زمان شروع توقف]])</f>
        <v>12</v>
      </c>
      <c r="N279" s="3">
        <f>MINUTE(Table1[[#This Row],[زمان شروع توقف]])</f>
        <v>45</v>
      </c>
      <c r="O279" s="3">
        <f>((Table1[[#This Row],[سال توقف]]*365+IF(Table1[[#This Row],[ماه توقف]]&lt;7,(Table1[[#This Row],[ماه توقف]]-1)*31,6*31+(Table1[[#This Row],[ماه توقف]]-6-1)*30)+(Table1[[#This Row],[روز توقف]])-1)*24+Table1[[#This Row],[ساعت توقف2]])*60+Table1[[#This Row],[دقیقه توقف]]</f>
        <v>738363645</v>
      </c>
      <c r="P279" s="56" t="s">
        <v>1294</v>
      </c>
      <c r="Q279" s="53">
        <v>0.53819444444444442</v>
      </c>
      <c r="R279" s="3" t="str">
        <f>LEFT(Table1[[#This Row],[تاریخ پایان توقف]],4)</f>
        <v>1404</v>
      </c>
      <c r="S279" s="3" t="str">
        <f>_xlfn.IFNA(VLOOKUP(Table1[[#This Row],[ماه رفع توقف]],Table2[],3,0),"در حال تعمیر")</f>
        <v>زمستان</v>
      </c>
      <c r="T279" s="3">
        <f>_xlfn.NUMBERVALUE(RIGHT(LEFT(Table1[[#This Row],[تاریخ پایان توقف]],7),2))</f>
        <v>10</v>
      </c>
      <c r="U279" s="3" t="str">
        <f>RIGHT(LEFT(Table1[[#This Row],[تاریخ پایان توقف]],10),2)</f>
        <v>17</v>
      </c>
      <c r="V279" s="3">
        <f>HOUR(Table1[[#This Row],[زمان پایان توقف]])</f>
        <v>12</v>
      </c>
      <c r="W279" s="3">
        <f>MINUTE(Table1[[#This Row],[زمان پایان توقف]])</f>
        <v>55</v>
      </c>
      <c r="X27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738363655</v>
      </c>
      <c r="Y279" s="42" t="s">
        <v>1318</v>
      </c>
      <c r="Z279" s="83">
        <f>IFERROR((IF(Table1[[#This Row],[تاریخ پایان توقف]]&lt;&gt;"",Table1[[#This Row],[زمان رفع توقف]]-Table1[[#This Row],[زمان توقف]],"")/60),"")</f>
        <v>0.16666666666666666</v>
      </c>
      <c r="AA279" s="3">
        <f>VLOOKUP(E279,Table4[],4,0)</f>
        <v>24</v>
      </c>
      <c r="AB279" s="3">
        <f>VLOOKUP(E279,Table4[],5,0)</f>
        <v>0.2</v>
      </c>
      <c r="AC279" s="3"/>
      <c r="AD279" s="3">
        <f>VLOOKUP(E279,Table4[],7,0)</f>
        <v>720</v>
      </c>
      <c r="AE279" s="83">
        <f>IF(Table1[[#This Row],[زمان آخرین رفع توقف قبل از توقف فعلی]]="","",(Table1[[#This Row],[زمان توقف]]-Table1[[#This Row],[زمان آخرین رفع توقف قبل از توقف فعلی]])/60)</f>
        <v>973.16666666666663</v>
      </c>
      <c r="AF27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738305255</v>
      </c>
    </row>
    <row r="280" spans="1:32" ht="21.75" customHeight="1">
      <c r="A280" s="36">
        <v>280</v>
      </c>
      <c r="B280" s="36" t="s">
        <v>98</v>
      </c>
      <c r="C280" s="36" t="s">
        <v>1120</v>
      </c>
      <c r="D280" s="36" t="s">
        <v>45</v>
      </c>
      <c r="E280" s="85" t="s">
        <v>74</v>
      </c>
      <c r="F280" s="36" t="s">
        <v>12</v>
      </c>
      <c r="G280" s="56" t="s">
        <v>1319</v>
      </c>
      <c r="H280" s="53">
        <v>0.41249999999999998</v>
      </c>
      <c r="I280" s="6" t="str">
        <f>LEFT(Table1[[#This Row],[تاریخ توقف]],4)</f>
        <v>1404</v>
      </c>
      <c r="J280" s="6" t="str">
        <f>VLOOKUP(Table1[[#This Row],[ماه توقف]],Table2[],3,0)</f>
        <v>زمستان</v>
      </c>
      <c r="K280" s="3">
        <f>_xlfn.NUMBERVALUE(RIGHT(LEFT(Table1[[#This Row],[تاریخ توقف]],7),2))</f>
        <v>10</v>
      </c>
      <c r="L280" s="3" t="str">
        <f>RIGHT(LEFT(Table1[[#This Row],[تاریخ توقف]],10),2)</f>
        <v>18</v>
      </c>
      <c r="M280" s="3">
        <f>HOUR(Table1[[#This Row],[زمان شروع توقف]])</f>
        <v>9</v>
      </c>
      <c r="N280" s="3">
        <f>MINUTE(Table1[[#This Row],[زمان شروع توقف]])</f>
        <v>54</v>
      </c>
      <c r="O280" s="3">
        <f>((Table1[[#This Row],[سال توقف]]*365+IF(Table1[[#This Row],[ماه توقف]]&lt;7,(Table1[[#This Row],[ماه توقف]]-1)*31,6*31+(Table1[[#This Row],[ماه توقف]]-6-1)*30)+(Table1[[#This Row],[روز توقف]])-1)*24+Table1[[#This Row],[ساعت توقف2]])*60+Table1[[#This Row],[دقیقه توقف]]</f>
        <v>738364914</v>
      </c>
      <c r="P280" s="56" t="s">
        <v>1319</v>
      </c>
      <c r="Q280" s="53">
        <v>0.46319444444444446</v>
      </c>
      <c r="R280" s="3" t="str">
        <f>LEFT(Table1[[#This Row],[تاریخ پایان توقف]],4)</f>
        <v>1404</v>
      </c>
      <c r="S280" s="3" t="str">
        <f>_xlfn.IFNA(VLOOKUP(Table1[[#This Row],[ماه رفع توقف]],Table2[],3,0),"در حال تعمیر")</f>
        <v>زمستان</v>
      </c>
      <c r="T280" s="3">
        <f>_xlfn.NUMBERVALUE(RIGHT(LEFT(Table1[[#This Row],[تاریخ پایان توقف]],7),2))</f>
        <v>10</v>
      </c>
      <c r="U280" s="3" t="str">
        <f>RIGHT(LEFT(Table1[[#This Row],[تاریخ پایان توقف]],10),2)</f>
        <v>18</v>
      </c>
      <c r="V280" s="3">
        <f>HOUR(Table1[[#This Row],[زمان پایان توقف]])</f>
        <v>11</v>
      </c>
      <c r="W280" s="3">
        <f>MINUTE(Table1[[#This Row],[زمان پایان توقف]])</f>
        <v>7</v>
      </c>
      <c r="X28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738364987</v>
      </c>
      <c r="Y280" s="50" t="s">
        <v>1320</v>
      </c>
      <c r="Z280" s="83">
        <f>IFERROR((IF(Table1[[#This Row],[تاریخ پایان توقف]]&lt;&gt;"",Table1[[#This Row],[زمان رفع توقف]]-Table1[[#This Row],[زمان توقف]],"")/60),"")</f>
        <v>1.2166666666666666</v>
      </c>
      <c r="AA280" s="3">
        <f>VLOOKUP(E280,Table4[],4,0)</f>
        <v>24</v>
      </c>
      <c r="AB280" s="3">
        <f>VLOOKUP(E280,Table4[],5,0)</f>
        <v>0.2</v>
      </c>
      <c r="AC280" s="3"/>
      <c r="AD280" s="3">
        <f>VLOOKUP(E280,Table4[],7,0)</f>
        <v>720</v>
      </c>
      <c r="AE280" s="83">
        <f>IF(Table1[[#This Row],[زمان آخرین رفع توقف قبل از توقف فعلی]]="","",(Table1[[#This Row],[زمان توقف]]-Table1[[#This Row],[زمان آخرین رفع توقف قبل از توقف فعلی]])/60)</f>
        <v>20.983333333333334</v>
      </c>
      <c r="AF28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738363655</v>
      </c>
    </row>
    <row r="281" spans="1:32">
      <c r="A281" s="36">
        <v>281</v>
      </c>
      <c r="B281" s="36" t="s">
        <v>98</v>
      </c>
      <c r="C281" s="36" t="s">
        <v>1115</v>
      </c>
      <c r="D281" s="36" t="s">
        <v>115</v>
      </c>
      <c r="E281" s="85" t="s">
        <v>117</v>
      </c>
      <c r="F281" s="36" t="s">
        <v>12</v>
      </c>
      <c r="G281" s="56" t="s">
        <v>1321</v>
      </c>
      <c r="H281" s="53">
        <v>0.77083333333333337</v>
      </c>
      <c r="I281" s="6" t="str">
        <f>LEFT(Table1[[#This Row],[تاریخ توقف]],4)</f>
        <v>1404</v>
      </c>
      <c r="J281" s="6" t="str">
        <f>VLOOKUP(Table1[[#This Row],[ماه توقف]],Table2[],3,0)</f>
        <v>زمستان</v>
      </c>
      <c r="K281" s="3">
        <f>_xlfn.NUMBERVALUE(RIGHT(LEFT(Table1[[#This Row],[تاریخ توقف]],7),2))</f>
        <v>11</v>
      </c>
      <c r="L281" s="3" t="str">
        <f>RIGHT(LEFT(Table1[[#This Row],[تاریخ توقف]],10),2)</f>
        <v>01</v>
      </c>
      <c r="M281" s="3">
        <f>HOUR(Table1[[#This Row],[زمان شروع توقف]])</f>
        <v>18</v>
      </c>
      <c r="N281" s="3">
        <f>MINUTE(Table1[[#This Row],[زمان شروع توقف]])</f>
        <v>30</v>
      </c>
      <c r="O281" s="3">
        <f>((Table1[[#This Row],[سال توقف]]*365+IF(Table1[[#This Row],[ماه توقف]]&lt;7,(Table1[[#This Row],[ماه توقف]]-1)*31,6*31+(Table1[[#This Row],[ماه توقف]]-6-1)*30)+(Table1[[#This Row],[روز توقف]])-1)*24+Table1[[#This Row],[ساعت توقف2]])*60+Table1[[#This Row],[دقیقه توقف]]</f>
        <v>738384150</v>
      </c>
      <c r="P281" s="56" t="s">
        <v>1321</v>
      </c>
      <c r="Q281" s="53">
        <v>0.8208333333333333</v>
      </c>
      <c r="R281" s="3" t="str">
        <f>LEFT(Table1[[#This Row],[تاریخ پایان توقف]],4)</f>
        <v>1404</v>
      </c>
      <c r="S281" s="3" t="str">
        <f>_xlfn.IFNA(VLOOKUP(Table1[[#This Row],[ماه رفع توقف]],Table2[],3,0),"در حال تعمیر")</f>
        <v>زمستان</v>
      </c>
      <c r="T281" s="3">
        <f>_xlfn.NUMBERVALUE(RIGHT(LEFT(Table1[[#This Row],[تاریخ پایان توقف]],7),2))</f>
        <v>11</v>
      </c>
      <c r="U281" s="3" t="str">
        <f>RIGHT(LEFT(Table1[[#This Row],[تاریخ پایان توقف]],10),2)</f>
        <v>01</v>
      </c>
      <c r="V281" s="3">
        <f>HOUR(Table1[[#This Row],[زمان پایان توقف]])</f>
        <v>19</v>
      </c>
      <c r="W281" s="3">
        <f>MINUTE(Table1[[#This Row],[زمان پایان توقف]])</f>
        <v>42</v>
      </c>
      <c r="X28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738384222</v>
      </c>
      <c r="Y281" s="42" t="s">
        <v>1322</v>
      </c>
      <c r="Z281" s="83">
        <f>IFERROR((IF(Table1[[#This Row],[تاریخ پایان توقف]]&lt;&gt;"",Table1[[#This Row],[زمان رفع توقف]]-Table1[[#This Row],[زمان توقف]],"")/60),"")</f>
        <v>1.2</v>
      </c>
      <c r="AA281" s="3">
        <f>VLOOKUP(E281,Table4[],4,0)</f>
        <v>24</v>
      </c>
      <c r="AB281" s="3">
        <f>VLOOKUP(E281,Table4[],5,0)</f>
        <v>0.2</v>
      </c>
      <c r="AC281" s="3"/>
      <c r="AD281" s="3">
        <f>VLOOKUP(E281,Table4[],7,0)</f>
        <v>720</v>
      </c>
      <c r="AE281" s="83">
        <f>IF(Table1[[#This Row],[زمان آخرین رفع توقف قبل از توقف فعلی]]="","",(Table1[[#This Row],[زمان توقف]]-Table1[[#This Row],[زمان آخرین رفع توقف قبل از توقف فعلی]])/60)</f>
        <v>294.08333333333331</v>
      </c>
      <c r="AF28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738366505</v>
      </c>
    </row>
    <row r="282" spans="1:32">
      <c r="A282" s="36">
        <v>282</v>
      </c>
      <c r="B282" s="36" t="s">
        <v>98</v>
      </c>
      <c r="C282" s="36" t="s">
        <v>1115</v>
      </c>
      <c r="D282" s="36" t="s">
        <v>115</v>
      </c>
      <c r="E282" s="85" t="s">
        <v>117</v>
      </c>
      <c r="F282" s="36" t="s">
        <v>12</v>
      </c>
      <c r="G282" s="56" t="s">
        <v>1323</v>
      </c>
      <c r="H282" s="53">
        <v>0.56944444444444442</v>
      </c>
      <c r="I282" s="6" t="str">
        <f>LEFT(Table1[[#This Row],[تاریخ توقف]],4)</f>
        <v>1404</v>
      </c>
      <c r="J282" s="6" t="str">
        <f>VLOOKUP(Table1[[#This Row],[ماه توقف]],Table2[],3,0)</f>
        <v>زمستان</v>
      </c>
      <c r="K282" s="3">
        <f>_xlfn.NUMBERVALUE(RIGHT(LEFT(Table1[[#This Row],[تاریخ توقف]],7),2))</f>
        <v>11</v>
      </c>
      <c r="L282" s="3" t="str">
        <f>RIGHT(LEFT(Table1[[#This Row],[تاریخ توقف]],10),2)</f>
        <v>02</v>
      </c>
      <c r="M282" s="3">
        <f>HOUR(Table1[[#This Row],[زمان شروع توقف]])</f>
        <v>13</v>
      </c>
      <c r="N282" s="3">
        <f>MINUTE(Table1[[#This Row],[زمان شروع توقف]])</f>
        <v>40</v>
      </c>
      <c r="O282" s="3">
        <f>((Table1[[#This Row],[سال توقف]]*365+IF(Table1[[#This Row],[ماه توقف]]&lt;7,(Table1[[#This Row],[ماه توقف]]-1)*31,6*31+(Table1[[#This Row],[ماه توقف]]-6-1)*30)+(Table1[[#This Row],[روز توقف]])-1)*24+Table1[[#This Row],[ساعت توقف2]])*60+Table1[[#This Row],[دقیقه توقف]]</f>
        <v>738385300</v>
      </c>
      <c r="P282" s="56" t="s">
        <v>1323</v>
      </c>
      <c r="Q282" s="53">
        <v>0.6791666666666667</v>
      </c>
      <c r="R282" s="3" t="str">
        <f>LEFT(Table1[[#This Row],[تاریخ پایان توقف]],4)</f>
        <v>1404</v>
      </c>
      <c r="S282" s="3" t="str">
        <f>_xlfn.IFNA(VLOOKUP(Table1[[#This Row],[ماه رفع توقف]],Table2[],3,0),"در حال تعمیر")</f>
        <v>زمستان</v>
      </c>
      <c r="T282" s="3">
        <f>_xlfn.NUMBERVALUE(RIGHT(LEFT(Table1[[#This Row],[تاریخ پایان توقف]],7),2))</f>
        <v>11</v>
      </c>
      <c r="U282" s="3" t="str">
        <f>RIGHT(LEFT(Table1[[#This Row],[تاریخ پایان توقف]],10),2)</f>
        <v>02</v>
      </c>
      <c r="V282" s="3">
        <f>HOUR(Table1[[#This Row],[زمان پایان توقف]])</f>
        <v>16</v>
      </c>
      <c r="W282" s="3">
        <f>MINUTE(Table1[[#This Row],[زمان پایان توقف]])</f>
        <v>18</v>
      </c>
      <c r="X282"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738385458</v>
      </c>
      <c r="Y282" s="42" t="s">
        <v>1324</v>
      </c>
      <c r="Z282" s="83">
        <f>IFERROR((IF(Table1[[#This Row],[تاریخ پایان توقف]]&lt;&gt;"",Table1[[#This Row],[زمان رفع توقف]]-Table1[[#This Row],[زمان توقف]],"")/60),"")</f>
        <v>2.6333333333333333</v>
      </c>
      <c r="AA282" s="3">
        <f>VLOOKUP(E282,Table4[],4,0)</f>
        <v>24</v>
      </c>
      <c r="AB282" s="3">
        <f>VLOOKUP(E282,Table4[],5,0)</f>
        <v>0.2</v>
      </c>
      <c r="AC282" s="3"/>
      <c r="AD282" s="3">
        <f>VLOOKUP(E282,Table4[],7,0)</f>
        <v>720</v>
      </c>
      <c r="AE282" s="83">
        <f>IF(Table1[[#This Row],[زمان آخرین رفع توقف قبل از توقف فعلی]]="","",(Table1[[#This Row],[زمان توقف]]-Table1[[#This Row],[زمان آخرین رفع توقف قبل از توقف فعلی]])/60)</f>
        <v>17.966666666666665</v>
      </c>
      <c r="AF28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738384222</v>
      </c>
    </row>
    <row r="283" spans="1:32">
      <c r="A283" s="36">
        <v>282</v>
      </c>
      <c r="B283" s="36" t="s">
        <v>98</v>
      </c>
      <c r="C283" s="36" t="s">
        <v>1123</v>
      </c>
      <c r="D283" s="36" t="s">
        <v>120</v>
      </c>
      <c r="E283" s="85" t="s">
        <v>122</v>
      </c>
      <c r="F283" s="36" t="s">
        <v>12</v>
      </c>
      <c r="G283" s="56" t="s">
        <v>1323</v>
      </c>
      <c r="H283" s="53">
        <v>0.70833333333333337</v>
      </c>
      <c r="I283" s="6" t="str">
        <f>LEFT(Table1[[#This Row],[تاریخ توقف]],4)</f>
        <v>1404</v>
      </c>
      <c r="J283" s="6" t="str">
        <f>VLOOKUP(Table1[[#This Row],[ماه توقف]],Table2[],3,0)</f>
        <v>زمستان</v>
      </c>
      <c r="K283" s="3">
        <f>_xlfn.NUMBERVALUE(RIGHT(LEFT(Table1[[#This Row],[تاریخ توقف]],7),2))</f>
        <v>11</v>
      </c>
      <c r="L283" s="3" t="str">
        <f>RIGHT(LEFT(Table1[[#This Row],[تاریخ توقف]],10),2)</f>
        <v>02</v>
      </c>
      <c r="M283" s="3">
        <f>HOUR(Table1[[#This Row],[زمان شروع توقف]])</f>
        <v>17</v>
      </c>
      <c r="N283" s="3">
        <f>MINUTE(Table1[[#This Row],[زمان شروع توقف]])</f>
        <v>0</v>
      </c>
      <c r="O283" s="3">
        <f>((Table1[[#This Row],[سال توقف]]*365+IF(Table1[[#This Row],[ماه توقف]]&lt;7,(Table1[[#This Row],[ماه توقف]]-1)*31,6*31+(Table1[[#This Row],[ماه توقف]]-6-1)*30)+(Table1[[#This Row],[روز توقف]])-1)*24+Table1[[#This Row],[ساعت توقف2]])*60+Table1[[#This Row],[دقیقه توقف]]</f>
        <v>738385500</v>
      </c>
      <c r="P283" s="56" t="s">
        <v>1323</v>
      </c>
      <c r="Q283" s="53">
        <v>0.78819444444444442</v>
      </c>
      <c r="R283" s="3" t="str">
        <f>LEFT(Table1[[#This Row],[تاریخ پایان توقف]],4)</f>
        <v>1404</v>
      </c>
      <c r="S283" s="3" t="str">
        <f>_xlfn.IFNA(VLOOKUP(Table1[[#This Row],[ماه رفع توقف]],Table2[],3,0),"در حال تعمیر")</f>
        <v>زمستان</v>
      </c>
      <c r="T283" s="3">
        <f>_xlfn.NUMBERVALUE(RIGHT(LEFT(Table1[[#This Row],[تاریخ پایان توقف]],7),2))</f>
        <v>11</v>
      </c>
      <c r="U283" s="3" t="str">
        <f>RIGHT(LEFT(Table1[[#This Row],[تاریخ پایان توقف]],10),2)</f>
        <v>02</v>
      </c>
      <c r="V283" s="3">
        <f>HOUR(Table1[[#This Row],[زمان پایان توقف]])</f>
        <v>18</v>
      </c>
      <c r="W283" s="3">
        <f>MINUTE(Table1[[#This Row],[زمان پایان توقف]])</f>
        <v>55</v>
      </c>
      <c r="X283"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738385615</v>
      </c>
      <c r="Y283" s="42" t="s">
        <v>1325</v>
      </c>
      <c r="Z283" s="83">
        <f>IFERROR((IF(Table1[[#This Row],[تاریخ پایان توقف]]&lt;&gt;"",Table1[[#This Row],[زمان رفع توقف]]-Table1[[#This Row],[زمان توقف]],"")/60),"")</f>
        <v>1.9166666666666667</v>
      </c>
      <c r="AA283" s="3">
        <f>VLOOKUP(E283,Table4[],4,0)</f>
        <v>24</v>
      </c>
      <c r="AB283" s="3">
        <f>VLOOKUP(E283,Table4[],5,0)</f>
        <v>0.2</v>
      </c>
      <c r="AC283" s="3"/>
      <c r="AD283" s="3">
        <f>VLOOKUP(E283,Table4[],7,0)</f>
        <v>720</v>
      </c>
      <c r="AE283" s="83">
        <f>IF(Table1[[#This Row],[زمان آخرین رفع توقف قبل از توقف فعلی]]="","",(Table1[[#This Row],[زمان توقف]]-Table1[[#This Row],[زمان آخرین رفع توقف قبل از توقف فعلی]])/60)</f>
        <v>887.01666666666665</v>
      </c>
      <c r="AF283"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738332279</v>
      </c>
    </row>
    <row r="284" spans="1:32">
      <c r="A284" s="36">
        <v>282</v>
      </c>
      <c r="B284" s="36" t="s">
        <v>98</v>
      </c>
      <c r="C284" s="36" t="s">
        <v>1113</v>
      </c>
      <c r="D284" s="36" t="s">
        <v>106</v>
      </c>
      <c r="E284" s="85" t="s">
        <v>107</v>
      </c>
      <c r="F284" s="36" t="s">
        <v>12</v>
      </c>
      <c r="G284" s="56" t="s">
        <v>1326</v>
      </c>
      <c r="H284" s="53">
        <v>0.66666666666666663</v>
      </c>
      <c r="I284" s="6" t="str">
        <f>LEFT(Table1[[#This Row],[تاریخ توقف]],4)</f>
        <v>1404</v>
      </c>
      <c r="J284" s="6" t="str">
        <f>VLOOKUP(Table1[[#This Row],[ماه توقف]],Table2[],3,0)</f>
        <v>زمستان</v>
      </c>
      <c r="K284" s="3">
        <f>_xlfn.NUMBERVALUE(RIGHT(LEFT(Table1[[#This Row],[تاریخ توقف]],7),2))</f>
        <v>11</v>
      </c>
      <c r="L284" s="3" t="str">
        <f>RIGHT(LEFT(Table1[[#This Row],[تاریخ توقف]],10),2)</f>
        <v>04</v>
      </c>
      <c r="M284" s="3">
        <f>HOUR(Table1[[#This Row],[زمان شروع توقف]])</f>
        <v>16</v>
      </c>
      <c r="N284" s="3">
        <f>MINUTE(Table1[[#This Row],[زمان شروع توقف]])</f>
        <v>0</v>
      </c>
      <c r="O284" s="3">
        <f>((Table1[[#This Row],[سال توقف]]*365+IF(Table1[[#This Row],[ماه توقف]]&lt;7,(Table1[[#This Row],[ماه توقف]]-1)*31,6*31+(Table1[[#This Row],[ماه توقف]]-6-1)*30)+(Table1[[#This Row],[روز توقف]])-1)*24+Table1[[#This Row],[ساعت توقف2]])*60+Table1[[#This Row],[دقیقه توقف]]</f>
        <v>738388320</v>
      </c>
      <c r="P284" s="56" t="s">
        <v>1326</v>
      </c>
      <c r="Q284" s="53">
        <v>0.68472222222222223</v>
      </c>
      <c r="R284" s="3" t="str">
        <f>LEFT(Table1[[#This Row],[تاریخ پایان توقف]],4)</f>
        <v>1404</v>
      </c>
      <c r="S284" s="3" t="str">
        <f>_xlfn.IFNA(VLOOKUP(Table1[[#This Row],[ماه رفع توقف]],Table2[],3,0),"در حال تعمیر")</f>
        <v>زمستان</v>
      </c>
      <c r="T284" s="3">
        <f>_xlfn.NUMBERVALUE(RIGHT(LEFT(Table1[[#This Row],[تاریخ پایان توقف]],7),2))</f>
        <v>11</v>
      </c>
      <c r="U284" s="3" t="str">
        <f>RIGHT(LEFT(Table1[[#This Row],[تاریخ پایان توقف]],10),2)</f>
        <v>04</v>
      </c>
      <c r="V284" s="3">
        <f>HOUR(Table1[[#This Row],[زمان پایان توقف]])</f>
        <v>16</v>
      </c>
      <c r="W284" s="3">
        <f>MINUTE(Table1[[#This Row],[زمان پایان توقف]])</f>
        <v>26</v>
      </c>
      <c r="X284"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738388346</v>
      </c>
      <c r="Y284" s="42" t="s">
        <v>1327</v>
      </c>
      <c r="Z284" s="83">
        <f>IFERROR((IF(Table1[[#This Row],[تاریخ پایان توقف]]&lt;&gt;"",Table1[[#This Row],[زمان رفع توقف]]-Table1[[#This Row],[زمان توقف]],"")/60),"")</f>
        <v>0.43333333333333335</v>
      </c>
      <c r="AA284" s="3">
        <f>VLOOKUP(E284,Table4[],4,0)</f>
        <v>24</v>
      </c>
      <c r="AB284" s="3">
        <f>VLOOKUP(E284,Table4[],5,0)</f>
        <v>0.2</v>
      </c>
      <c r="AC284" s="3"/>
      <c r="AD284" s="3">
        <f>VLOOKUP(E284,Table4[],7,0)</f>
        <v>720</v>
      </c>
      <c r="AE284" s="83">
        <f>IF(Table1[[#This Row],[زمان آخرین رفع توقف قبل از توقف فعلی]]="","",(Table1[[#This Row],[زمان توقف]]-Table1[[#This Row],[زمان آخرین رفع توقف قبل از توقف فعلی]])/60)</f>
        <v>1851.9166666666667</v>
      </c>
      <c r="AF284"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738277205</v>
      </c>
    </row>
    <row r="285" spans="1:32">
      <c r="A285" s="36">
        <v>282</v>
      </c>
      <c r="B285" s="36" t="s">
        <v>98</v>
      </c>
      <c r="C285" s="36" t="s">
        <v>1113</v>
      </c>
      <c r="D285" s="36" t="s">
        <v>106</v>
      </c>
      <c r="E285" s="85" t="s">
        <v>107</v>
      </c>
      <c r="F285" s="36" t="s">
        <v>12</v>
      </c>
      <c r="G285" s="56" t="s">
        <v>1326</v>
      </c>
      <c r="H285" s="53">
        <v>0.66666666666666663</v>
      </c>
      <c r="I285" s="6" t="str">
        <f>LEFT(Table1[[#This Row],[تاریخ توقف]],4)</f>
        <v>1404</v>
      </c>
      <c r="J285" s="6" t="str">
        <f>VLOOKUP(Table1[[#This Row],[ماه توقف]],Table2[],3,0)</f>
        <v>زمستان</v>
      </c>
      <c r="K285" s="3">
        <f>_xlfn.NUMBERVALUE(RIGHT(LEFT(Table1[[#This Row],[تاریخ توقف]],7),2))</f>
        <v>11</v>
      </c>
      <c r="L285" s="3" t="str">
        <f>RIGHT(LEFT(Table1[[#This Row],[تاریخ توقف]],10),2)</f>
        <v>04</v>
      </c>
      <c r="M285" s="3">
        <f>HOUR(Table1[[#This Row],[زمان شروع توقف]])</f>
        <v>16</v>
      </c>
      <c r="N285" s="3">
        <f>MINUTE(Table1[[#This Row],[زمان شروع توقف]])</f>
        <v>0</v>
      </c>
      <c r="O285" s="3">
        <f>((Table1[[#This Row],[سال توقف]]*365+IF(Table1[[#This Row],[ماه توقف]]&lt;7,(Table1[[#This Row],[ماه توقف]]-1)*31,6*31+(Table1[[#This Row],[ماه توقف]]-6-1)*30)+(Table1[[#This Row],[روز توقف]])-1)*24+Table1[[#This Row],[ساعت توقف2]])*60+Table1[[#This Row],[دقیقه توقف]]</f>
        <v>738388320</v>
      </c>
      <c r="P285" s="56" t="s">
        <v>1326</v>
      </c>
      <c r="Q285" s="53">
        <v>0.68472222222222223</v>
      </c>
      <c r="R285" s="3" t="str">
        <f>LEFT(Table1[[#This Row],[تاریخ پایان توقف]],4)</f>
        <v>1404</v>
      </c>
      <c r="S285" s="3" t="str">
        <f>_xlfn.IFNA(VLOOKUP(Table1[[#This Row],[ماه رفع توقف]],Table2[],3,0),"در حال تعمیر")</f>
        <v>زمستان</v>
      </c>
      <c r="T285" s="3">
        <f>_xlfn.NUMBERVALUE(RIGHT(LEFT(Table1[[#This Row],[تاریخ پایان توقف]],7),2))</f>
        <v>11</v>
      </c>
      <c r="U285" s="3" t="str">
        <f>RIGHT(LEFT(Table1[[#This Row],[تاریخ پایان توقف]],10),2)</f>
        <v>04</v>
      </c>
      <c r="V285" s="3">
        <f>HOUR(Table1[[#This Row],[زمان پایان توقف]])</f>
        <v>16</v>
      </c>
      <c r="W285" s="3">
        <f>MINUTE(Table1[[#This Row],[زمان پایان توقف]])</f>
        <v>26</v>
      </c>
      <c r="X285"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738388346</v>
      </c>
      <c r="Y285" s="42" t="s">
        <v>1328</v>
      </c>
      <c r="Z285" s="83">
        <f>IFERROR((IF(Table1[[#This Row],[تاریخ پایان توقف]]&lt;&gt;"",Table1[[#This Row],[زمان رفع توقف]]-Table1[[#This Row],[زمان توقف]],"")/60),"")</f>
        <v>0.43333333333333335</v>
      </c>
      <c r="AA285" s="3">
        <f>VLOOKUP(E285,Table4[],4,0)</f>
        <v>24</v>
      </c>
      <c r="AB285" s="3">
        <f>VLOOKUP(E285,Table4[],5,0)</f>
        <v>0.2</v>
      </c>
      <c r="AC285" s="3"/>
      <c r="AD285" s="3">
        <f>VLOOKUP(E285,Table4[],7,0)</f>
        <v>720</v>
      </c>
      <c r="AE285" s="83">
        <f>IF(Table1[[#This Row],[زمان آخرین رفع توقف قبل از توقف فعلی]]="","",(Table1[[#This Row],[زمان توقف]]-Table1[[#This Row],[زمان آخرین رفع توقف قبل از توقف فعلی]])/60)</f>
        <v>1851.9166666666667</v>
      </c>
      <c r="AF285"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738277205</v>
      </c>
    </row>
    <row r="286" spans="1:32">
      <c r="A286" s="36">
        <v>282</v>
      </c>
      <c r="B286" s="36" t="s">
        <v>98</v>
      </c>
      <c r="C286" s="36" t="s">
        <v>1047</v>
      </c>
      <c r="D286" s="36" t="s">
        <v>1083</v>
      </c>
      <c r="E286" s="85" t="s">
        <v>1330</v>
      </c>
      <c r="F286" s="36" t="s">
        <v>12</v>
      </c>
      <c r="G286" s="56" t="s">
        <v>1329</v>
      </c>
      <c r="H286" s="53">
        <v>0.50902777777777775</v>
      </c>
      <c r="I286" s="6" t="str">
        <f>LEFT(Table1[[#This Row],[تاریخ توقف]],4)</f>
        <v>1404</v>
      </c>
      <c r="J286" s="6" t="str">
        <f>VLOOKUP(Table1[[#This Row],[ماه توقف]],Table2[],3,0)</f>
        <v>زمستان</v>
      </c>
      <c r="K286" s="3">
        <f>_xlfn.NUMBERVALUE(RIGHT(LEFT(Table1[[#This Row],[تاریخ توقف]],7),2))</f>
        <v>11</v>
      </c>
      <c r="L286" s="3" t="str">
        <f>RIGHT(LEFT(Table1[[#This Row],[تاریخ توقف]],10),2)</f>
        <v>07</v>
      </c>
      <c r="M286" s="3">
        <f>HOUR(Table1[[#This Row],[زمان شروع توقف]])</f>
        <v>12</v>
      </c>
      <c r="N286" s="3">
        <f>MINUTE(Table1[[#This Row],[زمان شروع توقف]])</f>
        <v>13</v>
      </c>
      <c r="O286" s="3">
        <f>((Table1[[#This Row],[سال توقف]]*365+IF(Table1[[#This Row],[ماه توقف]]&lt;7,(Table1[[#This Row],[ماه توقف]]-1)*31,6*31+(Table1[[#This Row],[ماه توقف]]-6-1)*30)+(Table1[[#This Row],[روز توقف]])-1)*24+Table1[[#This Row],[ساعت توقف2]])*60+Table1[[#This Row],[دقیقه توقف]]</f>
        <v>738392413</v>
      </c>
      <c r="P286" s="56" t="s">
        <v>1329</v>
      </c>
      <c r="Q286" s="53">
        <v>0.66666666666666663</v>
      </c>
      <c r="R286" s="3" t="str">
        <f>LEFT(Table1[[#This Row],[تاریخ پایان توقف]],4)</f>
        <v>1404</v>
      </c>
      <c r="S286" s="3" t="str">
        <f>_xlfn.IFNA(VLOOKUP(Table1[[#This Row],[ماه رفع توقف]],Table2[],3,0),"در حال تعمیر")</f>
        <v>زمستان</v>
      </c>
      <c r="T286" s="3">
        <f>_xlfn.NUMBERVALUE(RIGHT(LEFT(Table1[[#This Row],[تاریخ پایان توقف]],7),2))</f>
        <v>11</v>
      </c>
      <c r="U286" s="3" t="str">
        <f>RIGHT(LEFT(Table1[[#This Row],[تاریخ پایان توقف]],10),2)</f>
        <v>07</v>
      </c>
      <c r="V286" s="3">
        <f>HOUR(Table1[[#This Row],[زمان پایان توقف]])</f>
        <v>16</v>
      </c>
      <c r="W286" s="3">
        <f>MINUTE(Table1[[#This Row],[زمان پایان توقف]])</f>
        <v>0</v>
      </c>
      <c r="X286"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738392640</v>
      </c>
      <c r="Y286" s="42" t="s">
        <v>1332</v>
      </c>
      <c r="Z286" s="83">
        <f>IFERROR((IF(Table1[[#This Row],[تاریخ پایان توقف]]&lt;&gt;"",Table1[[#This Row],[زمان رفع توقف]]-Table1[[#This Row],[زمان توقف]],"")/60),"")</f>
        <v>3.7833333333333332</v>
      </c>
      <c r="AA286" s="3" t="e">
        <f>VLOOKUP(E286,Table4[],4,0)</f>
        <v>#N/A</v>
      </c>
      <c r="AB286" s="3" t="e">
        <f>VLOOKUP(E286,Table4[],5,0)</f>
        <v>#N/A</v>
      </c>
      <c r="AC286" s="3"/>
      <c r="AD286" s="3" t="e">
        <f>VLOOKUP(E286,Table4[],7,0)</f>
        <v>#N/A</v>
      </c>
      <c r="AE286" s="83" t="str">
        <f>IF(Table1[[#This Row],[زمان آخرین رفع توقف قبل از توقف فعلی]]="","",(Table1[[#This Row],[زمان توقف]]-Table1[[#This Row],[زمان آخرین رفع توقف قبل از توقف فعلی]])/60)</f>
        <v/>
      </c>
      <c r="AF286" s="3" t="str">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
      </c>
    </row>
    <row r="287" spans="1:32">
      <c r="A287" s="36">
        <v>282</v>
      </c>
      <c r="B287" s="36" t="s">
        <v>98</v>
      </c>
      <c r="C287" s="36" t="s">
        <v>1050</v>
      </c>
      <c r="D287" s="36" t="s">
        <v>1095</v>
      </c>
      <c r="E287" s="85" t="s">
        <v>1133</v>
      </c>
      <c r="F287" s="36" t="s">
        <v>12</v>
      </c>
      <c r="G287" s="56" t="s">
        <v>1331</v>
      </c>
      <c r="H287" s="53">
        <v>0.41388888888888886</v>
      </c>
      <c r="I287" s="6" t="str">
        <f>LEFT(Table1[[#This Row],[تاریخ توقف]],4)</f>
        <v>1404</v>
      </c>
      <c r="J287" s="6" t="str">
        <f>VLOOKUP(Table1[[#This Row],[ماه توقف]],Table2[],3,0)</f>
        <v>زمستان</v>
      </c>
      <c r="K287" s="3">
        <f>_xlfn.NUMBERVALUE(RIGHT(LEFT(Table1[[#This Row],[تاریخ توقف]],7),2))</f>
        <v>11</v>
      </c>
      <c r="L287" s="3" t="str">
        <f>RIGHT(LEFT(Table1[[#This Row],[تاریخ توقف]],10),2)</f>
        <v>08</v>
      </c>
      <c r="M287" s="3">
        <f>HOUR(Table1[[#This Row],[زمان شروع توقف]])</f>
        <v>9</v>
      </c>
      <c r="N287" s="3">
        <f>MINUTE(Table1[[#This Row],[زمان شروع توقف]])</f>
        <v>56</v>
      </c>
      <c r="O287" s="3">
        <f>((Table1[[#This Row],[سال توقف]]*365+IF(Table1[[#This Row],[ماه توقف]]&lt;7,(Table1[[#This Row],[ماه توقف]]-1)*31,6*31+(Table1[[#This Row],[ماه توقف]]-6-1)*30)+(Table1[[#This Row],[روز توقف]])-1)*24+Table1[[#This Row],[ساعت توقف2]])*60+Table1[[#This Row],[دقیقه توقف]]</f>
        <v>738393716</v>
      </c>
      <c r="P287" s="56" t="s">
        <v>1331</v>
      </c>
      <c r="Q287" s="53">
        <v>0.42708333333333331</v>
      </c>
      <c r="R287" s="3" t="str">
        <f>LEFT(Table1[[#This Row],[تاریخ پایان توقف]],4)</f>
        <v>1404</v>
      </c>
      <c r="S287" s="3" t="str">
        <f>_xlfn.IFNA(VLOOKUP(Table1[[#This Row],[ماه رفع توقف]],Table2[],3,0),"در حال تعمیر")</f>
        <v>زمستان</v>
      </c>
      <c r="T287" s="3">
        <f>_xlfn.NUMBERVALUE(RIGHT(LEFT(Table1[[#This Row],[تاریخ پایان توقف]],7),2))</f>
        <v>11</v>
      </c>
      <c r="U287" s="3" t="str">
        <f>RIGHT(LEFT(Table1[[#This Row],[تاریخ پایان توقف]],10),2)</f>
        <v>08</v>
      </c>
      <c r="V287" s="3">
        <f>HOUR(Table1[[#This Row],[زمان پایان توقف]])</f>
        <v>10</v>
      </c>
      <c r="W287" s="3">
        <f>MINUTE(Table1[[#This Row],[زمان پایان توقف]])</f>
        <v>15</v>
      </c>
      <c r="X287"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738393735</v>
      </c>
      <c r="Y287" s="42" t="s">
        <v>1333</v>
      </c>
      <c r="Z287" s="83">
        <f>IFERROR((IF(Table1[[#This Row],[تاریخ پایان توقف]]&lt;&gt;"",Table1[[#This Row],[زمان رفع توقف]]-Table1[[#This Row],[زمان توقف]],"")/60),"")</f>
        <v>0.31666666666666665</v>
      </c>
      <c r="AA287" s="3">
        <f>VLOOKUP(E287,Table4[],4,0)</f>
        <v>24</v>
      </c>
      <c r="AB287" s="3">
        <f>VLOOKUP(E287,Table4[],5,0)</f>
        <v>0.2</v>
      </c>
      <c r="AC287" s="3"/>
      <c r="AD287" s="3">
        <f>VLOOKUP(E287,Table4[],7,0)</f>
        <v>720</v>
      </c>
      <c r="AE287" s="83">
        <f>IF(Table1[[#This Row],[زمان آخرین رفع توقف قبل از توقف فعلی]]="","",(Table1[[#This Row],[زمان توقف]]-Table1[[#This Row],[زمان آخرین رفع توقف قبل از توقف فعلی]])/60)</f>
        <v>505.43333333333334</v>
      </c>
      <c r="AF287"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738363390</v>
      </c>
    </row>
    <row r="288" spans="1:32">
      <c r="A288" s="36">
        <v>282</v>
      </c>
      <c r="B288" s="36" t="s">
        <v>98</v>
      </c>
      <c r="C288" s="36" t="s">
        <v>1123</v>
      </c>
      <c r="D288" s="36" t="s">
        <v>120</v>
      </c>
      <c r="E288" s="85" t="s">
        <v>122</v>
      </c>
      <c r="F288" s="36" t="s">
        <v>12</v>
      </c>
      <c r="G288" s="56" t="s">
        <v>1334</v>
      </c>
      <c r="H288" s="53">
        <v>0.47916666666666669</v>
      </c>
      <c r="I288" s="6" t="str">
        <f>LEFT(Table1[[#This Row],[تاریخ توقف]],4)</f>
        <v>1404</v>
      </c>
      <c r="J288" s="6" t="str">
        <f>VLOOKUP(Table1[[#This Row],[ماه توقف]],Table2[],3,0)</f>
        <v>زمستان</v>
      </c>
      <c r="K288" s="3">
        <f>_xlfn.NUMBERVALUE(RIGHT(LEFT(Table1[[#This Row],[تاریخ توقف]],7),2))</f>
        <v>11</v>
      </c>
      <c r="L288" s="3" t="str">
        <f>RIGHT(LEFT(Table1[[#This Row],[تاریخ توقف]],10),2)</f>
        <v>09</v>
      </c>
      <c r="M288" s="3">
        <f>HOUR(Table1[[#This Row],[زمان شروع توقف]])</f>
        <v>11</v>
      </c>
      <c r="N288" s="3">
        <f>MINUTE(Table1[[#This Row],[زمان شروع توقف]])</f>
        <v>30</v>
      </c>
      <c r="O288" s="3">
        <f>((Table1[[#This Row],[سال توقف]]*365+IF(Table1[[#This Row],[ماه توقف]]&lt;7,(Table1[[#This Row],[ماه توقف]]-1)*31,6*31+(Table1[[#This Row],[ماه توقف]]-6-1)*30)+(Table1[[#This Row],[روز توقف]])-1)*24+Table1[[#This Row],[ساعت توقف2]])*60+Table1[[#This Row],[دقیقه توقف]]</f>
        <v>738395250</v>
      </c>
      <c r="P288" s="56" t="s">
        <v>1334</v>
      </c>
      <c r="Q288" s="53">
        <v>0.625</v>
      </c>
      <c r="R288" s="3" t="str">
        <f>LEFT(Table1[[#This Row],[تاریخ پایان توقف]],4)</f>
        <v>1404</v>
      </c>
      <c r="S288" s="3" t="str">
        <f>_xlfn.IFNA(VLOOKUP(Table1[[#This Row],[ماه رفع توقف]],Table2[],3,0),"در حال تعمیر")</f>
        <v>زمستان</v>
      </c>
      <c r="T288" s="3">
        <f>_xlfn.NUMBERVALUE(RIGHT(LEFT(Table1[[#This Row],[تاریخ پایان توقف]],7),2))</f>
        <v>11</v>
      </c>
      <c r="U288" s="3" t="str">
        <f>RIGHT(LEFT(Table1[[#This Row],[تاریخ پایان توقف]],10),2)</f>
        <v>09</v>
      </c>
      <c r="V288" s="3">
        <f>HOUR(Table1[[#This Row],[زمان پایان توقف]])</f>
        <v>15</v>
      </c>
      <c r="W288" s="3">
        <f>MINUTE(Table1[[#This Row],[زمان پایان توقف]])</f>
        <v>0</v>
      </c>
      <c r="X288"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738395460</v>
      </c>
      <c r="Y288" s="42" t="s">
        <v>1246</v>
      </c>
      <c r="Z288" s="83">
        <f>IFERROR((IF(Table1[[#This Row],[تاریخ پایان توقف]]&lt;&gt;"",Table1[[#This Row],[زمان رفع توقف]]-Table1[[#This Row],[زمان توقف]],"")/60),"")</f>
        <v>3.5</v>
      </c>
      <c r="AA288" s="3">
        <f>VLOOKUP(E288,Table4[],4,0)</f>
        <v>24</v>
      </c>
      <c r="AB288" s="3">
        <f>VLOOKUP(E288,Table4[],5,0)</f>
        <v>0.2</v>
      </c>
      <c r="AC288" s="3"/>
      <c r="AD288" s="3">
        <f>VLOOKUP(E288,Table4[],7,0)</f>
        <v>720</v>
      </c>
      <c r="AE288" s="83">
        <f>IF(Table1[[#This Row],[زمان آخرین رفع توقف قبل از توقف فعلی]]="","",(Table1[[#This Row],[زمان توقف]]-Table1[[#This Row],[زمان آخرین رفع توقف قبل از توقف فعلی]])/60)</f>
        <v>160.58333333333334</v>
      </c>
      <c r="AF288"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738385615</v>
      </c>
    </row>
    <row r="289" spans="1:32">
      <c r="A289" s="36">
        <v>282</v>
      </c>
      <c r="B289" s="36" t="s">
        <v>98</v>
      </c>
      <c r="C289" s="36" t="s">
        <v>881</v>
      </c>
      <c r="D289" s="36" t="s">
        <v>905</v>
      </c>
      <c r="E289" s="85" t="s">
        <v>91</v>
      </c>
      <c r="F289" s="36" t="s">
        <v>12</v>
      </c>
      <c r="G289" s="56" t="s">
        <v>1335</v>
      </c>
      <c r="H289" s="53">
        <v>0.81944444444444442</v>
      </c>
      <c r="I289" s="6" t="str">
        <f>LEFT(Table1[[#This Row],[تاریخ توقف]],4)</f>
        <v>1404</v>
      </c>
      <c r="J289" s="6" t="str">
        <f>VLOOKUP(Table1[[#This Row],[ماه توقف]],Table2[],3,0)</f>
        <v>زمستان</v>
      </c>
      <c r="K289" s="3">
        <f>_xlfn.NUMBERVALUE(RIGHT(LEFT(Table1[[#This Row],[تاریخ توقف]],7),2))</f>
        <v>11</v>
      </c>
      <c r="L289" s="3" t="str">
        <f>RIGHT(LEFT(Table1[[#This Row],[تاریخ توقف]],10),2)</f>
        <v>11</v>
      </c>
      <c r="M289" s="3">
        <f>HOUR(Table1[[#This Row],[زمان شروع توقف]])</f>
        <v>19</v>
      </c>
      <c r="N289" s="3">
        <f>MINUTE(Table1[[#This Row],[زمان شروع توقف]])</f>
        <v>40</v>
      </c>
      <c r="O289" s="3">
        <f>((Table1[[#This Row],[سال توقف]]*365+IF(Table1[[#This Row],[ماه توقف]]&lt;7,(Table1[[#This Row],[ماه توقف]]-1)*31,6*31+(Table1[[#This Row],[ماه توقف]]-6-1)*30)+(Table1[[#This Row],[روز توقف]])-1)*24+Table1[[#This Row],[ساعت توقف2]])*60+Table1[[#This Row],[دقیقه توقف]]</f>
        <v>738398620</v>
      </c>
      <c r="P289" s="56" t="s">
        <v>1335</v>
      </c>
      <c r="Q289" s="53">
        <v>0.86250000000000004</v>
      </c>
      <c r="R289" s="3" t="str">
        <f>LEFT(Table1[[#This Row],[تاریخ پایان توقف]],4)</f>
        <v>1404</v>
      </c>
      <c r="S289" s="3" t="str">
        <f>_xlfn.IFNA(VLOOKUP(Table1[[#This Row],[ماه رفع توقف]],Table2[],3,0),"در حال تعمیر")</f>
        <v>زمستان</v>
      </c>
      <c r="T289" s="3">
        <f>_xlfn.NUMBERVALUE(RIGHT(LEFT(Table1[[#This Row],[تاریخ پایان توقف]],7),2))</f>
        <v>11</v>
      </c>
      <c r="U289" s="3" t="str">
        <f>RIGHT(LEFT(Table1[[#This Row],[تاریخ پایان توقف]],10),2)</f>
        <v>11</v>
      </c>
      <c r="V289" s="3">
        <f>HOUR(Table1[[#This Row],[زمان پایان توقف]])</f>
        <v>20</v>
      </c>
      <c r="W289" s="3">
        <f>MINUTE(Table1[[#This Row],[زمان پایان توقف]])</f>
        <v>42</v>
      </c>
      <c r="X289"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738398682</v>
      </c>
      <c r="Y289" s="42" t="s">
        <v>1336</v>
      </c>
      <c r="Z289" s="83">
        <f>IFERROR((IF(Table1[[#This Row],[تاریخ پایان توقف]]&lt;&gt;"",Table1[[#This Row],[زمان رفع توقف]]-Table1[[#This Row],[زمان توقف]],"")/60),"")</f>
        <v>1.0333333333333334</v>
      </c>
      <c r="AA289" s="3">
        <f>VLOOKUP(E289,Table4[],4,0)</f>
        <v>24</v>
      </c>
      <c r="AB289" s="3">
        <f>VLOOKUP(E289,Table4[],5,0)</f>
        <v>0.2</v>
      </c>
      <c r="AC289" s="3"/>
      <c r="AD289" s="3">
        <f>VLOOKUP(E289,Table4[],7,0)</f>
        <v>720</v>
      </c>
      <c r="AE289" s="83">
        <f>IF(Table1[[#This Row],[زمان آخرین رفع توقف قبل از توقف فعلی]]="","",(Table1[[#This Row],[زمان توقف]]-Table1[[#This Row],[زمان آخرین رفع توقف قبل از توقف فعلی]])/60)</f>
        <v>767.68333333333328</v>
      </c>
      <c r="AF289"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738352559</v>
      </c>
    </row>
    <row r="290" spans="1:32">
      <c r="A290" s="36">
        <v>282</v>
      </c>
      <c r="B290" s="36" t="s">
        <v>98</v>
      </c>
      <c r="C290" s="36" t="s">
        <v>1131</v>
      </c>
      <c r="D290" s="36"/>
      <c r="E290" s="85" t="s">
        <v>1134</v>
      </c>
      <c r="F290" s="36" t="s">
        <v>12</v>
      </c>
      <c r="G290" s="56" t="s">
        <v>1338</v>
      </c>
      <c r="H290" s="53">
        <v>0.89583333333333337</v>
      </c>
      <c r="I290" s="6" t="str">
        <f>LEFT(Table1[[#This Row],[تاریخ توقف]],4)</f>
        <v>1404</v>
      </c>
      <c r="J290" s="6" t="str">
        <f>VLOOKUP(Table1[[#This Row],[ماه توقف]],Table2[],3,0)</f>
        <v>زمستان</v>
      </c>
      <c r="K290" s="3">
        <f>_xlfn.NUMBERVALUE(RIGHT(LEFT(Table1[[#This Row],[تاریخ توقف]],7),2))</f>
        <v>11</v>
      </c>
      <c r="L290" s="3" t="str">
        <f>RIGHT(LEFT(Table1[[#This Row],[تاریخ توقف]],10),2)</f>
        <v>13</v>
      </c>
      <c r="M290" s="3">
        <f>HOUR(Table1[[#This Row],[زمان شروع توقف]])</f>
        <v>21</v>
      </c>
      <c r="N290" s="3">
        <f>MINUTE(Table1[[#This Row],[زمان شروع توقف]])</f>
        <v>30</v>
      </c>
      <c r="O290" s="3">
        <f>((Table1[[#This Row],[سال توقف]]*365+IF(Table1[[#This Row],[ماه توقف]]&lt;7,(Table1[[#This Row],[ماه توقف]]-1)*31,6*31+(Table1[[#This Row],[ماه توقف]]-6-1)*30)+(Table1[[#This Row],[روز توقف]])-1)*24+Table1[[#This Row],[ساعت توقف2]])*60+Table1[[#This Row],[دقیقه توقف]]</f>
        <v>738401610</v>
      </c>
      <c r="P290" s="56" t="s">
        <v>1339</v>
      </c>
      <c r="Q290" s="53">
        <v>0.64166666666666672</v>
      </c>
      <c r="R290" s="3" t="str">
        <f>LEFT(Table1[[#This Row],[تاریخ پایان توقف]],4)</f>
        <v>1404</v>
      </c>
      <c r="S290" s="3" t="str">
        <f>_xlfn.IFNA(VLOOKUP(Table1[[#This Row],[ماه رفع توقف]],Table2[],3,0),"در حال تعمیر")</f>
        <v>زمستان</v>
      </c>
      <c r="T290" s="3">
        <f>_xlfn.NUMBERVALUE(RIGHT(LEFT(Table1[[#This Row],[تاریخ پایان توقف]],7),2))</f>
        <v>11</v>
      </c>
      <c r="U290" s="3" t="str">
        <f>RIGHT(LEFT(Table1[[#This Row],[تاریخ پایان توقف]],10),2)</f>
        <v>14</v>
      </c>
      <c r="V290" s="3">
        <f>HOUR(Table1[[#This Row],[زمان پایان توقف]])</f>
        <v>15</v>
      </c>
      <c r="W290" s="3">
        <f>MINUTE(Table1[[#This Row],[زمان پایان توقف]])</f>
        <v>24</v>
      </c>
      <c r="X290"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738402684</v>
      </c>
      <c r="Y290" s="42" t="s">
        <v>1337</v>
      </c>
      <c r="Z290" s="83">
        <f>IFERROR((IF(Table1[[#This Row],[تاریخ پایان توقف]]&lt;&gt;"",Table1[[#This Row],[زمان رفع توقف]]-Table1[[#This Row],[زمان توقف]],"")/60),"")</f>
        <v>17.899999999999999</v>
      </c>
      <c r="AA290" s="3">
        <f>VLOOKUP(E290,Table4[],4,0)</f>
        <v>24</v>
      </c>
      <c r="AB290" s="3">
        <f>VLOOKUP(E290,Table4[],5,0)</f>
        <v>0.2</v>
      </c>
      <c r="AC290" s="3"/>
      <c r="AD290" s="3">
        <f>VLOOKUP(E290,Table4[],7,0)</f>
        <v>720</v>
      </c>
      <c r="AE290" s="83">
        <f>IF(Table1[[#This Row],[زمان آخرین رفع توقف قبل از توقف فعلی]]="","",(Table1[[#This Row],[زمان توقف]]-Table1[[#This Row],[زمان آخرین رفع توقف قبل از توقف فعلی]])/60)</f>
        <v>1477.25</v>
      </c>
      <c r="AF290"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738312975</v>
      </c>
    </row>
    <row r="291" spans="1:32">
      <c r="A291" s="36">
        <v>282</v>
      </c>
      <c r="B291" s="36" t="s">
        <v>98</v>
      </c>
      <c r="C291" s="36" t="s">
        <v>1115</v>
      </c>
      <c r="D291" s="36" t="s">
        <v>115</v>
      </c>
      <c r="E291" s="85" t="s">
        <v>117</v>
      </c>
      <c r="F291" s="36" t="s">
        <v>12</v>
      </c>
      <c r="G291" s="56" t="s">
        <v>1339</v>
      </c>
      <c r="H291" s="53">
        <v>0.83333333333333337</v>
      </c>
      <c r="I291" s="6" t="str">
        <f>LEFT(Table1[[#This Row],[تاریخ توقف]],4)</f>
        <v>1404</v>
      </c>
      <c r="J291" s="6" t="str">
        <f>VLOOKUP(Table1[[#This Row],[ماه توقف]],Table2[],3,0)</f>
        <v>زمستان</v>
      </c>
      <c r="K291" s="3">
        <f>_xlfn.NUMBERVALUE(RIGHT(LEFT(Table1[[#This Row],[تاریخ توقف]],7),2))</f>
        <v>11</v>
      </c>
      <c r="L291" s="3" t="str">
        <f>RIGHT(LEFT(Table1[[#This Row],[تاریخ توقف]],10),2)</f>
        <v>14</v>
      </c>
      <c r="M291" s="3">
        <f>HOUR(Table1[[#This Row],[زمان شروع توقف]])</f>
        <v>20</v>
      </c>
      <c r="N291" s="3">
        <f>MINUTE(Table1[[#This Row],[زمان شروع توقف]])</f>
        <v>0</v>
      </c>
      <c r="O291" s="3">
        <f>((Table1[[#This Row],[سال توقف]]*365+IF(Table1[[#This Row],[ماه توقف]]&lt;7,(Table1[[#This Row],[ماه توقف]]-1)*31,6*31+(Table1[[#This Row],[ماه توقف]]-6-1)*30)+(Table1[[#This Row],[روز توقف]])-1)*24+Table1[[#This Row],[ساعت توقف2]])*60+Table1[[#This Row],[دقیقه توقف]]</f>
        <v>738402960</v>
      </c>
      <c r="P291" s="56" t="s">
        <v>1339</v>
      </c>
      <c r="Q291" s="53">
        <v>0.86111111111111116</v>
      </c>
      <c r="R291" s="3" t="str">
        <f>LEFT(Table1[[#This Row],[تاریخ پایان توقف]],4)</f>
        <v>1404</v>
      </c>
      <c r="S291" s="3" t="str">
        <f>_xlfn.IFNA(VLOOKUP(Table1[[#This Row],[ماه رفع توقف]],Table2[],3,0),"در حال تعمیر")</f>
        <v>زمستان</v>
      </c>
      <c r="T291" s="3">
        <f>_xlfn.NUMBERVALUE(RIGHT(LEFT(Table1[[#This Row],[تاریخ پایان توقف]],7),2))</f>
        <v>11</v>
      </c>
      <c r="U291" s="3" t="str">
        <f>RIGHT(LEFT(Table1[[#This Row],[تاریخ پایان توقف]],10),2)</f>
        <v>14</v>
      </c>
      <c r="V291" s="3">
        <f>HOUR(Table1[[#This Row],[زمان پایان توقف]])</f>
        <v>20</v>
      </c>
      <c r="W291" s="3">
        <f>MINUTE(Table1[[#This Row],[زمان پایان توقف]])</f>
        <v>40</v>
      </c>
      <c r="X291" s="3">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738403000</v>
      </c>
      <c r="Y291" s="42" t="s">
        <v>1340</v>
      </c>
      <c r="Z291" s="83">
        <f>IFERROR((IF(Table1[[#This Row],[تاریخ پایان توقف]]&lt;&gt;"",Table1[[#This Row],[زمان رفع توقف]]-Table1[[#This Row],[زمان توقف]],"")/60),"")</f>
        <v>0.66666666666666663</v>
      </c>
      <c r="AA291" s="3">
        <f>VLOOKUP(E291,Table4[],4,0)</f>
        <v>24</v>
      </c>
      <c r="AB291" s="3">
        <f>VLOOKUP(E291,Table4[],5,0)</f>
        <v>0.2</v>
      </c>
      <c r="AC291" s="3"/>
      <c r="AD291" s="3">
        <f>VLOOKUP(E291,Table4[],7,0)</f>
        <v>720</v>
      </c>
      <c r="AE291" s="83">
        <f>IF(Table1[[#This Row],[زمان آخرین رفع توقف قبل از توقف فعلی]]="","",(Table1[[#This Row],[زمان توقف]]-Table1[[#This Row],[زمان آخرین رفع توقف قبل از توقف فعلی]])/60)</f>
        <v>291.7</v>
      </c>
      <c r="AF291"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738385458</v>
      </c>
    </row>
    <row r="292" spans="1:32">
      <c r="A292" s="36">
        <v>282</v>
      </c>
      <c r="B292" s="36" t="s">
        <v>98</v>
      </c>
      <c r="C292" s="36" t="s">
        <v>1115</v>
      </c>
      <c r="D292" s="36" t="s">
        <v>115</v>
      </c>
      <c r="E292" s="85" t="s">
        <v>117</v>
      </c>
      <c r="F292" s="36" t="s">
        <v>12</v>
      </c>
      <c r="G292" s="56" t="s">
        <v>1359</v>
      </c>
      <c r="H292" s="118">
        <v>0.81597222222222221</v>
      </c>
      <c r="I292" s="119" t="str">
        <f>LEFT(Table1[[#This Row],[تاریخ توقف]],4)</f>
        <v>1404</v>
      </c>
      <c r="J292" s="6" t="str">
        <f>VLOOKUP(Table1[[#This Row],[ماه توقف]],Table2[],3,0)</f>
        <v>زمستان</v>
      </c>
      <c r="K292" s="120">
        <f>_xlfn.NUMBERVALUE(RIGHT(LEFT(Table1[[#This Row],[تاریخ توقف]],7),2))</f>
        <v>11</v>
      </c>
      <c r="L292" s="120" t="str">
        <f>RIGHT(LEFT(Table1[[#This Row],[تاریخ توقف]],10),2)</f>
        <v>16</v>
      </c>
      <c r="M292" s="120">
        <f>HOUR(Table1[[#This Row],[زمان شروع توقف]])</f>
        <v>19</v>
      </c>
      <c r="N292" s="120">
        <f>MINUTE(Table1[[#This Row],[زمان شروع توقف]])</f>
        <v>35</v>
      </c>
      <c r="O292" s="120">
        <f>((Table1[[#This Row],[سال توقف]]*365+IF(Table1[[#This Row],[ماه توقف]]&lt;7,(Table1[[#This Row],[ماه توقف]]-1)*31,6*31+(Table1[[#This Row],[ماه توقف]]-6-1)*30)+(Table1[[#This Row],[روز توقف]])-1)*24+Table1[[#This Row],[ساعت توقف2]])*60+Table1[[#This Row],[دقیقه توقف]]</f>
        <v>738405815</v>
      </c>
      <c r="P292" s="56" t="s">
        <v>1360</v>
      </c>
      <c r="Q292" s="118">
        <v>0.6875</v>
      </c>
      <c r="R292" s="120" t="str">
        <f>LEFT(Table1[[#This Row],[تاریخ پایان توقف]],4)</f>
        <v>1404</v>
      </c>
      <c r="S292" s="3" t="str">
        <f>_xlfn.IFNA(VLOOKUP(Table1[[#This Row],[ماه رفع توقف]],Table2[],3,0),"در حال تعمیر")</f>
        <v>زمستان</v>
      </c>
      <c r="T292" s="120">
        <f>_xlfn.NUMBERVALUE(RIGHT(LEFT(Table1[[#This Row],[تاریخ پایان توقف]],7),2))</f>
        <v>11</v>
      </c>
      <c r="U292" s="120" t="str">
        <f>RIGHT(LEFT(Table1[[#This Row],[تاریخ پایان توقف]],10),2)</f>
        <v>17</v>
      </c>
      <c r="V292" s="120">
        <f>HOUR(Table1[[#This Row],[زمان پایان توقف]])</f>
        <v>16</v>
      </c>
      <c r="W292" s="120">
        <f>MINUTE(Table1[[#This Row],[زمان پایان توقف]])</f>
        <v>30</v>
      </c>
      <c r="X292" s="120">
        <f>IFERROR(((Table1[[#This Row],[سال رفع توقف]]*365+IF(Table1[[#This Row],[ماه رفع توقف]]&lt;7,(Table1[[#This Row],[ماه رفع توقف]]-1)*31,6*31+(Table1[[#This Row],[ماه رفع توقف]]-6-1)*30)+(Table1[[#This Row],[روز رفع توقف]])-1)*24+Table1[[#This Row],[ساعت رفع توقف]])*60+Table1[[#This Row],[دقیقه رفع توقف]],"")</f>
        <v>738407070</v>
      </c>
      <c r="Y292" s="121" t="s">
        <v>1361</v>
      </c>
      <c r="Z292" s="83">
        <f>IFERROR((IF(Table1[[#This Row],[تاریخ پایان توقف]]&lt;&gt;"",Table1[[#This Row],[زمان رفع توقف]]-Table1[[#This Row],[زمان توقف]],"")/60),"")</f>
        <v>20.916666666666668</v>
      </c>
      <c r="AA292" s="3">
        <f>VLOOKUP(E292,Table4[],4,0)</f>
        <v>24</v>
      </c>
      <c r="AB292" s="122">
        <f>VLOOKUP(E292,Table4[],5,0)</f>
        <v>0.2</v>
      </c>
      <c r="AC292" s="3"/>
      <c r="AD292" s="3">
        <f>VLOOKUP(E292,Table4[],7,0)</f>
        <v>720</v>
      </c>
      <c r="AE292" s="83">
        <f>IF(Table1[[#This Row],[زمان آخرین رفع توقف قبل از توقف فعلی]]="","",(Table1[[#This Row],[زمان توقف]]-Table1[[#This Row],[زمان آخرین رفع توقف قبل از توقف فعلی]])/60)</f>
        <v>46.916666666666664</v>
      </c>
      <c r="AF292" s="3">
        <f>IF(_xlfn.MAXIFS(Table1[زمان رفع توقف], Table1[کد], Table1[[#This Row],[کد]], Table1[زمان رفع توقف], "&lt;" &amp; Table1[[#This Row],[زمان توقف]])=0,"", _xlfn.MAXIFS(Table1[زمان رفع توقف], Table1[کد], Table1[[#This Row],[کد]], Table1[زمان رفع توقف], "&lt;" &amp; Table1[[#This Row],[زمان توقف]]))</f>
        <v>738403000</v>
      </c>
    </row>
  </sheetData>
  <sheetProtection formatColumns="0" formatRows="0"/>
  <phoneticPr fontId="1" type="noConversion"/>
  <conditionalFormatting sqref="A90:A292">
    <cfRule type="expression" dxfId="145" priority="80">
      <formula>$O90=""</formula>
    </cfRule>
  </conditionalFormatting>
  <conditionalFormatting sqref="A55:F70 C105:E106 C107:D108 C109:E110 C111:C113 C117:E117 C119:E119 C123:E123 C138:E138 C140:E140">
    <cfRule type="expression" dxfId="144" priority="209">
      <formula>$O55=""</formula>
    </cfRule>
  </conditionalFormatting>
  <conditionalFormatting sqref="B90:D95 C96">
    <cfRule type="expression" dxfId="143" priority="203">
      <formula>$O90=""</formula>
    </cfRule>
  </conditionalFormatting>
  <conditionalFormatting sqref="C77:C78">
    <cfRule type="expression" dxfId="142" priority="96">
      <formula>$O77=""</formula>
    </cfRule>
  </conditionalFormatting>
  <conditionalFormatting sqref="C116">
    <cfRule type="expression" dxfId="141" priority="94">
      <formula>$O116=""</formula>
    </cfRule>
    <cfRule type="expression" dxfId="140" priority="95">
      <formula>$P116=""</formula>
    </cfRule>
  </conditionalFormatting>
  <conditionalFormatting sqref="C118">
    <cfRule type="expression" dxfId="139" priority="103">
      <formula>$O118=""</formula>
    </cfRule>
  </conditionalFormatting>
  <conditionalFormatting sqref="C133">
    <cfRule type="expression" dxfId="138" priority="92">
      <formula>$O133=""</formula>
    </cfRule>
    <cfRule type="expression" dxfId="137" priority="93">
      <formula>$P133=""</formula>
    </cfRule>
  </conditionalFormatting>
  <conditionalFormatting sqref="C137">
    <cfRule type="expression" dxfId="136" priority="91">
      <formula>$O137=""</formula>
    </cfRule>
  </conditionalFormatting>
  <conditionalFormatting sqref="C139">
    <cfRule type="expression" dxfId="135" priority="7">
      <formula>$O139=""</formula>
    </cfRule>
    <cfRule type="expression" dxfId="134" priority="8">
      <formula>$P139=""</formula>
    </cfRule>
  </conditionalFormatting>
  <conditionalFormatting sqref="C142">
    <cfRule type="expression" dxfId="133" priority="13">
      <formula>$P142=""</formula>
    </cfRule>
    <cfRule type="expression" dxfId="132" priority="12">
      <formula>$O142=""</formula>
    </cfRule>
  </conditionalFormatting>
  <conditionalFormatting sqref="C149">
    <cfRule type="expression" dxfId="131" priority="17">
      <formula>$P149=""</formula>
    </cfRule>
    <cfRule type="expression" dxfId="130" priority="15">
      <formula>$O149=""</formula>
    </cfRule>
  </conditionalFormatting>
  <conditionalFormatting sqref="C174">
    <cfRule type="expression" dxfId="129" priority="70">
      <formula>$P174=""</formula>
    </cfRule>
  </conditionalFormatting>
  <conditionalFormatting sqref="C177:C179">
    <cfRule type="expression" dxfId="128" priority="64">
      <formula>$P177=""</formula>
    </cfRule>
  </conditionalFormatting>
  <conditionalFormatting sqref="C186">
    <cfRule type="expression" dxfId="127" priority="56">
      <formula>$P186=""</formula>
    </cfRule>
  </conditionalFormatting>
  <conditionalFormatting sqref="C190:C191">
    <cfRule type="expression" dxfId="126" priority="48">
      <formula>$P190=""</formula>
    </cfRule>
  </conditionalFormatting>
  <conditionalFormatting sqref="C193:C194">
    <cfRule type="expression" dxfId="125" priority="44">
      <formula>$P193=""</formula>
    </cfRule>
  </conditionalFormatting>
  <conditionalFormatting sqref="C196">
    <cfRule type="expression" dxfId="124" priority="41">
      <formula>$P196=""</formula>
    </cfRule>
  </conditionalFormatting>
  <conditionalFormatting sqref="C200">
    <cfRule type="expression" dxfId="123" priority="37">
      <formula>$P200=""</formula>
    </cfRule>
  </conditionalFormatting>
  <conditionalFormatting sqref="C202:C204">
    <cfRule type="expression" dxfId="122" priority="30">
      <formula>$P202=""</formula>
    </cfRule>
  </conditionalFormatting>
  <conditionalFormatting sqref="C206:C207">
    <cfRule type="expression" dxfId="121" priority="25">
      <formula>$P206=""</formula>
    </cfRule>
  </conditionalFormatting>
  <conditionalFormatting sqref="C5:D5">
    <cfRule type="expression" dxfId="120" priority="6">
      <formula>$P5=""</formula>
    </cfRule>
  </conditionalFormatting>
  <conditionalFormatting sqref="C98:D101">
    <cfRule type="expression" dxfId="119" priority="202">
      <formula>$O98=""</formula>
    </cfRule>
  </conditionalFormatting>
  <conditionalFormatting sqref="C104:D104">
    <cfRule type="expression" dxfId="118" priority="201">
      <formula>$O104=""</formula>
    </cfRule>
  </conditionalFormatting>
  <conditionalFormatting sqref="C115:D115 D116">
    <cfRule type="expression" dxfId="117" priority="167">
      <formula>$P115=""</formula>
    </cfRule>
  </conditionalFormatting>
  <conditionalFormatting sqref="C115:D115">
    <cfRule type="expression" dxfId="116" priority="170">
      <formula>$O115=""</formula>
    </cfRule>
  </conditionalFormatting>
  <conditionalFormatting sqref="C120:D122">
    <cfRule type="expression" dxfId="115" priority="154">
      <formula>$P120=""</formula>
    </cfRule>
    <cfRule type="expression" dxfId="114" priority="153">
      <formula>$O120=""</formula>
    </cfRule>
  </conditionalFormatting>
  <conditionalFormatting sqref="C144:D144">
    <cfRule type="expression" dxfId="113" priority="127">
      <formula>$P144=""</formula>
    </cfRule>
  </conditionalFormatting>
  <conditionalFormatting sqref="C151:D151 C155:D155 D156:D157 C158:D158 D159:D161">
    <cfRule type="expression" dxfId="112" priority="104">
      <formula>$P151=""</formula>
    </cfRule>
  </conditionalFormatting>
  <conditionalFormatting sqref="C158:D158">
    <cfRule type="expression" dxfId="111" priority="112">
      <formula>$O158=""</formula>
    </cfRule>
  </conditionalFormatting>
  <conditionalFormatting sqref="C163:D163">
    <cfRule type="expression" dxfId="110" priority="84">
      <formula>$P163=""</formula>
    </cfRule>
    <cfRule type="expression" dxfId="109" priority="86">
      <formula>$O163=""</formula>
    </cfRule>
  </conditionalFormatting>
  <conditionalFormatting sqref="C169:D169">
    <cfRule type="expression" dxfId="108" priority="78">
      <formula>$O169=""</formula>
    </cfRule>
  </conditionalFormatting>
  <conditionalFormatting sqref="C169:D171">
    <cfRule type="expression" dxfId="107" priority="75">
      <formula>$P169=""</formula>
    </cfRule>
  </conditionalFormatting>
  <conditionalFormatting sqref="C173:D173">
    <cfRule type="expression" dxfId="106" priority="71">
      <formula>$P173=""</formula>
    </cfRule>
  </conditionalFormatting>
  <conditionalFormatting sqref="C175:D175">
    <cfRule type="expression" dxfId="105" priority="66">
      <formula>$P175=""</formula>
    </cfRule>
    <cfRule type="expression" dxfId="104" priority="68">
      <formula>$O175=""</formula>
    </cfRule>
  </conditionalFormatting>
  <conditionalFormatting sqref="C182:D182">
    <cfRule type="expression" dxfId="103" priority="61">
      <formula>$P182=""</formula>
    </cfRule>
  </conditionalFormatting>
  <conditionalFormatting sqref="C184:D185">
    <cfRule type="expression" dxfId="102" priority="57">
      <formula>$P184=""</formula>
    </cfRule>
    <cfRule type="expression" dxfId="101" priority="58">
      <formula>$O184=""</formula>
    </cfRule>
  </conditionalFormatting>
  <conditionalFormatting sqref="C188:D189">
    <cfRule type="expression" dxfId="100" priority="50">
      <formula>$P188=""</formula>
    </cfRule>
  </conditionalFormatting>
  <conditionalFormatting sqref="C189:D189">
    <cfRule type="expression" dxfId="99" priority="51">
      <formula>$O189=""</formula>
    </cfRule>
  </conditionalFormatting>
  <conditionalFormatting sqref="C197:D197">
    <cfRule type="expression" dxfId="98" priority="11">
      <formula>$P197=""</formula>
    </cfRule>
  </conditionalFormatting>
  <conditionalFormatting sqref="C201:D201">
    <cfRule type="expression" dxfId="97" priority="32">
      <formula>$P201=""</formula>
    </cfRule>
    <cfRule type="expression" dxfId="96" priority="33">
      <formula>$O201=""</formula>
    </cfRule>
  </conditionalFormatting>
  <conditionalFormatting sqref="C205:D205">
    <cfRule type="expression" dxfId="95" priority="27">
      <formula>$P205=""</formula>
    </cfRule>
  </conditionalFormatting>
  <conditionalFormatting sqref="C208:D209">
    <cfRule type="expression" dxfId="94" priority="21">
      <formula>$O208=""</formula>
    </cfRule>
    <cfRule type="expression" dxfId="93" priority="20">
      <formula>$P208=""</formula>
    </cfRule>
  </conditionalFormatting>
  <conditionalFormatting sqref="C289:D289">
    <cfRule type="expression" dxfId="92" priority="2">
      <formula>$O289=""</formula>
    </cfRule>
    <cfRule type="expression" dxfId="91" priority="1">
      <formula>$P289=""</formula>
    </cfRule>
  </conditionalFormatting>
  <conditionalFormatting sqref="C5:E5">
    <cfRule type="expression" dxfId="90" priority="5">
      <formula>$O5=""</formula>
    </cfRule>
  </conditionalFormatting>
  <conditionalFormatting sqref="C16:E16">
    <cfRule type="expression" dxfId="89" priority="101">
      <formula>$O16=""</formula>
    </cfRule>
  </conditionalFormatting>
  <conditionalFormatting sqref="C134:E134 D135:E135">
    <cfRule type="expression" dxfId="88" priority="133">
      <formula>$O134=""</formula>
    </cfRule>
  </conditionalFormatting>
  <conditionalFormatting sqref="C197:E197">
    <cfRule type="expression" dxfId="87" priority="10">
      <formula>$O197=""</formula>
    </cfRule>
  </conditionalFormatting>
  <conditionalFormatting sqref="D107:D108">
    <cfRule type="expression" dxfId="86" priority="182">
      <formula>$O107=""</formula>
    </cfRule>
  </conditionalFormatting>
  <conditionalFormatting sqref="D111:D114">
    <cfRule type="expression" dxfId="85" priority="100">
      <formula>$P111=""</formula>
    </cfRule>
  </conditionalFormatting>
  <conditionalFormatting sqref="D112">
    <cfRule type="expression" dxfId="84" priority="176">
      <formula>$O112=""</formula>
    </cfRule>
  </conditionalFormatting>
  <conditionalFormatting sqref="D115">
    <cfRule type="expression" dxfId="83" priority="169">
      <formula>$O115=""</formula>
    </cfRule>
  </conditionalFormatting>
  <conditionalFormatting sqref="D120:D122">
    <cfRule type="expression" dxfId="82" priority="152">
      <formula>$O120=""</formula>
    </cfRule>
  </conditionalFormatting>
  <conditionalFormatting sqref="D124">
    <cfRule type="expression" dxfId="81" priority="149">
      <formula>$O124=""</formula>
    </cfRule>
  </conditionalFormatting>
  <conditionalFormatting sqref="D124:D125 C126:D126 D127:D129 C130:D132 D133 F161">
    <cfRule type="expression" dxfId="80" priority="134">
      <formula>$P124=""</formula>
    </cfRule>
  </conditionalFormatting>
  <conditionalFormatting sqref="D127">
    <cfRule type="expression" dxfId="79" priority="143">
      <formula>$O127=""</formula>
    </cfRule>
  </conditionalFormatting>
  <conditionalFormatting sqref="D135:D137">
    <cfRule type="expression" dxfId="78" priority="128">
      <formula>$P135=""</formula>
    </cfRule>
  </conditionalFormatting>
  <conditionalFormatting sqref="D136">
    <cfRule type="expression" dxfId="77" priority="130">
      <formula>$O136=""</formula>
    </cfRule>
  </conditionalFormatting>
  <conditionalFormatting sqref="D139">
    <cfRule type="expression" dxfId="76" priority="9">
      <formula>$P139=""</formula>
    </cfRule>
  </conditionalFormatting>
  <conditionalFormatting sqref="D142">
    <cfRule type="expression" dxfId="75" priority="14">
      <formula>$P142=""</formula>
    </cfRule>
  </conditionalFormatting>
  <conditionalFormatting sqref="D149">
    <cfRule type="expression" dxfId="74" priority="16">
      <formula>$P149=""</formula>
    </cfRule>
  </conditionalFormatting>
  <conditionalFormatting sqref="D152:D153">
    <cfRule type="expression" dxfId="73" priority="124">
      <formula>$O152=""</formula>
    </cfRule>
  </conditionalFormatting>
  <conditionalFormatting sqref="D152:D154">
    <cfRule type="expression" dxfId="72" priority="99">
      <formula>$P152=""</formula>
    </cfRule>
  </conditionalFormatting>
  <conditionalFormatting sqref="D158">
    <cfRule type="expression" dxfId="71" priority="111">
      <formula>$O158=""</formula>
    </cfRule>
  </conditionalFormatting>
  <conditionalFormatting sqref="D163">
    <cfRule type="expression" dxfId="70" priority="85">
      <formula>$O163=""</formula>
    </cfRule>
  </conditionalFormatting>
  <conditionalFormatting sqref="D164:D167">
    <cfRule type="expression" dxfId="69" priority="81">
      <formula>$P164=""</formula>
    </cfRule>
  </conditionalFormatting>
  <conditionalFormatting sqref="D169">
    <cfRule type="expression" dxfId="68" priority="77">
      <formula>$O169=""</formula>
    </cfRule>
  </conditionalFormatting>
  <conditionalFormatting sqref="D172">
    <cfRule type="expression" dxfId="67" priority="72">
      <formula>$P172=""</formula>
    </cfRule>
  </conditionalFormatting>
  <conditionalFormatting sqref="D174">
    <cfRule type="expression" dxfId="66" priority="69">
      <formula>$P174=""</formula>
    </cfRule>
  </conditionalFormatting>
  <conditionalFormatting sqref="D175">
    <cfRule type="expression" dxfId="65" priority="67">
      <formula>$O175=""</formula>
    </cfRule>
  </conditionalFormatting>
  <conditionalFormatting sqref="D177:D179">
    <cfRule type="expression" dxfId="64" priority="62">
      <formula>$P177=""</formula>
    </cfRule>
  </conditionalFormatting>
  <conditionalFormatting sqref="D184:D185">
    <cfRule type="expression" dxfId="63" priority="60">
      <formula>$O184=""</formula>
    </cfRule>
  </conditionalFormatting>
  <conditionalFormatting sqref="D186">
    <cfRule type="expression" dxfId="62" priority="54">
      <formula>$P186=""</formula>
    </cfRule>
  </conditionalFormatting>
  <conditionalFormatting sqref="D189">
    <cfRule type="expression" dxfId="61" priority="53">
      <formula>$O189=""</formula>
    </cfRule>
  </conditionalFormatting>
  <conditionalFormatting sqref="D190:D191">
    <cfRule type="expression" dxfId="60" priority="46">
      <formula>$P190=""</formula>
    </cfRule>
  </conditionalFormatting>
  <conditionalFormatting sqref="D193:D194">
    <cfRule type="expression" dxfId="59" priority="42">
      <formula>$P193=""</formula>
    </cfRule>
  </conditionalFormatting>
  <conditionalFormatting sqref="D196">
    <cfRule type="expression" dxfId="58" priority="39">
      <formula>$P196=""</formula>
    </cfRule>
  </conditionalFormatting>
  <conditionalFormatting sqref="D200">
    <cfRule type="expression" dxfId="57" priority="36">
      <formula>$P200=""</formula>
    </cfRule>
  </conditionalFormatting>
  <conditionalFormatting sqref="D201">
    <cfRule type="expression" dxfId="56" priority="35">
      <formula>$O201=""</formula>
    </cfRule>
  </conditionalFormatting>
  <conditionalFormatting sqref="D202:D204">
    <cfRule type="expression" dxfId="55" priority="28">
      <formula>$P202=""</formula>
    </cfRule>
  </conditionalFormatting>
  <conditionalFormatting sqref="D206:D207">
    <cfRule type="expression" dxfId="54" priority="24">
      <formula>$P206=""</formula>
    </cfRule>
  </conditionalFormatting>
  <conditionalFormatting sqref="D208:D209">
    <cfRule type="expression" dxfId="53" priority="23">
      <formula>$O208=""</formula>
    </cfRule>
  </conditionalFormatting>
  <conditionalFormatting sqref="D289">
    <cfRule type="expression" dxfId="52" priority="4">
      <formula>$O289=""</formula>
    </cfRule>
  </conditionalFormatting>
  <conditionalFormatting sqref="D111:E111">
    <cfRule type="expression" dxfId="51" priority="178">
      <formula>$O111=""</formula>
    </cfRule>
  </conditionalFormatting>
  <conditionalFormatting sqref="D114:E114">
    <cfRule type="expression" dxfId="50" priority="172">
      <formula>$O114=""</formula>
    </cfRule>
  </conditionalFormatting>
  <conditionalFormatting sqref="D125:E125">
    <cfRule type="expression" dxfId="49" priority="147">
      <formula>$O125=""</formula>
    </cfRule>
  </conditionalFormatting>
  <conditionalFormatting sqref="D128:E129">
    <cfRule type="expression" dxfId="48" priority="139">
      <formula>$O128=""</formula>
    </cfRule>
  </conditionalFormatting>
  <conditionalFormatting sqref="D156:E157">
    <cfRule type="expression" dxfId="47" priority="115">
      <formula>$O156=""</formula>
    </cfRule>
  </conditionalFormatting>
  <conditionalFormatting sqref="D159:E161">
    <cfRule type="expression" dxfId="46" priority="105">
      <formula>$O159=""</formula>
    </cfRule>
  </conditionalFormatting>
  <conditionalFormatting sqref="D186:E186">
    <cfRule type="expression" dxfId="45" priority="55">
      <formula>$O186=""</formula>
    </cfRule>
  </conditionalFormatting>
  <conditionalFormatting sqref="D190:E190">
    <cfRule type="expression" dxfId="44" priority="49">
      <formula>$O190=""</formula>
    </cfRule>
  </conditionalFormatting>
  <conditionalFormatting sqref="D193:E193">
    <cfRule type="expression" dxfId="43" priority="45">
      <formula>$O193=""</formula>
    </cfRule>
  </conditionalFormatting>
  <conditionalFormatting sqref="D200:E200">
    <cfRule type="expression" dxfId="42" priority="38">
      <formula>$O200=""</formula>
    </cfRule>
  </conditionalFormatting>
  <conditionalFormatting sqref="D202:E202">
    <cfRule type="expression" dxfId="41" priority="31">
      <formula>$O202=""</formula>
    </cfRule>
  </conditionalFormatting>
  <conditionalFormatting sqref="D206:E207">
    <cfRule type="expression" dxfId="40" priority="26">
      <formula>$O206=""</formula>
    </cfRule>
  </conditionalFormatting>
  <conditionalFormatting sqref="E90:E95">
    <cfRule type="expression" dxfId="39" priority="198">
      <formula>$O90=""</formula>
    </cfRule>
  </conditionalFormatting>
  <conditionalFormatting sqref="E98:E101">
    <cfRule type="expression" dxfId="38" priority="197">
      <formula>$O98=""</formula>
    </cfRule>
  </conditionalFormatting>
  <conditionalFormatting sqref="E104">
    <cfRule type="expression" dxfId="37" priority="196">
      <formula>$O104=""</formula>
    </cfRule>
  </conditionalFormatting>
  <conditionalFormatting sqref="E107:E108">
    <cfRule type="expression" dxfId="36" priority="180">
      <formula>$O107=""</formula>
    </cfRule>
  </conditionalFormatting>
  <conditionalFormatting sqref="E112">
    <cfRule type="expression" dxfId="35" priority="175">
      <formula>$O112=""</formula>
    </cfRule>
  </conditionalFormatting>
  <conditionalFormatting sqref="E115">
    <cfRule type="expression" dxfId="34" priority="168">
      <formula>$O115=""</formula>
    </cfRule>
  </conditionalFormatting>
  <conditionalFormatting sqref="E120:E122">
    <cfRule type="expression" dxfId="33" priority="151">
      <formula>$O120=""</formula>
    </cfRule>
  </conditionalFormatting>
  <conditionalFormatting sqref="E124">
    <cfRule type="expression" dxfId="32" priority="148">
      <formula>$O124=""</formula>
    </cfRule>
  </conditionalFormatting>
  <conditionalFormatting sqref="E127">
    <cfRule type="expression" dxfId="31" priority="142">
      <formula>$O127=""</formula>
    </cfRule>
  </conditionalFormatting>
  <conditionalFormatting sqref="E133">
    <cfRule type="expression" dxfId="30" priority="18">
      <formula>$O133=""</formula>
    </cfRule>
  </conditionalFormatting>
  <conditionalFormatting sqref="E136">
    <cfRule type="expression" dxfId="29" priority="129">
      <formula>$O136=""</formula>
    </cfRule>
  </conditionalFormatting>
  <conditionalFormatting sqref="E152:E154">
    <cfRule type="expression" dxfId="28" priority="120">
      <formula>$O152=""</formula>
    </cfRule>
  </conditionalFormatting>
  <conditionalFormatting sqref="E158">
    <cfRule type="expression" dxfId="27" priority="110">
      <formula>$O158=""</formula>
    </cfRule>
  </conditionalFormatting>
  <conditionalFormatting sqref="E163:E167">
    <cfRule type="expression" dxfId="26" priority="82">
      <formula>$O163=""</formula>
    </cfRule>
  </conditionalFormatting>
  <conditionalFormatting sqref="E169">
    <cfRule type="expression" dxfId="25" priority="76">
      <formula>$O169=""</formula>
    </cfRule>
  </conditionalFormatting>
  <conditionalFormatting sqref="E172">
    <cfRule type="expression" dxfId="24" priority="73">
      <formula>$O172=""</formula>
    </cfRule>
  </conditionalFormatting>
  <conditionalFormatting sqref="E174:E175">
    <cfRule type="expression" dxfId="23" priority="65">
      <formula>$O174=""</formula>
    </cfRule>
  </conditionalFormatting>
  <conditionalFormatting sqref="E177:E179">
    <cfRule type="expression" dxfId="22" priority="63">
      <formula>$O177=""</formula>
    </cfRule>
  </conditionalFormatting>
  <conditionalFormatting sqref="E184:E185">
    <cfRule type="expression" dxfId="21" priority="59">
      <formula>$O184=""</formula>
    </cfRule>
  </conditionalFormatting>
  <conditionalFormatting sqref="E189">
    <cfRule type="expression" dxfId="20" priority="52">
      <formula>$O189=""</formula>
    </cfRule>
  </conditionalFormatting>
  <conditionalFormatting sqref="E191">
    <cfRule type="expression" dxfId="19" priority="47">
      <formula>$O191=""</formula>
    </cfRule>
  </conditionalFormatting>
  <conditionalFormatting sqref="E194">
    <cfRule type="expression" dxfId="18" priority="43">
      <formula>$O194=""</formula>
    </cfRule>
  </conditionalFormatting>
  <conditionalFormatting sqref="E196">
    <cfRule type="expression" dxfId="17" priority="40">
      <formula>$O196=""</formula>
    </cfRule>
  </conditionalFormatting>
  <conditionalFormatting sqref="E201">
    <cfRule type="expression" dxfId="16" priority="34">
      <formula>$O201=""</formula>
    </cfRule>
  </conditionalFormatting>
  <conditionalFormatting sqref="E203:E204">
    <cfRule type="expression" dxfId="15" priority="29">
      <formula>$O203=""</formula>
    </cfRule>
  </conditionalFormatting>
  <conditionalFormatting sqref="E208:E209">
    <cfRule type="expression" dxfId="14" priority="22">
      <formula>$O208=""</formula>
    </cfRule>
  </conditionalFormatting>
  <conditionalFormatting sqref="E213:E214 E220">
    <cfRule type="expression" dxfId="13" priority="19">
      <formula>$O213=""</formula>
    </cfRule>
  </conditionalFormatting>
  <conditionalFormatting sqref="E289:E290">
    <cfRule type="expression" dxfId="12" priority="3">
      <formula>$O289=""</formula>
    </cfRule>
  </conditionalFormatting>
  <conditionalFormatting sqref="F151 F155 F157 F159">
    <cfRule type="expression" dxfId="11" priority="126">
      <formula>$P151=""</formula>
    </cfRule>
  </conditionalFormatting>
  <conditionalFormatting sqref="F3:W3 A3:D4 F4:R4 A5 G5:R5 F55:G70 I55:O70 R55:R70 A111:C113 C113:C114 A114:B116 A117:D119 A120:B122 A123:D123 C124:C125 A124:B133 C127:C129 A133:A136 A134:D134 A135:C137 B138:D138 B139 B140:D140 B141:B143 C152:C154 C156:C157 C159:C161">
    <cfRule type="expression" dxfId="10" priority="219">
      <formula>$P3=""</formula>
    </cfRule>
  </conditionalFormatting>
  <conditionalFormatting sqref="G55:G70">
    <cfRule type="expression" dxfId="9" priority="208">
      <formula>$O55=""</formula>
    </cfRule>
  </conditionalFormatting>
  <conditionalFormatting sqref="G90:G139">
    <cfRule type="expression" dxfId="8" priority="190">
      <formula>$O90=""</formula>
    </cfRule>
  </conditionalFormatting>
  <conditionalFormatting sqref="H55:H70">
    <cfRule type="expression" dxfId="7" priority="207">
      <formula>$O55=""</formula>
    </cfRule>
  </conditionalFormatting>
  <conditionalFormatting sqref="H90:H95">
    <cfRule type="expression" dxfId="6" priority="187">
      <formula>$O90=""</formula>
    </cfRule>
  </conditionalFormatting>
  <conditionalFormatting sqref="P55:P70">
    <cfRule type="expression" dxfId="5" priority="206">
      <formula>$O55=""</formula>
    </cfRule>
  </conditionalFormatting>
  <conditionalFormatting sqref="P90:P139">
    <cfRule type="expression" dxfId="4" priority="186">
      <formula>$O90=""</formula>
    </cfRule>
  </conditionalFormatting>
  <conditionalFormatting sqref="Q55:Q70">
    <cfRule type="expression" dxfId="3" priority="205">
      <formula>$O55=""</formula>
    </cfRule>
  </conditionalFormatting>
  <conditionalFormatting sqref="Q90:Q95">
    <cfRule type="expression" dxfId="2" priority="183">
      <formula>$O90=""</formula>
    </cfRule>
  </conditionalFormatting>
  <conditionalFormatting sqref="Y3:Y24 T4:W70 F6:R54 A6:D110 C164:C167">
    <cfRule type="expression" dxfId="1" priority="83">
      <formula>$P3=""</formula>
    </cfRule>
  </conditionalFormatting>
  <conditionalFormatting sqref="Z3:AD292 S4:S276 C172 A138:A292">
    <cfRule type="expression" dxfId="0" priority="74">
      <formula>$P3=""</formula>
    </cfRule>
  </conditionalFormatting>
  <dataValidations count="1">
    <dataValidation type="time" allowBlank="1" showInputMessage="1" showErrorMessage="1" sqref="Q3:Q59 H3:H59" xr:uid="{00000000-0002-0000-0000-000000000000}">
      <formula1>0</formula1>
      <formula2>0.999305555555556</formula2>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DDD98035-7078-450C-9B2A-1D32179979D6}">
          <x14:formula1>
            <xm:f>database!$K$2:$K$2000</xm:f>
          </x14:formula1>
          <xm:sqref>E140:E141 E222:E267 E143:E220 E117:E138 E3:E115 E284:E285 E289:E292</xm:sqref>
        </x14:dataValidation>
        <x14:dataValidation type="list" allowBlank="1" showInputMessage="1" showErrorMessage="1" xr:uid="{00000000-0002-0000-0000-000001000000}">
          <x14:formula1>
            <xm:f>database!$H$2:$H$6</xm:f>
          </x14:formula1>
          <xm:sqref>B277:B292 B3:B268</xm:sqref>
        </x14:dataValidation>
        <x14:dataValidation type="list" allowBlank="1" showInputMessage="1" showErrorMessage="1" xr:uid="{CA8912AD-6710-497D-A582-443694277C5B}">
          <x14:formula1>
            <xm:f>database!$M$2:$M$2000</xm:f>
          </x14:formula1>
          <xm:sqref>C289 C284:C285 C3:C268</xm:sqref>
        </x14:dataValidation>
        <x14:dataValidation type="list" allowBlank="1" showInputMessage="1" showErrorMessage="1" xr:uid="{00000000-0002-0000-0000-000002000000}">
          <x14:formula1>
            <xm:f>database!$I$2:$I$5</xm:f>
          </x14:formula1>
          <xm:sqref>F3:F292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B3D4-4171-45AE-8BA7-C4098947B9BD}">
  <sheetPr>
    <pageSetUpPr fitToPage="1"/>
  </sheetPr>
  <dimension ref="A2:B17"/>
  <sheetViews>
    <sheetView rightToLeft="1" view="pageBreakPreview" topLeftCell="A7" zoomScale="115" zoomScaleNormal="115" zoomScaleSheetLayoutView="115" workbookViewId="0">
      <selection activeCell="D4" sqref="D4"/>
    </sheetView>
  </sheetViews>
  <sheetFormatPr defaultRowHeight="15"/>
  <cols>
    <col min="1" max="2" width="60.42578125" customWidth="1"/>
  </cols>
  <sheetData>
    <row r="2" spans="1:2" ht="26.25">
      <c r="A2" s="96" t="s">
        <v>1272</v>
      </c>
      <c r="B2" s="96"/>
    </row>
    <row r="3" spans="1:2" ht="57" customHeight="1" thickBot="1">
      <c r="A3" s="68"/>
      <c r="B3" s="68"/>
    </row>
    <row r="4" spans="1:2" ht="126.75" customHeight="1">
      <c r="A4" s="69"/>
      <c r="B4" s="70"/>
    </row>
    <row r="5" spans="1:2" ht="24">
      <c r="A5" s="109" t="s">
        <v>1271</v>
      </c>
      <c r="B5" s="110"/>
    </row>
    <row r="6" spans="1:2" ht="126.75" customHeight="1">
      <c r="A6" s="71"/>
      <c r="B6" s="72"/>
    </row>
    <row r="7" spans="1:2" ht="24">
      <c r="A7" s="107" t="s">
        <v>1276</v>
      </c>
      <c r="B7" s="108"/>
    </row>
    <row r="8" spans="1:2" ht="126.75" customHeight="1">
      <c r="A8" s="73"/>
      <c r="B8" s="74"/>
    </row>
    <row r="9" spans="1:2" ht="24">
      <c r="A9" s="105" t="s">
        <v>99</v>
      </c>
      <c r="B9" s="106"/>
    </row>
    <row r="10" spans="1:2" ht="126.75" customHeight="1">
      <c r="A10" s="75"/>
      <c r="B10" s="76"/>
    </row>
    <row r="11" spans="1:2" ht="24">
      <c r="A11" s="99" t="s">
        <v>1275</v>
      </c>
      <c r="B11" s="100"/>
    </row>
    <row r="12" spans="1:2" ht="126.75" customHeight="1">
      <c r="A12" s="77"/>
      <c r="B12" s="78"/>
    </row>
    <row r="13" spans="1:2" ht="24">
      <c r="A13" s="97" t="s">
        <v>1274</v>
      </c>
      <c r="B13" s="98"/>
    </row>
    <row r="14" spans="1:2" ht="126.75" customHeight="1">
      <c r="A14" s="79"/>
      <c r="B14" s="80"/>
    </row>
    <row r="15" spans="1:2" ht="24">
      <c r="A15" s="101" t="s">
        <v>1273</v>
      </c>
      <c r="B15" s="102"/>
    </row>
    <row r="16" spans="1:2" ht="126.75" customHeight="1">
      <c r="A16" s="81"/>
      <c r="B16" s="82"/>
    </row>
    <row r="17" spans="1:2" ht="24.75" thickBot="1">
      <c r="A17" s="103" t="s">
        <v>1270</v>
      </c>
      <c r="B17" s="104"/>
    </row>
  </sheetData>
  <mergeCells count="8">
    <mergeCell ref="A2:B2"/>
    <mergeCell ref="A13:B13"/>
    <mergeCell ref="A11:B11"/>
    <mergeCell ref="A15:B15"/>
    <mergeCell ref="A17:B17"/>
    <mergeCell ref="A9:B9"/>
    <mergeCell ref="A7:B7"/>
    <mergeCell ref="A5:B5"/>
  </mergeCells>
  <pageMargins left="0.7" right="0.7" top="0.75" bottom="0.75" header="0.3" footer="0.3"/>
  <pageSetup paperSize="9" scale="72"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33"/>
  <sheetViews>
    <sheetView showGridLines="0" rightToLeft="1" tabSelected="1" topLeftCell="A6" zoomScale="55" zoomScaleNormal="55" zoomScaleSheetLayoutView="70" workbookViewId="0">
      <selection activeCell="E7" sqref="E7"/>
    </sheetView>
  </sheetViews>
  <sheetFormatPr defaultColWidth="9.140625" defaultRowHeight="15"/>
  <cols>
    <col min="1" max="2" width="103" customWidth="1"/>
  </cols>
  <sheetData>
    <row r="1" spans="1:2" ht="81.75" customHeight="1">
      <c r="A1" s="24"/>
      <c r="B1" s="24"/>
    </row>
    <row r="2" spans="1:2" ht="33.75">
      <c r="A2" s="111" t="s">
        <v>1259</v>
      </c>
      <c r="B2" s="111"/>
    </row>
    <row r="3" spans="1:2" ht="306.75" customHeight="1">
      <c r="A3" s="24"/>
      <c r="B3" s="24"/>
    </row>
    <row r="4" spans="1:2" ht="33.75">
      <c r="A4" s="111" t="s">
        <v>1260</v>
      </c>
      <c r="B4" s="111"/>
    </row>
    <row r="5" spans="1:2" ht="62.25" customHeight="1">
      <c r="A5" s="24"/>
      <c r="B5" s="24"/>
    </row>
    <row r="6" spans="1:2" ht="366.75" customHeight="1">
      <c r="A6" s="24"/>
      <c r="B6" s="24"/>
    </row>
    <row r="7" spans="1:2" ht="306" customHeight="1">
      <c r="A7" s="24"/>
      <c r="B7" s="24"/>
    </row>
    <row r="8" spans="1:2" ht="4.5" customHeight="1">
      <c r="A8" s="67"/>
      <c r="B8" s="67"/>
    </row>
    <row r="9" spans="1:2" ht="285" customHeight="1"/>
    <row r="10" spans="1:2" ht="285" customHeight="1"/>
    <row r="11" spans="1:2" ht="285" customHeight="1"/>
    <row r="12" spans="1:2" ht="285" customHeight="1"/>
    <row r="13" spans="1:2" ht="285" customHeight="1"/>
    <row r="14" spans="1:2" ht="285" customHeight="1"/>
    <row r="15" spans="1:2" ht="285" customHeight="1"/>
    <row r="16" spans="1:2" ht="285" customHeight="1"/>
    <row r="17" ht="285" customHeight="1"/>
    <row r="18" ht="285" customHeight="1"/>
    <row r="19" ht="285" customHeight="1"/>
    <row r="20" ht="285" customHeight="1"/>
    <row r="21" ht="285" customHeight="1"/>
    <row r="22" ht="285" customHeight="1"/>
    <row r="23" ht="285" customHeight="1"/>
    <row r="24" ht="285" customHeight="1"/>
    <row r="25" ht="285" customHeight="1"/>
    <row r="26" ht="285" customHeight="1"/>
    <row r="27" ht="285" customHeight="1"/>
    <row r="28" ht="285" customHeight="1"/>
    <row r="29" ht="285" customHeight="1"/>
    <row r="30" ht="285" customHeight="1"/>
    <row r="31" ht="285" customHeight="1"/>
    <row r="32" ht="285" customHeight="1"/>
    <row r="33" ht="285" customHeight="1"/>
  </sheetData>
  <mergeCells count="2">
    <mergeCell ref="A2:B2"/>
    <mergeCell ref="A4:B4"/>
  </mergeCells>
  <pageMargins left="0.7" right="0.7" top="0.75" bottom="0.75" header="0.3" footer="0.3"/>
  <pageSetup scale="36" fitToHeight="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7FF3-9E4A-42FC-99A0-6B3FC234C936}">
  <sheetPr>
    <pageSetUpPr fitToPage="1"/>
  </sheetPr>
  <dimension ref="A1:B43"/>
  <sheetViews>
    <sheetView showGridLines="0" rightToLeft="1" topLeftCell="A4" zoomScale="55" zoomScaleNormal="55" zoomScaleSheetLayoutView="70" workbookViewId="0">
      <selection activeCell="I6" sqref="I6:J6"/>
    </sheetView>
  </sheetViews>
  <sheetFormatPr defaultColWidth="9.140625" defaultRowHeight="15"/>
  <cols>
    <col min="1" max="1" width="103" customWidth="1"/>
    <col min="2" max="2" width="117" customWidth="1"/>
  </cols>
  <sheetData>
    <row r="1" spans="1:2" ht="4.5" customHeight="1">
      <c r="A1" s="67"/>
      <c r="B1" s="67"/>
    </row>
    <row r="2" spans="1:2" ht="33.75">
      <c r="A2" s="112" t="s">
        <v>1261</v>
      </c>
      <c r="B2" s="112"/>
    </row>
    <row r="3" spans="1:2" ht="76.5" customHeight="1">
      <c r="A3" s="113"/>
      <c r="B3" s="113"/>
    </row>
    <row r="4" spans="1:2" ht="76.5" customHeight="1">
      <c r="A4" s="65"/>
      <c r="B4" s="65"/>
    </row>
    <row r="5" spans="1:2" ht="114" customHeight="1">
      <c r="A5" s="66"/>
      <c r="B5" s="66"/>
    </row>
    <row r="6" spans="1:2" ht="248.45" customHeight="1">
      <c r="A6" s="113"/>
      <c r="B6" s="113"/>
    </row>
    <row r="7" spans="1:2" ht="275.25" customHeight="1">
      <c r="A7" s="66"/>
      <c r="B7" s="66"/>
    </row>
    <row r="8" spans="1:2" ht="285" customHeight="1"/>
    <row r="9" spans="1:2" ht="285" customHeight="1"/>
    <row r="10" spans="1:2" ht="285" customHeight="1"/>
    <row r="11" spans="1:2" ht="285" customHeight="1"/>
    <row r="12" spans="1:2" ht="285" customHeight="1"/>
    <row r="13" spans="1:2" ht="285" customHeight="1"/>
    <row r="14" spans="1:2" ht="285" customHeight="1"/>
    <row r="15" spans="1:2" ht="285" customHeight="1"/>
    <row r="16" spans="1:2" ht="285" customHeight="1"/>
    <row r="17" ht="285" customHeight="1"/>
    <row r="18" ht="285" customHeight="1"/>
    <row r="19" ht="285" customHeight="1"/>
    <row r="20" ht="285" customHeight="1"/>
    <row r="21" ht="285" customHeight="1"/>
    <row r="22" ht="285" customHeight="1"/>
    <row r="23" ht="285" customHeight="1"/>
    <row r="24" ht="285" customHeight="1"/>
    <row r="25" ht="285" customHeight="1"/>
    <row r="26" ht="285" customHeight="1"/>
    <row r="27" ht="285" customHeight="1"/>
    <row r="28" ht="285" customHeight="1"/>
    <row r="29" ht="285" customHeight="1"/>
    <row r="30" ht="285" customHeight="1"/>
    <row r="31" ht="285" customHeight="1"/>
    <row r="32" ht="285" customHeight="1"/>
    <row r="33" ht="285" customHeight="1"/>
    <row r="34" ht="285" customHeight="1"/>
    <row r="35" ht="285" customHeight="1"/>
    <row r="36" ht="285" customHeight="1"/>
    <row r="37" ht="285" customHeight="1"/>
    <row r="38" ht="285" customHeight="1"/>
    <row r="39" ht="285" customHeight="1"/>
    <row r="40" ht="285" customHeight="1"/>
    <row r="41" ht="285" customHeight="1"/>
    <row r="42" ht="285" customHeight="1"/>
    <row r="43" ht="285" customHeight="1"/>
  </sheetData>
  <mergeCells count="3">
    <mergeCell ref="A2:B2"/>
    <mergeCell ref="A3:B3"/>
    <mergeCell ref="A6:B6"/>
  </mergeCells>
  <pageMargins left="0.7" right="0.7" top="0.75" bottom="0.75" header="0.3" footer="0.3"/>
  <pageSetup scale="36" fitToHeight="0"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414F-30C6-4C79-9934-8A9AFDA46107}">
  <dimension ref="B1:BR22"/>
  <sheetViews>
    <sheetView rightToLeft="1" topLeftCell="J1" workbookViewId="0">
      <selection activeCell="J5" sqref="J5"/>
    </sheetView>
  </sheetViews>
  <sheetFormatPr defaultRowHeight="15"/>
  <cols>
    <col min="2" max="2" width="19.85546875" bestFit="1" customWidth="1"/>
    <col min="3" max="3" width="20.85546875" bestFit="1" customWidth="1"/>
    <col min="4" max="4" width="19.42578125" bestFit="1" customWidth="1"/>
    <col min="5" max="5" width="20.85546875" bestFit="1" customWidth="1"/>
    <col min="7" max="7" width="19.85546875" bestFit="1" customWidth="1"/>
    <col min="8" max="8" width="20.85546875" bestFit="1" customWidth="1"/>
    <col min="9" max="9" width="19.42578125" bestFit="1" customWidth="1"/>
    <col min="10" max="10" width="20.85546875" bestFit="1" customWidth="1"/>
    <col min="12" max="12" width="19.85546875" bestFit="1" customWidth="1"/>
    <col min="13" max="13" width="26.7109375" bestFit="1" customWidth="1"/>
    <col min="14" max="14" width="19.42578125" bestFit="1" customWidth="1"/>
    <col min="15" max="15" width="20.85546875" bestFit="1" customWidth="1"/>
    <col min="17" max="17" width="19.85546875" bestFit="1" customWidth="1"/>
    <col min="18" max="18" width="26.7109375" bestFit="1" customWidth="1"/>
    <col min="19" max="19" width="19.42578125" bestFit="1" customWidth="1"/>
    <col min="20" max="20" width="20.85546875" bestFit="1" customWidth="1"/>
    <col min="22" max="22" width="13.140625" bestFit="1" customWidth="1"/>
    <col min="23" max="23" width="19.42578125" bestFit="1" customWidth="1"/>
    <col min="24" max="25" width="20.85546875" bestFit="1" customWidth="1"/>
    <col min="27" max="27" width="19.85546875" bestFit="1" customWidth="1"/>
    <col min="28" max="28" width="20.85546875" bestFit="1" customWidth="1"/>
    <col min="29" max="29" width="19.42578125" bestFit="1" customWidth="1"/>
    <col min="30" max="30" width="20.85546875" bestFit="1" customWidth="1"/>
    <col min="32" max="32" width="19.85546875" bestFit="1" customWidth="1"/>
    <col min="33" max="33" width="23.28515625" bestFit="1" customWidth="1"/>
    <col min="34" max="34" width="19.42578125" bestFit="1" customWidth="1"/>
    <col min="35" max="35" width="20.85546875" bestFit="1" customWidth="1"/>
    <col min="37" max="37" width="19.85546875" bestFit="1" customWidth="1"/>
    <col min="38" max="38" width="23.28515625" bestFit="1" customWidth="1"/>
    <col min="39" max="39" width="19.42578125" bestFit="1" customWidth="1"/>
    <col min="40" max="40" width="20.85546875" bestFit="1" customWidth="1"/>
    <col min="42" max="42" width="19.85546875" bestFit="1" customWidth="1"/>
    <col min="43" max="43" width="25" bestFit="1" customWidth="1"/>
    <col min="44" max="44" width="19.42578125" bestFit="1" customWidth="1"/>
    <col min="45" max="45" width="20.85546875" bestFit="1" customWidth="1"/>
    <col min="47" max="47" width="19.85546875" bestFit="1" customWidth="1"/>
    <col min="48" max="48" width="25" bestFit="1" customWidth="1"/>
    <col min="49" max="49" width="19.42578125" bestFit="1" customWidth="1"/>
    <col min="50" max="50" width="20.85546875" bestFit="1" customWidth="1"/>
    <col min="52" max="52" width="19.85546875" bestFit="1" customWidth="1"/>
    <col min="53" max="53" width="20.85546875" bestFit="1" customWidth="1"/>
    <col min="54" max="54" width="19.42578125" bestFit="1" customWidth="1"/>
    <col min="55" max="55" width="20.85546875" bestFit="1" customWidth="1"/>
    <col min="57" max="57" width="19.85546875" bestFit="1" customWidth="1"/>
    <col min="58" max="58" width="20.85546875" bestFit="1" customWidth="1"/>
    <col min="59" max="59" width="19.42578125" bestFit="1" customWidth="1"/>
    <col min="60" max="60" width="20.85546875" bestFit="1" customWidth="1"/>
    <col min="62" max="62" width="19.85546875" bestFit="1" customWidth="1"/>
    <col min="63" max="63" width="20.85546875" bestFit="1" customWidth="1"/>
    <col min="64" max="64" width="19.42578125" bestFit="1" customWidth="1"/>
    <col min="65" max="65" width="20.85546875" bestFit="1" customWidth="1"/>
    <col min="67" max="67" width="19.85546875" bestFit="1" customWidth="1"/>
    <col min="68" max="68" width="20.85546875" bestFit="1" customWidth="1"/>
    <col min="69" max="69" width="19.42578125" bestFit="1" customWidth="1"/>
    <col min="70" max="70" width="20.85546875" bestFit="1" customWidth="1"/>
  </cols>
  <sheetData>
    <row r="1" spans="2:70">
      <c r="B1" s="115" t="s">
        <v>1262</v>
      </c>
      <c r="C1" s="115"/>
      <c r="D1" s="115"/>
      <c r="E1" s="115"/>
      <c r="F1" s="115"/>
      <c r="G1" s="115"/>
      <c r="H1" s="115"/>
      <c r="I1" s="115"/>
      <c r="J1" s="115"/>
      <c r="L1" s="115" t="s">
        <v>1265</v>
      </c>
      <c r="M1" s="115"/>
      <c r="N1" s="115"/>
      <c r="O1" s="115"/>
      <c r="P1" s="115"/>
      <c r="Q1" s="115"/>
      <c r="R1" s="115"/>
      <c r="S1" s="115"/>
      <c r="T1" s="115"/>
      <c r="V1" s="115" t="s">
        <v>1266</v>
      </c>
      <c r="W1" s="115"/>
      <c r="X1" s="115"/>
      <c r="Y1" s="115"/>
      <c r="Z1" s="115"/>
      <c r="AA1" s="115"/>
      <c r="AB1" s="115"/>
      <c r="AC1" s="115"/>
      <c r="AD1" s="115"/>
      <c r="AF1" s="115" t="s">
        <v>1267</v>
      </c>
      <c r="AG1" s="115"/>
      <c r="AH1" s="115"/>
      <c r="AI1" s="115"/>
      <c r="AJ1" s="115"/>
      <c r="AK1" s="115"/>
      <c r="AL1" s="115"/>
      <c r="AM1" s="115"/>
      <c r="AN1" s="115"/>
      <c r="AP1" s="115" t="s">
        <v>1268</v>
      </c>
      <c r="AQ1" s="115"/>
      <c r="AR1" s="115"/>
      <c r="AS1" s="115"/>
      <c r="AT1" s="115"/>
      <c r="AU1" s="115"/>
      <c r="AV1" s="115"/>
      <c r="AW1" s="115"/>
      <c r="AX1" s="115"/>
      <c r="AZ1" s="115" t="s">
        <v>1269</v>
      </c>
      <c r="BA1" s="115"/>
      <c r="BB1" s="115"/>
      <c r="BC1" s="115"/>
      <c r="BD1" s="115"/>
      <c r="BE1" s="115"/>
      <c r="BF1" s="115"/>
      <c r="BG1" s="115"/>
      <c r="BH1" s="115"/>
      <c r="BJ1" s="115" t="s">
        <v>1270</v>
      </c>
      <c r="BK1" s="115"/>
      <c r="BL1" s="115"/>
      <c r="BM1" s="115"/>
      <c r="BN1" s="115"/>
      <c r="BO1" s="115"/>
      <c r="BP1" s="115"/>
      <c r="BQ1" s="115"/>
      <c r="BR1" s="115"/>
    </row>
    <row r="2" spans="2:70" ht="23.25">
      <c r="B2" s="114" t="s">
        <v>2</v>
      </c>
      <c r="C2" s="114"/>
      <c r="D2" s="114"/>
      <c r="E2" s="114"/>
      <c r="G2" s="114" t="s">
        <v>3</v>
      </c>
      <c r="H2" s="114"/>
      <c r="I2" s="114"/>
      <c r="J2" s="114"/>
      <c r="L2" s="114" t="s">
        <v>2</v>
      </c>
      <c r="M2" s="114"/>
      <c r="N2" s="114"/>
      <c r="O2" s="114"/>
      <c r="Q2" s="114" t="s">
        <v>3</v>
      </c>
      <c r="R2" s="114"/>
      <c r="S2" s="114"/>
      <c r="T2" s="114"/>
      <c r="V2" s="114" t="s">
        <v>2</v>
      </c>
      <c r="W2" s="114"/>
      <c r="X2" s="114"/>
      <c r="Y2" s="114"/>
      <c r="AA2" s="114" t="s">
        <v>3</v>
      </c>
      <c r="AB2" s="114"/>
      <c r="AC2" s="114"/>
      <c r="AD2" s="114"/>
      <c r="AF2" s="114" t="s">
        <v>2</v>
      </c>
      <c r="AG2" s="114"/>
      <c r="AH2" s="114"/>
      <c r="AI2" s="114"/>
      <c r="AK2" s="114" t="s">
        <v>3</v>
      </c>
      <c r="AL2" s="114"/>
      <c r="AM2" s="114"/>
      <c r="AN2" s="114"/>
      <c r="AP2" s="114" t="s">
        <v>2</v>
      </c>
      <c r="AQ2" s="114"/>
      <c r="AR2" s="114"/>
      <c r="AS2" s="114"/>
      <c r="AU2" s="114" t="s">
        <v>3</v>
      </c>
      <c r="AV2" s="114"/>
      <c r="AW2" s="114"/>
      <c r="AX2" s="114"/>
      <c r="AZ2" s="114" t="s">
        <v>2</v>
      </c>
      <c r="BA2" s="114"/>
      <c r="BB2" s="114"/>
      <c r="BC2" s="114"/>
      <c r="BE2" s="114" t="s">
        <v>3</v>
      </c>
      <c r="BF2" s="114"/>
      <c r="BG2" s="114"/>
      <c r="BH2" s="114"/>
      <c r="BJ2" s="114" t="s">
        <v>2</v>
      </c>
      <c r="BK2" s="114"/>
      <c r="BL2" s="114"/>
      <c r="BM2" s="114"/>
      <c r="BO2" s="114" t="s">
        <v>3</v>
      </c>
      <c r="BP2" s="114"/>
      <c r="BQ2" s="114"/>
      <c r="BR2" s="114"/>
    </row>
    <row r="3" spans="2:70" ht="23.25">
      <c r="B3" s="23"/>
      <c r="C3" s="23"/>
      <c r="D3" s="23"/>
      <c r="E3" s="23"/>
      <c r="G3" s="23"/>
      <c r="H3" s="23"/>
      <c r="I3" s="23"/>
      <c r="J3" s="23"/>
      <c r="L3" s="23"/>
      <c r="M3" s="23"/>
      <c r="N3" s="23"/>
      <c r="O3" s="23"/>
      <c r="Q3" s="23"/>
      <c r="R3" s="23"/>
      <c r="S3" s="23"/>
      <c r="T3" s="23"/>
      <c r="AF3" s="23"/>
      <c r="AG3" s="23"/>
      <c r="AH3" s="23"/>
      <c r="AI3" s="23"/>
      <c r="AK3" s="23"/>
      <c r="AL3" s="23"/>
      <c r="AM3" s="23"/>
      <c r="AN3" s="23"/>
      <c r="AP3" s="23"/>
      <c r="AQ3" s="23"/>
      <c r="AR3" s="23"/>
      <c r="AS3" s="23"/>
      <c r="AU3" s="23"/>
      <c r="AV3" s="23"/>
      <c r="AW3" s="23"/>
      <c r="AX3" s="23"/>
      <c r="AZ3" s="23"/>
      <c r="BA3" s="23"/>
      <c r="BB3" s="23"/>
      <c r="BC3" s="23"/>
      <c r="BE3" s="23"/>
      <c r="BF3" s="23"/>
      <c r="BG3" s="23"/>
      <c r="BH3" s="23"/>
      <c r="BJ3" s="23"/>
      <c r="BK3" s="23"/>
      <c r="BL3" s="23"/>
      <c r="BM3" s="23"/>
      <c r="BO3" s="23"/>
      <c r="BP3" s="23"/>
      <c r="BQ3" s="23"/>
      <c r="BR3" s="23"/>
    </row>
    <row r="4" spans="2:70" ht="23.25">
      <c r="B4" s="23"/>
      <c r="C4" s="23"/>
      <c r="D4" s="23"/>
      <c r="E4" s="23"/>
      <c r="G4" s="23"/>
      <c r="H4" s="23"/>
      <c r="I4" s="23"/>
      <c r="J4" s="23"/>
      <c r="Q4" s="23"/>
      <c r="R4" s="23"/>
      <c r="S4" s="23"/>
      <c r="T4" s="23"/>
      <c r="AK4" s="23"/>
      <c r="AL4" s="23"/>
      <c r="AM4" s="23"/>
      <c r="AN4" s="23"/>
      <c r="AP4" s="23"/>
      <c r="AQ4" s="23"/>
      <c r="AR4" s="23"/>
      <c r="AS4" s="23"/>
      <c r="AU4" s="23"/>
      <c r="AV4" s="23"/>
      <c r="AW4" s="23"/>
      <c r="AX4" s="23"/>
      <c r="AZ4" s="23"/>
      <c r="BA4" s="23"/>
      <c r="BB4" s="23"/>
      <c r="BC4" s="23"/>
      <c r="BE4" s="23"/>
      <c r="BF4" s="23"/>
      <c r="BG4" s="23"/>
      <c r="BH4" s="23"/>
      <c r="BJ4" s="23"/>
      <c r="BK4" s="23"/>
      <c r="BL4" s="23"/>
      <c r="BM4" s="23"/>
      <c r="BO4" s="23"/>
      <c r="BP4" s="23"/>
      <c r="BQ4" s="23"/>
      <c r="BR4" s="23"/>
    </row>
    <row r="5" spans="2:70" ht="23.25">
      <c r="B5" s="23"/>
      <c r="C5" s="23"/>
      <c r="D5" s="23"/>
      <c r="E5" s="23"/>
      <c r="G5" s="23"/>
      <c r="H5" s="23"/>
      <c r="I5" s="23"/>
      <c r="J5" s="23"/>
      <c r="L5" s="30" t="s">
        <v>7</v>
      </c>
      <c r="M5" s="27" t="s">
        <v>75</v>
      </c>
      <c r="Q5" s="30" t="s">
        <v>7</v>
      </c>
      <c r="R5" s="27" t="s">
        <v>75</v>
      </c>
      <c r="V5" s="30" t="s">
        <v>7</v>
      </c>
      <c r="W5" s="27" t="s">
        <v>99</v>
      </c>
      <c r="AA5" s="30" t="s">
        <v>7</v>
      </c>
      <c r="AB5" s="27" t="s">
        <v>99</v>
      </c>
      <c r="AF5" s="30" t="s">
        <v>7</v>
      </c>
      <c r="AG5" s="27" t="s">
        <v>98</v>
      </c>
      <c r="AK5" s="30" t="s">
        <v>7</v>
      </c>
      <c r="AL5" s="27" t="s">
        <v>98</v>
      </c>
      <c r="AP5" s="30" t="s">
        <v>7</v>
      </c>
      <c r="AQ5" s="27" t="s">
        <v>97</v>
      </c>
      <c r="AU5" s="30" t="s">
        <v>7</v>
      </c>
      <c r="AV5" s="27" t="s">
        <v>97</v>
      </c>
      <c r="AZ5" s="30" t="s">
        <v>7</v>
      </c>
      <c r="BA5" s="27" t="s">
        <v>103</v>
      </c>
      <c r="BE5" s="30" t="s">
        <v>7</v>
      </c>
      <c r="BF5" s="27" t="s">
        <v>103</v>
      </c>
      <c r="BJ5" s="30" t="s">
        <v>7</v>
      </c>
      <c r="BK5" s="27" t="s">
        <v>103</v>
      </c>
      <c r="BO5" s="30" t="s">
        <v>7</v>
      </c>
      <c r="BP5" s="27" t="s">
        <v>103</v>
      </c>
    </row>
    <row r="6" spans="2:70" ht="23.25">
      <c r="D6" s="23"/>
      <c r="E6" s="23"/>
      <c r="G6" s="23"/>
      <c r="H6" s="23"/>
      <c r="I6" s="23"/>
      <c r="J6" s="23"/>
      <c r="L6" s="30" t="s">
        <v>1263</v>
      </c>
      <c r="M6" s="27" t="s">
        <v>904</v>
      </c>
      <c r="Q6" s="30" t="s">
        <v>1263</v>
      </c>
      <c r="R6" s="27" t="s">
        <v>904</v>
      </c>
      <c r="V6" s="30" t="s">
        <v>15</v>
      </c>
      <c r="W6" s="27" t="s">
        <v>904</v>
      </c>
      <c r="X6" s="23"/>
      <c r="Y6" s="23"/>
      <c r="AA6" s="30" t="s">
        <v>1263</v>
      </c>
      <c r="AB6" s="27" t="s">
        <v>103</v>
      </c>
      <c r="AF6" s="30" t="s">
        <v>1263</v>
      </c>
      <c r="AG6" s="27" t="s">
        <v>904</v>
      </c>
      <c r="AK6" s="30" t="s">
        <v>1263</v>
      </c>
      <c r="AL6" s="27" t="s">
        <v>904</v>
      </c>
      <c r="AP6" s="30" t="s">
        <v>1263</v>
      </c>
      <c r="AQ6" s="27" t="s">
        <v>904</v>
      </c>
      <c r="AU6" s="30" t="s">
        <v>1263</v>
      </c>
      <c r="AV6" s="27" t="s">
        <v>904</v>
      </c>
      <c r="AZ6" s="30" t="s">
        <v>1263</v>
      </c>
      <c r="BA6" s="27" t="s">
        <v>904</v>
      </c>
      <c r="BE6" s="30" t="s">
        <v>1263</v>
      </c>
      <c r="BF6" s="27" t="s">
        <v>103</v>
      </c>
      <c r="BJ6" s="30" t="s">
        <v>1263</v>
      </c>
      <c r="BK6" s="27" t="s">
        <v>904</v>
      </c>
      <c r="BO6" s="30" t="s">
        <v>1263</v>
      </c>
      <c r="BP6" s="27" t="s">
        <v>103</v>
      </c>
    </row>
    <row r="7" spans="2:70" ht="23.25">
      <c r="B7" s="124" t="s">
        <v>1263</v>
      </c>
      <c r="C7" s="125" t="s">
        <v>904</v>
      </c>
      <c r="D7" s="23"/>
      <c r="E7" s="23"/>
      <c r="G7" s="124" t="s">
        <v>1263</v>
      </c>
      <c r="H7" s="125" t="s">
        <v>904</v>
      </c>
      <c r="I7" s="23"/>
      <c r="J7" s="23"/>
      <c r="L7" s="30" t="s">
        <v>1264</v>
      </c>
      <c r="M7" s="27" t="s">
        <v>103</v>
      </c>
      <c r="Q7" s="30" t="s">
        <v>1264</v>
      </c>
      <c r="R7" s="27" t="s">
        <v>103</v>
      </c>
      <c r="V7" s="30" t="s">
        <v>860</v>
      </c>
      <c r="W7" s="27" t="s">
        <v>103</v>
      </c>
      <c r="X7" s="23"/>
      <c r="Y7" s="23"/>
      <c r="AA7" s="30" t="s">
        <v>1264</v>
      </c>
      <c r="AB7" s="27" t="s">
        <v>103</v>
      </c>
      <c r="AF7" s="30" t="s">
        <v>1264</v>
      </c>
      <c r="AG7" s="27" t="s">
        <v>103</v>
      </c>
      <c r="AK7" s="30" t="s">
        <v>1264</v>
      </c>
      <c r="AL7" s="27" t="s">
        <v>103</v>
      </c>
      <c r="AP7" s="30" t="s">
        <v>1264</v>
      </c>
      <c r="AQ7" s="27" t="s">
        <v>103</v>
      </c>
      <c r="AU7" s="30" t="s">
        <v>1264</v>
      </c>
      <c r="AV7" s="27" t="s">
        <v>103</v>
      </c>
      <c r="AZ7" s="30" t="s">
        <v>1264</v>
      </c>
      <c r="BA7" s="27" t="s">
        <v>103</v>
      </c>
      <c r="BE7" s="30" t="s">
        <v>1264</v>
      </c>
      <c r="BF7" s="27" t="s">
        <v>103</v>
      </c>
      <c r="BJ7" s="30" t="s">
        <v>1264</v>
      </c>
      <c r="BK7" s="27" t="s">
        <v>103</v>
      </c>
      <c r="BO7" s="30" t="s">
        <v>1264</v>
      </c>
      <c r="BP7" s="27" t="s">
        <v>103</v>
      </c>
    </row>
    <row r="8" spans="2:70" ht="23.25">
      <c r="B8" s="124" t="s">
        <v>1264</v>
      </c>
      <c r="C8" s="125" t="s">
        <v>103</v>
      </c>
      <c r="G8" s="124" t="s">
        <v>1264</v>
      </c>
      <c r="H8" s="125" t="s">
        <v>103</v>
      </c>
      <c r="V8" s="23"/>
      <c r="W8" s="23"/>
      <c r="X8" s="23"/>
      <c r="Y8" s="23"/>
    </row>
    <row r="9" spans="2:70">
      <c r="L9" s="30" t="s">
        <v>8</v>
      </c>
      <c r="M9" t="s">
        <v>102</v>
      </c>
      <c r="N9" t="s">
        <v>869</v>
      </c>
      <c r="O9" t="s">
        <v>1067</v>
      </c>
      <c r="Q9" s="30" t="s">
        <v>8</v>
      </c>
      <c r="R9" t="s">
        <v>857</v>
      </c>
      <c r="S9" t="s">
        <v>870</v>
      </c>
      <c r="T9" t="s">
        <v>1069</v>
      </c>
      <c r="V9" s="30" t="s">
        <v>8</v>
      </c>
      <c r="W9" t="s">
        <v>869</v>
      </c>
      <c r="X9" t="s">
        <v>102</v>
      </c>
      <c r="Y9" t="s">
        <v>1067</v>
      </c>
      <c r="AA9" s="30" t="s">
        <v>8</v>
      </c>
      <c r="AB9" t="s">
        <v>857</v>
      </c>
      <c r="AC9" t="s">
        <v>870</v>
      </c>
      <c r="AD9" t="s">
        <v>1069</v>
      </c>
      <c r="AF9" s="30" t="s">
        <v>8</v>
      </c>
      <c r="AG9" t="s">
        <v>102</v>
      </c>
      <c r="AH9" t="s">
        <v>869</v>
      </c>
      <c r="AI9" t="s">
        <v>1067</v>
      </c>
      <c r="AK9" s="30" t="s">
        <v>8</v>
      </c>
      <c r="AL9" t="s">
        <v>857</v>
      </c>
      <c r="AM9" t="s">
        <v>870</v>
      </c>
      <c r="AN9" t="s">
        <v>1069</v>
      </c>
      <c r="AP9" s="30" t="s">
        <v>8</v>
      </c>
      <c r="AQ9" t="s">
        <v>102</v>
      </c>
      <c r="AR9" t="s">
        <v>869</v>
      </c>
      <c r="AS9" t="s">
        <v>1067</v>
      </c>
      <c r="AU9" s="30" t="s">
        <v>8</v>
      </c>
      <c r="AV9" t="s">
        <v>857</v>
      </c>
      <c r="AW9" t="s">
        <v>870</v>
      </c>
      <c r="AX9" t="s">
        <v>1069</v>
      </c>
      <c r="AZ9" s="30" t="s">
        <v>8</v>
      </c>
      <c r="BA9" t="s">
        <v>102</v>
      </c>
      <c r="BB9" t="s">
        <v>869</v>
      </c>
      <c r="BC9" t="s">
        <v>1067</v>
      </c>
      <c r="BE9" s="30" t="s">
        <v>8</v>
      </c>
      <c r="BF9" t="s">
        <v>857</v>
      </c>
      <c r="BG9" t="s">
        <v>870</v>
      </c>
      <c r="BH9" t="s">
        <v>1069</v>
      </c>
      <c r="BJ9" s="30" t="s">
        <v>8</v>
      </c>
      <c r="BK9" t="s">
        <v>102</v>
      </c>
      <c r="BL9" t="s">
        <v>869</v>
      </c>
      <c r="BM9" t="s">
        <v>1067</v>
      </c>
      <c r="BO9" s="30" t="s">
        <v>8</v>
      </c>
      <c r="BP9" t="s">
        <v>857</v>
      </c>
      <c r="BQ9" t="s">
        <v>870</v>
      </c>
      <c r="BR9" t="s">
        <v>1069</v>
      </c>
    </row>
    <row r="10" spans="2:70">
      <c r="B10" s="124" t="s">
        <v>8</v>
      </c>
      <c r="C10" s="124" t="s">
        <v>102</v>
      </c>
      <c r="D10" s="124" t="s">
        <v>869</v>
      </c>
      <c r="E10" s="124" t="s">
        <v>1067</v>
      </c>
      <c r="G10" s="124" t="s">
        <v>8</v>
      </c>
      <c r="H10" s="124" t="s">
        <v>857</v>
      </c>
      <c r="I10" s="124" t="s">
        <v>870</v>
      </c>
      <c r="J10" s="124" t="s">
        <v>1069</v>
      </c>
      <c r="L10" s="27">
        <v>1</v>
      </c>
      <c r="M10" s="123">
        <v>720</v>
      </c>
      <c r="N10" s="123">
        <v>360</v>
      </c>
      <c r="O10" s="123" t="e">
        <v>#DIV/0!</v>
      </c>
      <c r="Q10" s="27">
        <v>1</v>
      </c>
      <c r="R10" s="123">
        <v>0.2</v>
      </c>
      <c r="S10" s="123">
        <v>24</v>
      </c>
      <c r="T10" s="123">
        <v>0.16666666666666666</v>
      </c>
      <c r="V10" s="27">
        <v>1</v>
      </c>
      <c r="W10" s="123">
        <v>360</v>
      </c>
      <c r="X10" s="123">
        <v>720</v>
      </c>
      <c r="Y10" s="123" t="e">
        <v>#DIV/0!</v>
      </c>
      <c r="AA10" s="27">
        <v>1</v>
      </c>
      <c r="AB10" s="123">
        <v>0.2</v>
      </c>
      <c r="AC10" s="123">
        <v>24</v>
      </c>
      <c r="AD10" s="123">
        <v>267.83333333333331</v>
      </c>
      <c r="AF10" s="27">
        <v>1</v>
      </c>
      <c r="AG10" s="123">
        <v>720</v>
      </c>
      <c r="AH10" s="123">
        <v>360</v>
      </c>
      <c r="AI10" s="123">
        <v>944.42499999999995</v>
      </c>
      <c r="AK10" s="27">
        <v>1</v>
      </c>
      <c r="AL10" s="123">
        <v>0.19999999999999998</v>
      </c>
      <c r="AM10" s="123">
        <v>24</v>
      </c>
      <c r="AN10" s="123">
        <v>1.4916666666666669</v>
      </c>
      <c r="AP10" s="27">
        <v>2</v>
      </c>
      <c r="AQ10" s="123">
        <v>720</v>
      </c>
      <c r="AR10" s="123">
        <v>360</v>
      </c>
      <c r="AS10" s="123" t="e">
        <v>#DIV/0!</v>
      </c>
      <c r="AU10" s="27">
        <v>2</v>
      </c>
      <c r="AV10" s="123">
        <v>0.2</v>
      </c>
      <c r="AW10" s="123">
        <v>24</v>
      </c>
      <c r="AX10" s="123">
        <v>3.5</v>
      </c>
      <c r="AZ10" s="27">
        <v>1</v>
      </c>
      <c r="BA10" s="123">
        <v>720</v>
      </c>
      <c r="BB10" s="123">
        <v>360</v>
      </c>
      <c r="BC10" s="123">
        <v>1297.5870370370369</v>
      </c>
      <c r="BE10" s="27">
        <v>1</v>
      </c>
      <c r="BF10" s="123">
        <v>0.19999999999999998</v>
      </c>
      <c r="BG10" s="123">
        <v>24</v>
      </c>
      <c r="BH10" s="123">
        <v>30.827777777777776</v>
      </c>
      <c r="BJ10" s="27">
        <v>1</v>
      </c>
      <c r="BK10" s="123">
        <v>720</v>
      </c>
      <c r="BL10" s="123">
        <v>360</v>
      </c>
      <c r="BM10" s="123">
        <v>1297.5870370370369</v>
      </c>
      <c r="BO10" s="27">
        <v>1</v>
      </c>
      <c r="BP10" s="123">
        <v>0.19999999999999998</v>
      </c>
      <c r="BQ10" s="123">
        <v>24</v>
      </c>
      <c r="BR10" s="123">
        <v>30.827777777777776</v>
      </c>
    </row>
    <row r="11" spans="2:70">
      <c r="B11" s="125">
        <v>1</v>
      </c>
      <c r="C11" s="126">
        <v>720</v>
      </c>
      <c r="D11" s="126">
        <v>360</v>
      </c>
      <c r="E11" s="126">
        <v>944.42499999999995</v>
      </c>
      <c r="G11" s="125">
        <v>1</v>
      </c>
      <c r="H11" s="126">
        <v>0.19999999999999998</v>
      </c>
      <c r="I11" s="126">
        <v>24</v>
      </c>
      <c r="J11" s="126">
        <v>1.4916666666666669</v>
      </c>
      <c r="L11" s="27">
        <v>2</v>
      </c>
      <c r="M11" s="123">
        <v>720</v>
      </c>
      <c r="N11" s="123">
        <v>360</v>
      </c>
      <c r="O11" s="123" t="e">
        <v>#DIV/0!</v>
      </c>
      <c r="Q11" s="27">
        <v>2</v>
      </c>
      <c r="R11" s="123">
        <v>0.2</v>
      </c>
      <c r="S11" s="123">
        <v>24</v>
      </c>
      <c r="T11" s="123">
        <v>0.16666666666666666</v>
      </c>
      <c r="V11" s="27">
        <v>3</v>
      </c>
      <c r="W11" s="123">
        <v>360</v>
      </c>
      <c r="X11" s="123">
        <v>720</v>
      </c>
      <c r="Y11" s="123" t="e">
        <v>#DIV/0!</v>
      </c>
      <c r="AA11" s="27">
        <v>3</v>
      </c>
      <c r="AB11" s="123">
        <v>0.2</v>
      </c>
      <c r="AC11" s="123">
        <v>24</v>
      </c>
      <c r="AD11" s="123">
        <v>7</v>
      </c>
      <c r="AF11" s="27">
        <v>2</v>
      </c>
      <c r="AG11" s="123">
        <v>720</v>
      </c>
      <c r="AH11" s="123">
        <v>360</v>
      </c>
      <c r="AI11" s="123">
        <v>260.8366666666667</v>
      </c>
      <c r="AK11" s="27">
        <v>2</v>
      </c>
      <c r="AL11" s="123">
        <v>0.20000000000000007</v>
      </c>
      <c r="AM11" s="123">
        <v>24</v>
      </c>
      <c r="AN11" s="123">
        <v>11.618840579710144</v>
      </c>
      <c r="AP11" s="27">
        <v>3</v>
      </c>
      <c r="AQ11" s="123">
        <v>720</v>
      </c>
      <c r="AR11" s="123">
        <v>360</v>
      </c>
      <c r="AS11" s="123">
        <v>4005.8583333333331</v>
      </c>
      <c r="AU11" s="27">
        <v>3</v>
      </c>
      <c r="AV11" s="123">
        <v>0.2</v>
      </c>
      <c r="AW11" s="123">
        <v>24</v>
      </c>
      <c r="AX11" s="123">
        <v>11.954166666666666</v>
      </c>
      <c r="AZ11" s="27">
        <v>2</v>
      </c>
      <c r="BA11" s="123">
        <v>720</v>
      </c>
      <c r="BB11" s="123">
        <v>360</v>
      </c>
      <c r="BC11" s="123">
        <v>260.8366666666667</v>
      </c>
      <c r="BE11" s="27">
        <v>2</v>
      </c>
      <c r="BF11" s="123">
        <v>0.20000000000000007</v>
      </c>
      <c r="BG11" s="123">
        <v>24</v>
      </c>
      <c r="BH11" s="123">
        <v>10.437179487179488</v>
      </c>
      <c r="BJ11" s="27">
        <v>2</v>
      </c>
      <c r="BK11" s="123">
        <v>720</v>
      </c>
      <c r="BL11" s="123">
        <v>360</v>
      </c>
      <c r="BM11" s="123">
        <v>260.8366666666667</v>
      </c>
      <c r="BO11" s="27">
        <v>2</v>
      </c>
      <c r="BP11" s="123">
        <v>0.20000000000000007</v>
      </c>
      <c r="BQ11" s="123">
        <v>24</v>
      </c>
      <c r="BR11" s="123">
        <v>10.437179487179488</v>
      </c>
    </row>
    <row r="12" spans="2:70">
      <c r="B12" s="125">
        <v>2</v>
      </c>
      <c r="C12" s="126">
        <v>720</v>
      </c>
      <c r="D12" s="126">
        <v>360</v>
      </c>
      <c r="E12" s="126">
        <v>260.8366666666667</v>
      </c>
      <c r="G12" s="125">
        <v>2</v>
      </c>
      <c r="H12" s="126">
        <v>0.20000000000000007</v>
      </c>
      <c r="I12" s="126">
        <v>24</v>
      </c>
      <c r="J12" s="126">
        <v>11.618840579710144</v>
      </c>
      <c r="L12" s="27">
        <v>3</v>
      </c>
      <c r="M12" s="123">
        <v>720</v>
      </c>
      <c r="N12" s="123">
        <v>360</v>
      </c>
      <c r="O12" s="123">
        <v>4324.6499999999996</v>
      </c>
      <c r="Q12" s="27">
        <v>3</v>
      </c>
      <c r="R12" s="123">
        <v>0.2</v>
      </c>
      <c r="S12" s="123">
        <v>24</v>
      </c>
      <c r="T12" s="123">
        <v>0.45</v>
      </c>
      <c r="V12" s="27">
        <v>5</v>
      </c>
      <c r="W12" s="123">
        <v>360</v>
      </c>
      <c r="X12" s="123">
        <v>720</v>
      </c>
      <c r="Y12" s="123">
        <v>385.79999999999995</v>
      </c>
      <c r="AA12" s="27">
        <v>5</v>
      </c>
      <c r="AB12" s="123">
        <v>0.19999999999999998</v>
      </c>
      <c r="AC12" s="123">
        <v>24</v>
      </c>
      <c r="AD12" s="123">
        <v>8.6222222222222218</v>
      </c>
      <c r="AF12" s="27">
        <v>3</v>
      </c>
      <c r="AG12" s="123">
        <v>720</v>
      </c>
      <c r="AH12" s="123">
        <v>360</v>
      </c>
      <c r="AI12" s="123">
        <v>236.78550724637685</v>
      </c>
      <c r="AK12" s="27">
        <v>3</v>
      </c>
      <c r="AL12" s="123">
        <v>0.20000000000000007</v>
      </c>
      <c r="AM12" s="123">
        <v>24</v>
      </c>
      <c r="AN12" s="123">
        <v>11.028030303030301</v>
      </c>
      <c r="AP12" s="27">
        <v>4</v>
      </c>
      <c r="AQ12" s="123">
        <v>720</v>
      </c>
      <c r="AR12" s="123">
        <v>360</v>
      </c>
      <c r="AS12" s="123">
        <v>1459.5958333333333</v>
      </c>
      <c r="AU12" s="27">
        <v>4</v>
      </c>
      <c r="AV12" s="123">
        <v>0.2</v>
      </c>
      <c r="AW12" s="123">
        <v>24</v>
      </c>
      <c r="AX12" s="123">
        <v>0.46666666666666667</v>
      </c>
      <c r="AZ12" s="27">
        <v>3</v>
      </c>
      <c r="BA12" s="123">
        <v>720</v>
      </c>
      <c r="BB12" s="123">
        <v>360</v>
      </c>
      <c r="BC12" s="123">
        <v>683.93974358974344</v>
      </c>
      <c r="BE12" s="27">
        <v>3</v>
      </c>
      <c r="BF12" s="123">
        <v>0.20000000000000009</v>
      </c>
      <c r="BG12" s="123">
        <v>24</v>
      </c>
      <c r="BH12" s="123">
        <v>10.638690476190472</v>
      </c>
      <c r="BJ12" s="27">
        <v>3</v>
      </c>
      <c r="BK12" s="123">
        <v>720</v>
      </c>
      <c r="BL12" s="123">
        <v>360</v>
      </c>
      <c r="BM12" s="123">
        <v>683.93974358974344</v>
      </c>
      <c r="BO12" s="27">
        <v>3</v>
      </c>
      <c r="BP12" s="123">
        <v>0.20000000000000009</v>
      </c>
      <c r="BQ12" s="123">
        <v>24</v>
      </c>
      <c r="BR12" s="123">
        <v>10.638690476190472</v>
      </c>
    </row>
    <row r="13" spans="2:70">
      <c r="B13" s="125">
        <v>3</v>
      </c>
      <c r="C13" s="126">
        <v>720</v>
      </c>
      <c r="D13" s="126">
        <v>360</v>
      </c>
      <c r="E13" s="126">
        <v>236.78550724637685</v>
      </c>
      <c r="G13" s="125">
        <v>3</v>
      </c>
      <c r="H13" s="126">
        <v>0.20000000000000007</v>
      </c>
      <c r="I13" s="126">
        <v>24</v>
      </c>
      <c r="J13" s="126">
        <v>11.028030303030301</v>
      </c>
      <c r="L13" s="27">
        <v>7</v>
      </c>
      <c r="M13" s="123">
        <v>720</v>
      </c>
      <c r="N13" s="123">
        <v>360</v>
      </c>
      <c r="O13" s="123">
        <v>143.03333333333333</v>
      </c>
      <c r="Q13" s="27">
        <v>7</v>
      </c>
      <c r="R13" s="123">
        <v>0.2</v>
      </c>
      <c r="S13" s="123">
        <v>24</v>
      </c>
      <c r="T13" s="123">
        <v>0.66666666666666663</v>
      </c>
      <c r="V13" s="27">
        <v>6</v>
      </c>
      <c r="W13" s="123">
        <v>360</v>
      </c>
      <c r="X13" s="123">
        <v>720</v>
      </c>
      <c r="Y13" s="123">
        <v>248.875</v>
      </c>
      <c r="AA13" s="27">
        <v>6</v>
      </c>
      <c r="AB13" s="123">
        <v>0.20000000000000004</v>
      </c>
      <c r="AC13" s="123">
        <v>24</v>
      </c>
      <c r="AD13" s="123">
        <v>1.3888888888888891</v>
      </c>
      <c r="AF13" s="27">
        <v>4</v>
      </c>
      <c r="AG13" s="123">
        <v>720</v>
      </c>
      <c r="AH13" s="123">
        <v>360</v>
      </c>
      <c r="AI13" s="123">
        <v>372.68095238095242</v>
      </c>
      <c r="AK13" s="27">
        <v>4</v>
      </c>
      <c r="AL13" s="123">
        <v>0.19999999999999998</v>
      </c>
      <c r="AM13" s="123">
        <v>24</v>
      </c>
      <c r="AN13" s="123">
        <v>15.312962962962956</v>
      </c>
      <c r="AP13" s="27">
        <v>5</v>
      </c>
      <c r="AQ13" s="123">
        <v>720</v>
      </c>
      <c r="AR13" s="123">
        <v>360</v>
      </c>
      <c r="AS13" s="123">
        <v>76.454166666666666</v>
      </c>
      <c r="AU13" s="27">
        <v>5</v>
      </c>
      <c r="AV13" s="123">
        <v>0.19999999999999998</v>
      </c>
      <c r="AW13" s="123">
        <v>24</v>
      </c>
      <c r="AX13" s="123">
        <v>0.41666666666666663</v>
      </c>
      <c r="AZ13" s="27">
        <v>4</v>
      </c>
      <c r="BA13" s="123">
        <v>720</v>
      </c>
      <c r="BB13" s="123">
        <v>360</v>
      </c>
      <c r="BC13" s="123">
        <v>883.41388888888889</v>
      </c>
      <c r="BE13" s="27">
        <v>4</v>
      </c>
      <c r="BF13" s="123">
        <v>0.2</v>
      </c>
      <c r="BG13" s="123">
        <v>24</v>
      </c>
      <c r="BH13" s="123">
        <v>10.347619047619043</v>
      </c>
      <c r="BJ13" s="27">
        <v>4</v>
      </c>
      <c r="BK13" s="123">
        <v>720</v>
      </c>
      <c r="BL13" s="123">
        <v>360</v>
      </c>
      <c r="BM13" s="123">
        <v>883.41388888888889</v>
      </c>
      <c r="BO13" s="27">
        <v>4</v>
      </c>
      <c r="BP13" s="123">
        <v>0.2</v>
      </c>
      <c r="BQ13" s="123">
        <v>24</v>
      </c>
      <c r="BR13" s="123">
        <v>10.347619047619043</v>
      </c>
    </row>
    <row r="14" spans="2:70">
      <c r="B14" s="125">
        <v>4</v>
      </c>
      <c r="C14" s="126">
        <v>720</v>
      </c>
      <c r="D14" s="126">
        <v>360</v>
      </c>
      <c r="E14" s="126">
        <v>372.68095238095242</v>
      </c>
      <c r="G14" s="125">
        <v>4</v>
      </c>
      <c r="H14" s="126">
        <v>0.19999999999999998</v>
      </c>
      <c r="I14" s="126">
        <v>24</v>
      </c>
      <c r="J14" s="126">
        <v>15.312962962962956</v>
      </c>
      <c r="L14" s="27" t="s">
        <v>9</v>
      </c>
      <c r="M14" s="123">
        <v>720</v>
      </c>
      <c r="N14" s="123">
        <v>360</v>
      </c>
      <c r="O14" s="123">
        <v>2233.8416666666667</v>
      </c>
      <c r="Q14" s="27" t="s">
        <v>9</v>
      </c>
      <c r="R14" s="123">
        <v>0.2</v>
      </c>
      <c r="S14" s="123">
        <v>24</v>
      </c>
      <c r="T14" s="123">
        <v>0.36249999999999999</v>
      </c>
      <c r="V14" s="27">
        <v>7</v>
      </c>
      <c r="W14" s="123">
        <v>360</v>
      </c>
      <c r="X14" s="123">
        <v>720</v>
      </c>
      <c r="Y14" s="123">
        <v>115.30555555555556</v>
      </c>
      <c r="AA14" s="27">
        <v>7</v>
      </c>
      <c r="AB14" s="123">
        <v>0.2</v>
      </c>
      <c r="AC14" s="123">
        <v>24</v>
      </c>
      <c r="AD14" s="123">
        <v>13.958333333333334</v>
      </c>
      <c r="AF14" s="27">
        <v>5</v>
      </c>
      <c r="AG14" s="123">
        <v>720</v>
      </c>
      <c r="AH14" s="123">
        <v>360</v>
      </c>
      <c r="AI14" s="123">
        <v>518.86176470588248</v>
      </c>
      <c r="AK14" s="27">
        <v>5</v>
      </c>
      <c r="AL14" s="123">
        <v>0.20000000000000007</v>
      </c>
      <c r="AM14" s="123">
        <v>24</v>
      </c>
      <c r="AN14" s="123">
        <v>8.3192982456140356</v>
      </c>
      <c r="AP14" s="27">
        <v>6</v>
      </c>
      <c r="AQ14" s="123">
        <v>720</v>
      </c>
      <c r="AR14" s="123">
        <v>360</v>
      </c>
      <c r="AS14" s="123">
        <v>2642.2944444444443</v>
      </c>
      <c r="AU14" s="27">
        <v>6</v>
      </c>
      <c r="AV14" s="123">
        <v>0.20000000000000004</v>
      </c>
      <c r="AW14" s="123">
        <v>24</v>
      </c>
      <c r="AX14" s="123">
        <v>1.1444444444444444</v>
      </c>
      <c r="AZ14" s="27">
        <v>5</v>
      </c>
      <c r="BA14" s="123">
        <v>720</v>
      </c>
      <c r="BB14" s="123">
        <v>360</v>
      </c>
      <c r="BC14" s="123">
        <v>418.59294871794879</v>
      </c>
      <c r="BE14" s="27">
        <v>5</v>
      </c>
      <c r="BF14" s="123">
        <v>0.20000000000000009</v>
      </c>
      <c r="BG14" s="123">
        <v>24</v>
      </c>
      <c r="BH14" s="123">
        <v>6.6473958333333334</v>
      </c>
      <c r="BJ14" s="27">
        <v>5</v>
      </c>
      <c r="BK14" s="123">
        <v>720</v>
      </c>
      <c r="BL14" s="123">
        <v>360</v>
      </c>
      <c r="BM14" s="123">
        <v>418.59294871794879</v>
      </c>
      <c r="BO14" s="27">
        <v>5</v>
      </c>
      <c r="BP14" s="123">
        <v>0.20000000000000009</v>
      </c>
      <c r="BQ14" s="123">
        <v>24</v>
      </c>
      <c r="BR14" s="123">
        <v>6.6473958333333334</v>
      </c>
    </row>
    <row r="15" spans="2:70">
      <c r="B15" s="125">
        <v>5</v>
      </c>
      <c r="C15" s="126">
        <v>720</v>
      </c>
      <c r="D15" s="126">
        <v>360</v>
      </c>
      <c r="E15" s="126">
        <v>518.86176470588248</v>
      </c>
      <c r="G15" s="125">
        <v>5</v>
      </c>
      <c r="H15" s="126">
        <v>0.20000000000000007</v>
      </c>
      <c r="I15" s="126">
        <v>24</v>
      </c>
      <c r="J15" s="126">
        <v>8.3192982456140356</v>
      </c>
      <c r="V15" s="27">
        <v>8</v>
      </c>
      <c r="W15" s="123">
        <v>360</v>
      </c>
      <c r="X15" s="123">
        <v>720</v>
      </c>
      <c r="Y15" s="123" t="e">
        <v>#DIV/0!</v>
      </c>
      <c r="AA15" s="27">
        <v>8</v>
      </c>
      <c r="AB15" s="123">
        <v>0.2</v>
      </c>
      <c r="AC15" s="123">
        <v>24</v>
      </c>
      <c r="AD15" s="123">
        <v>5.25</v>
      </c>
      <c r="AF15" s="27">
        <v>6</v>
      </c>
      <c r="AG15" s="123">
        <v>720</v>
      </c>
      <c r="AH15" s="123">
        <v>360</v>
      </c>
      <c r="AI15" s="123">
        <v>717.63240740740753</v>
      </c>
      <c r="AK15" s="27">
        <v>6</v>
      </c>
      <c r="AL15" s="123">
        <v>0.20000000000000007</v>
      </c>
      <c r="AM15" s="123">
        <v>24</v>
      </c>
      <c r="AN15" s="123">
        <v>3.4175925925925923</v>
      </c>
      <c r="AP15" s="27">
        <v>8</v>
      </c>
      <c r="AQ15" s="123">
        <v>720</v>
      </c>
      <c r="AR15" s="123">
        <v>360</v>
      </c>
      <c r="AS15" s="123">
        <v>752.09666666666669</v>
      </c>
      <c r="AU15" s="27">
        <v>8</v>
      </c>
      <c r="AV15" s="123">
        <v>0.19999999999999998</v>
      </c>
      <c r="AW15" s="123">
        <v>24</v>
      </c>
      <c r="AX15" s="123">
        <v>3.0166666666666671</v>
      </c>
      <c r="AZ15" s="27">
        <v>6</v>
      </c>
      <c r="BA15" s="123">
        <v>720</v>
      </c>
      <c r="BB15" s="123">
        <v>360</v>
      </c>
      <c r="BC15" s="123">
        <v>927.91376811594205</v>
      </c>
      <c r="BE15" s="27">
        <v>6</v>
      </c>
      <c r="BF15" s="123">
        <v>0.20000000000000007</v>
      </c>
      <c r="BG15" s="123">
        <v>24</v>
      </c>
      <c r="BH15" s="123">
        <v>32.694666666666656</v>
      </c>
      <c r="BJ15" s="27">
        <v>6</v>
      </c>
      <c r="BK15" s="123">
        <v>720</v>
      </c>
      <c r="BL15" s="123">
        <v>360</v>
      </c>
      <c r="BM15" s="123">
        <v>927.91376811594205</v>
      </c>
      <c r="BO15" s="27">
        <v>6</v>
      </c>
      <c r="BP15" s="123">
        <v>0.20000000000000007</v>
      </c>
      <c r="BQ15" s="123">
        <v>24</v>
      </c>
      <c r="BR15" s="123">
        <v>32.694666666666656</v>
      </c>
    </row>
    <row r="16" spans="2:70">
      <c r="B16" s="125">
        <v>6</v>
      </c>
      <c r="C16" s="126">
        <v>720</v>
      </c>
      <c r="D16" s="126">
        <v>360</v>
      </c>
      <c r="E16" s="126">
        <v>717.63240740740753</v>
      </c>
      <c r="G16" s="125">
        <v>6</v>
      </c>
      <c r="H16" s="126">
        <v>0.20000000000000007</v>
      </c>
      <c r="I16" s="126">
        <v>24</v>
      </c>
      <c r="J16" s="126">
        <v>3.4175925925925923</v>
      </c>
      <c r="V16" s="27">
        <v>9</v>
      </c>
      <c r="W16" s="123">
        <v>360</v>
      </c>
      <c r="X16" s="123">
        <v>720</v>
      </c>
      <c r="Y16" s="123" t="e">
        <v>#DIV/0!</v>
      </c>
      <c r="AA16" s="27">
        <v>9</v>
      </c>
      <c r="AB16" s="123">
        <v>0.2</v>
      </c>
      <c r="AC16" s="123">
        <v>24</v>
      </c>
      <c r="AD16" s="123">
        <v>1.25</v>
      </c>
      <c r="AF16" s="27">
        <v>7</v>
      </c>
      <c r="AG16" s="123">
        <v>720</v>
      </c>
      <c r="AH16" s="123">
        <v>360</v>
      </c>
      <c r="AI16" s="123">
        <v>371.67999999999995</v>
      </c>
      <c r="AK16" s="27">
        <v>7</v>
      </c>
      <c r="AL16" s="123">
        <v>0.20000000000000004</v>
      </c>
      <c r="AM16" s="123">
        <v>24</v>
      </c>
      <c r="AN16" s="123">
        <v>38.776984126984125</v>
      </c>
      <c r="AP16" s="27">
        <v>9</v>
      </c>
      <c r="AQ16" s="123">
        <v>720</v>
      </c>
      <c r="AR16" s="123">
        <v>360</v>
      </c>
      <c r="AS16" s="123">
        <v>455.75</v>
      </c>
      <c r="AU16" s="27">
        <v>9</v>
      </c>
      <c r="AV16" s="123">
        <v>0.2</v>
      </c>
      <c r="AW16" s="123">
        <v>24</v>
      </c>
      <c r="AX16" s="123">
        <v>0.5</v>
      </c>
      <c r="AZ16" s="27">
        <v>7</v>
      </c>
      <c r="BA16" s="123">
        <v>720</v>
      </c>
      <c r="BB16" s="123">
        <v>360</v>
      </c>
      <c r="BC16" s="123">
        <v>345.83533333333332</v>
      </c>
      <c r="BE16" s="27">
        <v>7</v>
      </c>
      <c r="BF16" s="123">
        <v>0.20000000000000007</v>
      </c>
      <c r="BG16" s="123">
        <v>24</v>
      </c>
      <c r="BH16" s="123">
        <v>33.809333333333328</v>
      </c>
      <c r="BJ16" s="27">
        <v>7</v>
      </c>
      <c r="BK16" s="123">
        <v>720</v>
      </c>
      <c r="BL16" s="123">
        <v>360</v>
      </c>
      <c r="BM16" s="123">
        <v>345.83533333333332</v>
      </c>
      <c r="BO16" s="27">
        <v>7</v>
      </c>
      <c r="BP16" s="123">
        <v>0.20000000000000007</v>
      </c>
      <c r="BQ16" s="123">
        <v>24</v>
      </c>
      <c r="BR16" s="123">
        <v>33.809333333333328</v>
      </c>
    </row>
    <row r="17" spans="2:70">
      <c r="B17" s="125">
        <v>7</v>
      </c>
      <c r="C17" s="126">
        <v>720</v>
      </c>
      <c r="D17" s="126">
        <v>360</v>
      </c>
      <c r="E17" s="126">
        <v>371.67999999999995</v>
      </c>
      <c r="G17" s="125">
        <v>7</v>
      </c>
      <c r="H17" s="126">
        <v>0.20000000000000004</v>
      </c>
      <c r="I17" s="126">
        <v>24</v>
      </c>
      <c r="J17" s="126">
        <v>38.776984126984125</v>
      </c>
      <c r="V17" s="27" t="s">
        <v>9</v>
      </c>
      <c r="W17" s="123">
        <v>360</v>
      </c>
      <c r="X17" s="123">
        <v>720</v>
      </c>
      <c r="Y17" s="123">
        <v>265.20740740740735</v>
      </c>
      <c r="AA17" s="27">
        <v>10</v>
      </c>
      <c r="AB17" s="123">
        <v>0.2</v>
      </c>
      <c r="AC17" s="123">
        <v>24</v>
      </c>
      <c r="AD17" s="123">
        <v>2001.75</v>
      </c>
      <c r="AF17" s="27">
        <v>8</v>
      </c>
      <c r="AG17" s="123">
        <v>720</v>
      </c>
      <c r="AH17" s="123">
        <v>360</v>
      </c>
      <c r="AI17" s="123">
        <v>150.91875000006215</v>
      </c>
      <c r="AK17" s="27">
        <v>8</v>
      </c>
      <c r="AL17" s="123">
        <v>0.20000000000000009</v>
      </c>
      <c r="AM17" s="123">
        <v>24</v>
      </c>
      <c r="AN17" s="123">
        <v>13.7080808080206</v>
      </c>
      <c r="AP17" s="27" t="s">
        <v>9</v>
      </c>
      <c r="AQ17" s="123">
        <v>720</v>
      </c>
      <c r="AR17" s="123">
        <v>360</v>
      </c>
      <c r="AS17" s="123">
        <v>1384.1596491228072</v>
      </c>
      <c r="AU17" s="27" t="s">
        <v>9</v>
      </c>
      <c r="AV17" s="123">
        <v>0.20000000000000007</v>
      </c>
      <c r="AW17" s="123">
        <v>24</v>
      </c>
      <c r="AX17" s="123">
        <v>3.0051282051282056</v>
      </c>
      <c r="AZ17" s="27">
        <v>8</v>
      </c>
      <c r="BA17" s="123">
        <v>720</v>
      </c>
      <c r="BB17" s="123">
        <v>360</v>
      </c>
      <c r="BC17" s="123">
        <v>232.15900900906269</v>
      </c>
      <c r="BE17" s="27">
        <v>8</v>
      </c>
      <c r="BF17" s="123">
        <v>0.20000000000000004</v>
      </c>
      <c r="BG17" s="123">
        <v>24</v>
      </c>
      <c r="BH17" s="123">
        <v>11.479365079317772</v>
      </c>
      <c r="BJ17" s="27">
        <v>8</v>
      </c>
      <c r="BK17" s="123">
        <v>720</v>
      </c>
      <c r="BL17" s="123">
        <v>360</v>
      </c>
      <c r="BM17" s="123">
        <v>232.15900900906269</v>
      </c>
      <c r="BO17" s="27">
        <v>8</v>
      </c>
      <c r="BP17" s="123">
        <v>0.20000000000000004</v>
      </c>
      <c r="BQ17" s="123">
        <v>24</v>
      </c>
      <c r="BR17" s="123">
        <v>11.479365079317772</v>
      </c>
    </row>
    <row r="18" spans="2:70">
      <c r="B18" s="125">
        <v>8</v>
      </c>
      <c r="C18" s="126">
        <v>720</v>
      </c>
      <c r="D18" s="126">
        <v>360</v>
      </c>
      <c r="E18" s="126">
        <v>150.91875000006215</v>
      </c>
      <c r="G18" s="125">
        <v>8</v>
      </c>
      <c r="H18" s="126">
        <v>0.20000000000000009</v>
      </c>
      <c r="I18" s="126">
        <v>24</v>
      </c>
      <c r="J18" s="126">
        <v>13.7080808080206</v>
      </c>
      <c r="AA18" s="27" t="s">
        <v>9</v>
      </c>
      <c r="AB18" s="123">
        <v>0.20000000000000007</v>
      </c>
      <c r="AC18" s="123">
        <v>24</v>
      </c>
      <c r="AD18" s="123">
        <v>131.85555555555555</v>
      </c>
      <c r="AF18" s="27">
        <v>9</v>
      </c>
      <c r="AG18" s="123">
        <v>720</v>
      </c>
      <c r="AH18" s="123">
        <v>360</v>
      </c>
      <c r="AI18" s="123">
        <v>217.03333333333336</v>
      </c>
      <c r="AK18" s="27">
        <v>9</v>
      </c>
      <c r="AL18" s="123">
        <v>0.2</v>
      </c>
      <c r="AM18" s="123">
        <v>24</v>
      </c>
      <c r="AN18" s="123">
        <v>3.0300000000000002</v>
      </c>
      <c r="AZ18" s="27">
        <v>9</v>
      </c>
      <c r="BA18" s="123">
        <v>720</v>
      </c>
      <c r="BB18" s="123">
        <v>360</v>
      </c>
      <c r="BC18" s="123">
        <v>256.81944444444446</v>
      </c>
      <c r="BE18" s="27">
        <v>9</v>
      </c>
      <c r="BF18" s="123">
        <v>0.19999999999999998</v>
      </c>
      <c r="BG18" s="123">
        <v>24</v>
      </c>
      <c r="BH18" s="123">
        <v>2.2687499999999998</v>
      </c>
      <c r="BJ18" s="27">
        <v>9</v>
      </c>
      <c r="BK18" s="123">
        <v>720</v>
      </c>
      <c r="BL18" s="123">
        <v>360</v>
      </c>
      <c r="BM18" s="123">
        <v>256.81944444444446</v>
      </c>
      <c r="BO18" s="27">
        <v>9</v>
      </c>
      <c r="BP18" s="123">
        <v>0.19999999999999998</v>
      </c>
      <c r="BQ18" s="123">
        <v>24</v>
      </c>
      <c r="BR18" s="123">
        <v>2.2687499999999998</v>
      </c>
    </row>
    <row r="19" spans="2:70">
      <c r="B19" s="125">
        <v>9</v>
      </c>
      <c r="C19" s="126">
        <v>720</v>
      </c>
      <c r="D19" s="126">
        <v>360</v>
      </c>
      <c r="E19" s="126">
        <v>217.03333333333336</v>
      </c>
      <c r="G19" s="125">
        <v>9</v>
      </c>
      <c r="H19" s="126">
        <v>0.2</v>
      </c>
      <c r="I19" s="126">
        <v>24</v>
      </c>
      <c r="J19" s="126">
        <v>3.0300000000000002</v>
      </c>
      <c r="AF19" s="27">
        <v>10</v>
      </c>
      <c r="AG19" s="123">
        <v>720</v>
      </c>
      <c r="AH19" s="123"/>
      <c r="AI19" s="123">
        <v>352.22222222222223</v>
      </c>
      <c r="AK19" s="27">
        <v>10</v>
      </c>
      <c r="AL19" s="123">
        <v>0.20000000000000004</v>
      </c>
      <c r="AM19" s="123">
        <v>24</v>
      </c>
      <c r="AN19" s="123">
        <v>1.0444444444444445</v>
      </c>
      <c r="AZ19" s="27">
        <v>10</v>
      </c>
      <c r="BA19" s="123">
        <v>720</v>
      </c>
      <c r="BB19" s="123"/>
      <c r="BC19" s="123">
        <v>352.22222222222223</v>
      </c>
      <c r="BE19" s="27">
        <v>10</v>
      </c>
      <c r="BF19" s="123">
        <v>0.2</v>
      </c>
      <c r="BG19" s="123">
        <v>24</v>
      </c>
      <c r="BH19" s="123">
        <v>401.11</v>
      </c>
      <c r="BJ19" s="27">
        <v>10</v>
      </c>
      <c r="BK19" s="123">
        <v>720</v>
      </c>
      <c r="BL19" s="123"/>
      <c r="BM19" s="123">
        <v>352.22222222222223</v>
      </c>
      <c r="BO19" s="27">
        <v>10</v>
      </c>
      <c r="BP19" s="123">
        <v>0.2</v>
      </c>
      <c r="BQ19" s="123">
        <v>24</v>
      </c>
      <c r="BR19" s="123">
        <v>401.11</v>
      </c>
    </row>
    <row r="20" spans="2:70">
      <c r="B20" s="125">
        <v>10</v>
      </c>
      <c r="C20" s="126">
        <v>720</v>
      </c>
      <c r="D20" s="126"/>
      <c r="E20" s="126">
        <v>352.22222222222223</v>
      </c>
      <c r="G20" s="125">
        <v>10</v>
      </c>
      <c r="H20" s="126">
        <v>0.20000000000000004</v>
      </c>
      <c r="I20" s="126">
        <v>24</v>
      </c>
      <c r="J20" s="126">
        <v>1.0444444444444445</v>
      </c>
      <c r="AF20" s="27">
        <v>11</v>
      </c>
      <c r="AG20" s="123" t="e">
        <v>#N/A</v>
      </c>
      <c r="AH20" s="123"/>
      <c r="AI20" s="123">
        <v>741.13333333333333</v>
      </c>
      <c r="AK20" s="27">
        <v>11</v>
      </c>
      <c r="AL20" s="123" t="e">
        <v>#N/A</v>
      </c>
      <c r="AM20" s="123" t="e">
        <v>#N/A</v>
      </c>
      <c r="AN20" s="123">
        <v>4.5611111111111109</v>
      </c>
      <c r="AZ20" s="27">
        <v>11</v>
      </c>
      <c r="BA20" s="123" t="e">
        <v>#N/A</v>
      </c>
      <c r="BB20" s="123"/>
      <c r="BC20" s="123">
        <v>741.13333333333333</v>
      </c>
      <c r="BE20" s="27">
        <v>11</v>
      </c>
      <c r="BF20" s="123" t="e">
        <v>#N/A</v>
      </c>
      <c r="BG20" s="123" t="e">
        <v>#N/A</v>
      </c>
      <c r="BH20" s="123">
        <v>4.5611111111111109</v>
      </c>
      <c r="BJ20" s="27">
        <v>11</v>
      </c>
      <c r="BK20" s="123" t="e">
        <v>#N/A</v>
      </c>
      <c r="BL20" s="123"/>
      <c r="BM20" s="123">
        <v>741.13333333333333</v>
      </c>
      <c r="BO20" s="27">
        <v>11</v>
      </c>
      <c r="BP20" s="123" t="e">
        <v>#N/A</v>
      </c>
      <c r="BQ20" s="123" t="e">
        <v>#N/A</v>
      </c>
      <c r="BR20" s="123">
        <v>4.5611111111111109</v>
      </c>
    </row>
    <row r="21" spans="2:70">
      <c r="B21" s="125">
        <v>11</v>
      </c>
      <c r="C21" s="126" t="e">
        <v>#N/A</v>
      </c>
      <c r="D21" s="126"/>
      <c r="E21" s="126">
        <v>741.13333333333333</v>
      </c>
      <c r="G21" s="125">
        <v>11</v>
      </c>
      <c r="H21" s="126" t="e">
        <v>#N/A</v>
      </c>
      <c r="I21" s="126" t="e">
        <v>#N/A</v>
      </c>
      <c r="J21" s="126">
        <v>4.5611111111111109</v>
      </c>
      <c r="AF21" s="27" t="s">
        <v>9</v>
      </c>
      <c r="AG21" s="123" t="e">
        <v>#N/A</v>
      </c>
      <c r="AH21" s="123">
        <v>360</v>
      </c>
      <c r="AI21" s="123">
        <v>397.08719512196319</v>
      </c>
      <c r="AK21" s="27" t="s">
        <v>9</v>
      </c>
      <c r="AL21" s="123" t="e">
        <v>#N/A</v>
      </c>
      <c r="AM21" s="123" t="e">
        <v>#N/A</v>
      </c>
      <c r="AN21" s="123">
        <v>12.958479532152118</v>
      </c>
      <c r="AZ21" s="27" t="s">
        <v>9</v>
      </c>
      <c r="BA21" s="123" t="e">
        <v>#N/A</v>
      </c>
      <c r="BB21" s="123">
        <v>360</v>
      </c>
      <c r="BC21" s="123">
        <v>532.77609427610435</v>
      </c>
      <c r="BE21" s="27" t="s">
        <v>9</v>
      </c>
      <c r="BF21" s="123" t="e">
        <v>#N/A</v>
      </c>
      <c r="BG21" s="123" t="e">
        <v>#N/A</v>
      </c>
      <c r="BH21" s="123">
        <v>24.015265486716874</v>
      </c>
      <c r="BJ21" s="27" t="s">
        <v>9</v>
      </c>
      <c r="BK21" s="123" t="e">
        <v>#N/A</v>
      </c>
      <c r="BL21" s="123">
        <v>360</v>
      </c>
      <c r="BM21" s="123">
        <v>532.77609427610435</v>
      </c>
      <c r="BO21" s="27" t="s">
        <v>9</v>
      </c>
      <c r="BP21" s="123" t="e">
        <v>#N/A</v>
      </c>
      <c r="BQ21" s="123" t="e">
        <v>#N/A</v>
      </c>
      <c r="BR21" s="123">
        <v>24.015265486716874</v>
      </c>
    </row>
    <row r="22" spans="2:70">
      <c r="B22" s="125" t="s">
        <v>9</v>
      </c>
      <c r="C22" s="126" t="e">
        <v>#N/A</v>
      </c>
      <c r="D22" s="126">
        <v>360</v>
      </c>
      <c r="E22" s="126">
        <v>397.08719512196319</v>
      </c>
      <c r="G22" s="125" t="s">
        <v>9</v>
      </c>
      <c r="H22" s="126" t="e">
        <v>#N/A</v>
      </c>
      <c r="I22" s="126" t="e">
        <v>#N/A</v>
      </c>
      <c r="J22" s="126">
        <v>12.958479532152118</v>
      </c>
    </row>
  </sheetData>
  <mergeCells count="21">
    <mergeCell ref="BJ1:BR1"/>
    <mergeCell ref="BJ2:BM2"/>
    <mergeCell ref="BO2:BR2"/>
    <mergeCell ref="AP1:AX1"/>
    <mergeCell ref="AP2:AS2"/>
    <mergeCell ref="AU2:AX2"/>
    <mergeCell ref="AZ1:BH1"/>
    <mergeCell ref="AZ2:BC2"/>
    <mergeCell ref="BE2:BH2"/>
    <mergeCell ref="V1:AD1"/>
    <mergeCell ref="V2:Y2"/>
    <mergeCell ref="AA2:AD2"/>
    <mergeCell ref="AF1:AN1"/>
    <mergeCell ref="AF2:AI2"/>
    <mergeCell ref="AK2:AN2"/>
    <mergeCell ref="B2:E2"/>
    <mergeCell ref="G2:J2"/>
    <mergeCell ref="B1:J1"/>
    <mergeCell ref="L1:T1"/>
    <mergeCell ref="L2:O2"/>
    <mergeCell ref="Q2:T2"/>
  </mergeCells>
  <pageMargins left="0.7" right="0.7" top="0.75" bottom="0.75" header="0.3" footer="0.3"/>
  <pageSetup orientation="portrait"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F30C-F557-407C-99B6-4C8549232317}">
  <dimension ref="A1:D24"/>
  <sheetViews>
    <sheetView rightToLeft="1" workbookViewId="0">
      <selection sqref="A1:D24"/>
    </sheetView>
  </sheetViews>
  <sheetFormatPr defaultRowHeight="15" outlineLevelCol="1"/>
  <cols>
    <col min="1" max="1" width="13.140625" bestFit="1" customWidth="1" outlineLevel="1"/>
    <col min="2" max="2" width="23.28515625" bestFit="1" customWidth="1" outlineLevel="1"/>
    <col min="3" max="3" width="19.42578125" bestFit="1" customWidth="1" outlineLevel="1"/>
    <col min="4" max="4" width="20.85546875" bestFit="1" customWidth="1" outlineLevel="1"/>
  </cols>
  <sheetData>
    <row r="1" spans="1:4" ht="23.25">
      <c r="A1" s="114" t="s">
        <v>2</v>
      </c>
      <c r="B1" s="114"/>
      <c r="C1" s="114"/>
      <c r="D1" s="114"/>
    </row>
    <row r="2" spans="1:4" ht="23.25">
      <c r="A2" s="23"/>
      <c r="B2" s="23"/>
      <c r="C2" s="23"/>
      <c r="D2" s="23"/>
    </row>
    <row r="3" spans="1:4" ht="23.25">
      <c r="A3" s="23"/>
      <c r="B3" s="23"/>
      <c r="C3" s="23"/>
      <c r="D3" s="23"/>
    </row>
    <row r="4" spans="1:4" ht="23.25">
      <c r="A4" s="23"/>
      <c r="B4" s="23"/>
      <c r="C4" s="23"/>
      <c r="D4" s="23"/>
    </row>
    <row r="5" spans="1:4" ht="23.25">
      <c r="C5" s="23"/>
      <c r="D5" s="23"/>
    </row>
    <row r="6" spans="1:4" ht="23.25">
      <c r="C6" s="23"/>
      <c r="D6" s="23"/>
    </row>
    <row r="7" spans="1:4">
      <c r="A7" s="124" t="s">
        <v>1258</v>
      </c>
      <c r="B7" s="125" t="s">
        <v>98</v>
      </c>
    </row>
    <row r="9" spans="1:4">
      <c r="A9" s="124" t="s">
        <v>8</v>
      </c>
      <c r="B9" s="124" t="s">
        <v>102</v>
      </c>
      <c r="C9" s="124" t="s">
        <v>869</v>
      </c>
      <c r="D9" s="124" t="s">
        <v>1067</v>
      </c>
    </row>
    <row r="10" spans="1:4">
      <c r="A10" s="125" t="s">
        <v>904</v>
      </c>
      <c r="B10" s="126" t="e">
        <v>#N/A</v>
      </c>
      <c r="C10" s="126">
        <v>360</v>
      </c>
      <c r="D10" s="126">
        <v>397.08719512196319</v>
      </c>
    </row>
    <row r="11" spans="1:4">
      <c r="A11" s="127" t="s">
        <v>862</v>
      </c>
      <c r="B11" s="126">
        <v>720</v>
      </c>
      <c r="C11" s="126">
        <v>360</v>
      </c>
      <c r="D11" s="126">
        <v>357.21960784313706</v>
      </c>
    </row>
    <row r="12" spans="1:4">
      <c r="A12" s="128">
        <v>1</v>
      </c>
      <c r="B12" s="126">
        <v>720</v>
      </c>
      <c r="C12" s="126">
        <v>360</v>
      </c>
      <c r="D12" s="126">
        <v>944.42499999999995</v>
      </c>
    </row>
    <row r="13" spans="1:4">
      <c r="A13" s="128">
        <v>2</v>
      </c>
      <c r="B13" s="126">
        <v>720</v>
      </c>
      <c r="C13" s="126">
        <v>360</v>
      </c>
      <c r="D13" s="126">
        <v>260.8366666666667</v>
      </c>
    </row>
    <row r="14" spans="1:4">
      <c r="A14" s="128">
        <v>3</v>
      </c>
      <c r="B14" s="126">
        <v>720</v>
      </c>
      <c r="C14" s="126">
        <v>360</v>
      </c>
      <c r="D14" s="126">
        <v>236.78550724637685</v>
      </c>
    </row>
    <row r="15" spans="1:4">
      <c r="A15" s="127" t="s">
        <v>863</v>
      </c>
      <c r="B15" s="126">
        <v>720</v>
      </c>
      <c r="C15" s="126">
        <v>360</v>
      </c>
      <c r="D15" s="126">
        <v>579.68571428571431</v>
      </c>
    </row>
    <row r="16" spans="1:4">
      <c r="A16" s="128">
        <v>4</v>
      </c>
      <c r="B16" s="126">
        <v>720</v>
      </c>
      <c r="C16" s="126">
        <v>360</v>
      </c>
      <c r="D16" s="126">
        <v>372.68095238095242</v>
      </c>
    </row>
    <row r="17" spans="1:4">
      <c r="A17" s="128">
        <v>5</v>
      </c>
      <c r="B17" s="126">
        <v>720</v>
      </c>
      <c r="C17" s="126">
        <v>360</v>
      </c>
      <c r="D17" s="126">
        <v>518.86176470588248</v>
      </c>
    </row>
    <row r="18" spans="1:4">
      <c r="A18" s="128">
        <v>6</v>
      </c>
      <c r="B18" s="126">
        <v>720</v>
      </c>
      <c r="C18" s="126">
        <v>360</v>
      </c>
      <c r="D18" s="126">
        <v>717.63240740740753</v>
      </c>
    </row>
    <row r="19" spans="1:4">
      <c r="A19" s="127" t="s">
        <v>864</v>
      </c>
      <c r="B19" s="126">
        <v>720</v>
      </c>
      <c r="C19" s="126">
        <v>360</v>
      </c>
      <c r="D19" s="126">
        <v>234.17836257313425</v>
      </c>
    </row>
    <row r="20" spans="1:4">
      <c r="A20" s="128">
        <v>7</v>
      </c>
      <c r="B20" s="126">
        <v>720</v>
      </c>
      <c r="C20" s="126">
        <v>360</v>
      </c>
      <c r="D20" s="126">
        <v>371.67999999999995</v>
      </c>
    </row>
    <row r="21" spans="1:4">
      <c r="A21" s="128">
        <v>8</v>
      </c>
      <c r="B21" s="126">
        <v>720</v>
      </c>
      <c r="C21" s="126">
        <v>360</v>
      </c>
      <c r="D21" s="126">
        <v>150.91875000006215</v>
      </c>
    </row>
    <row r="22" spans="1:4">
      <c r="A22" s="128">
        <v>9</v>
      </c>
      <c r="B22" s="126">
        <v>720</v>
      </c>
      <c r="C22" s="126">
        <v>360</v>
      </c>
      <c r="D22" s="126">
        <v>217.03333333333336</v>
      </c>
    </row>
    <row r="23" spans="1:4">
      <c r="A23" s="127" t="s">
        <v>865</v>
      </c>
      <c r="B23" s="126" t="e">
        <v>#N/A</v>
      </c>
      <c r="C23" s="126"/>
      <c r="D23" s="126">
        <v>657.79523809523812</v>
      </c>
    </row>
    <row r="24" spans="1:4">
      <c r="A24" s="125" t="s">
        <v>9</v>
      </c>
      <c r="B24" s="126" t="e">
        <v>#N/A</v>
      </c>
      <c r="C24" s="126">
        <v>360</v>
      </c>
      <c r="D24" s="126">
        <v>397.08719512196319</v>
      </c>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9FCE8-6AA6-4098-9721-890C4410CFAD}">
  <dimension ref="A1:F26"/>
  <sheetViews>
    <sheetView rightToLeft="1" workbookViewId="0">
      <selection activeCell="C1" sqref="C1:F23"/>
    </sheetView>
  </sheetViews>
  <sheetFormatPr defaultRowHeight="15" outlineLevelCol="1"/>
  <cols>
    <col min="1" max="2" width="2.7109375" customWidth="1" outlineLevel="1"/>
    <col min="3" max="3" width="13.140625" bestFit="1" customWidth="1" outlineLevel="1"/>
    <col min="4" max="4" width="23.28515625" bestFit="1" customWidth="1" outlineLevel="1"/>
    <col min="5" max="5" width="19.42578125" bestFit="1" customWidth="1" outlineLevel="1"/>
    <col min="6" max="6" width="20.85546875" bestFit="1" customWidth="1" outlineLevel="1"/>
  </cols>
  <sheetData>
    <row r="1" spans="1:6" ht="23.25">
      <c r="C1" s="114" t="s">
        <v>3</v>
      </c>
      <c r="D1" s="114"/>
      <c r="E1" s="114"/>
      <c r="F1" s="114"/>
    </row>
    <row r="2" spans="1:6" ht="23.25">
      <c r="C2" s="23"/>
      <c r="D2" s="23"/>
      <c r="E2" s="23"/>
      <c r="F2" s="23"/>
    </row>
    <row r="3" spans="1:6" ht="23.25">
      <c r="C3" s="23"/>
      <c r="D3" s="23"/>
      <c r="E3" s="23"/>
      <c r="F3" s="23"/>
    </row>
    <row r="4" spans="1:6" ht="23.25">
      <c r="C4" s="23"/>
      <c r="D4" s="23"/>
      <c r="E4" s="23"/>
      <c r="F4" s="23"/>
    </row>
    <row r="5" spans="1:6" ht="23.25">
      <c r="A5" s="22"/>
      <c r="C5" s="23"/>
      <c r="D5" s="23"/>
      <c r="E5" s="23"/>
      <c r="F5" s="23"/>
    </row>
    <row r="6" spans="1:6" ht="23.25">
      <c r="A6" s="22"/>
      <c r="C6" s="23"/>
      <c r="D6" s="23"/>
      <c r="E6" s="23"/>
      <c r="F6" s="23"/>
    </row>
    <row r="7" spans="1:6">
      <c r="A7" s="22"/>
      <c r="C7" s="124" t="s">
        <v>1258</v>
      </c>
      <c r="D7" s="125" t="s">
        <v>98</v>
      </c>
    </row>
    <row r="8" spans="1:6">
      <c r="A8" s="22"/>
    </row>
    <row r="9" spans="1:6">
      <c r="A9" s="22"/>
      <c r="C9" s="124" t="s">
        <v>8</v>
      </c>
      <c r="D9" s="124" t="s">
        <v>857</v>
      </c>
      <c r="E9" s="124" t="s">
        <v>870</v>
      </c>
      <c r="F9" s="124" t="s">
        <v>1069</v>
      </c>
    </row>
    <row r="10" spans="1:6">
      <c r="A10" s="22"/>
      <c r="B10" s="22"/>
      <c r="C10" s="125" t="s">
        <v>904</v>
      </c>
      <c r="D10" s="126" t="e">
        <v>#N/A</v>
      </c>
      <c r="E10" s="126" t="e">
        <v>#N/A</v>
      </c>
      <c r="F10" s="126">
        <v>414821.22546816478</v>
      </c>
    </row>
    <row r="11" spans="1:6">
      <c r="A11" s="22"/>
      <c r="B11" s="22"/>
      <c r="C11" s="127" t="s">
        <v>865</v>
      </c>
      <c r="D11" s="126" t="e">
        <v>#N/A</v>
      </c>
      <c r="E11" s="126" t="e">
        <v>#N/A</v>
      </c>
      <c r="F11" s="126">
        <v>3076501.5199999991</v>
      </c>
    </row>
    <row r="12" spans="1:6">
      <c r="B12" s="22"/>
      <c r="C12" s="128">
        <v>10</v>
      </c>
      <c r="D12" s="126">
        <v>0.19999999999999998</v>
      </c>
      <c r="E12" s="126">
        <v>24</v>
      </c>
      <c r="F12" s="126">
        <v>7691246.958333333</v>
      </c>
    </row>
    <row r="13" spans="1:6">
      <c r="B13" s="22"/>
      <c r="C13" s="128">
        <v>11</v>
      </c>
      <c r="D13" s="126" t="e">
        <v>#N/A</v>
      </c>
      <c r="E13" s="126" t="e">
        <v>#N/A</v>
      </c>
      <c r="F13" s="126">
        <v>4.5611111111111109</v>
      </c>
    </row>
    <row r="14" spans="1:6">
      <c r="B14" s="22"/>
      <c r="C14" s="127" t="s">
        <v>862</v>
      </c>
      <c r="D14" s="126">
        <v>0.1999999999999999</v>
      </c>
      <c r="E14" s="126">
        <v>24</v>
      </c>
      <c r="F14" s="126">
        <v>18.663782051282048</v>
      </c>
    </row>
    <row r="15" spans="1:6">
      <c r="B15" s="22"/>
      <c r="C15" s="128">
        <v>1</v>
      </c>
      <c r="D15" s="126">
        <v>0.19999999999999998</v>
      </c>
      <c r="E15" s="126">
        <v>24</v>
      </c>
      <c r="F15" s="126">
        <v>65.80952380952381</v>
      </c>
    </row>
    <row r="16" spans="1:6">
      <c r="B16" s="22"/>
      <c r="C16" s="128">
        <v>2</v>
      </c>
      <c r="D16" s="126">
        <v>0.20000000000000007</v>
      </c>
      <c r="E16" s="126">
        <v>24</v>
      </c>
      <c r="F16" s="126">
        <v>11.618840579710144</v>
      </c>
    </row>
    <row r="17" spans="3:6">
      <c r="C17" s="128">
        <v>3</v>
      </c>
      <c r="D17" s="126">
        <v>0.20000000000000007</v>
      </c>
      <c r="E17" s="126">
        <v>24</v>
      </c>
      <c r="F17" s="126">
        <v>11.028030303030301</v>
      </c>
    </row>
    <row r="18" spans="3:6">
      <c r="C18" s="127" t="s">
        <v>863</v>
      </c>
      <c r="D18" s="126">
        <v>0.19999999999999998</v>
      </c>
      <c r="E18" s="126">
        <v>24</v>
      </c>
      <c r="F18" s="126">
        <v>7.7695652173913023</v>
      </c>
    </row>
    <row r="19" spans="3:6">
      <c r="C19" s="128">
        <v>4</v>
      </c>
      <c r="D19" s="126">
        <v>0.19999999999999998</v>
      </c>
      <c r="E19" s="126">
        <v>24</v>
      </c>
      <c r="F19" s="126">
        <v>15.312962962962956</v>
      </c>
    </row>
    <row r="20" spans="3:6">
      <c r="C20" s="128">
        <v>5</v>
      </c>
      <c r="D20" s="126">
        <v>0.20000000000000007</v>
      </c>
      <c r="E20" s="126">
        <v>24</v>
      </c>
      <c r="F20" s="126">
        <v>8.3192982456140356</v>
      </c>
    </row>
    <row r="21" spans="3:6">
      <c r="C21" s="128">
        <v>6</v>
      </c>
      <c r="D21" s="126">
        <v>0.20000000000000007</v>
      </c>
      <c r="E21" s="126">
        <v>24</v>
      </c>
      <c r="F21" s="126">
        <v>3.4175925925925923</v>
      </c>
    </row>
    <row r="22" spans="3:6">
      <c r="C22" s="127" t="s">
        <v>864</v>
      </c>
      <c r="D22" s="126">
        <v>0.19999999999999982</v>
      </c>
      <c r="E22" s="126">
        <v>24</v>
      </c>
      <c r="F22" s="126">
        <v>205113.66361111109</v>
      </c>
    </row>
    <row r="23" spans="3:6">
      <c r="C23" s="128">
        <v>7</v>
      </c>
      <c r="D23" s="126">
        <v>0.20000000000000004</v>
      </c>
      <c r="E23" s="126">
        <v>24</v>
      </c>
      <c r="F23" s="126">
        <v>38.776984126984125</v>
      </c>
    </row>
    <row r="24" spans="3:6">
      <c r="C24" s="128">
        <v>8</v>
      </c>
      <c r="D24" s="126">
        <v>0.20000000000000009</v>
      </c>
      <c r="E24" s="126">
        <v>24</v>
      </c>
      <c r="F24" s="126">
        <v>13.7080808080206</v>
      </c>
    </row>
    <row r="25" spans="3:6">
      <c r="C25" s="128">
        <v>9</v>
      </c>
      <c r="D25" s="126">
        <v>0.19999999999999998</v>
      </c>
      <c r="E25" s="126">
        <v>24</v>
      </c>
      <c r="F25" s="126">
        <v>2050925.5222222221</v>
      </c>
    </row>
    <row r="26" spans="3:6">
      <c r="C26" s="125" t="s">
        <v>9</v>
      </c>
      <c r="D26" s="126" t="e">
        <v>#N/A</v>
      </c>
      <c r="E26" s="126" t="e">
        <v>#N/A</v>
      </c>
      <c r="F26" s="126">
        <v>414821.22546816478</v>
      </c>
    </row>
  </sheetData>
  <mergeCells count="1">
    <mergeCell ref="C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BF13-9072-434B-9ECA-C5AE7AAB2BD6}">
  <dimension ref="A1:P12"/>
  <sheetViews>
    <sheetView rightToLeft="1" topLeftCell="A2" workbookViewId="0">
      <selection activeCell="B10" sqref="B10"/>
    </sheetView>
  </sheetViews>
  <sheetFormatPr defaultRowHeight="15" outlineLevelCol="1"/>
  <cols>
    <col min="1" max="1" width="20.85546875" bestFit="1" customWidth="1" outlineLevel="1"/>
    <col min="2" max="2" width="23.28515625" bestFit="1" customWidth="1" outlineLevel="1"/>
    <col min="3" max="3" width="12" bestFit="1" customWidth="1" outlineLevel="1"/>
    <col min="4" max="4" width="9.5703125" bestFit="1" customWidth="1" outlineLevel="1"/>
    <col min="5" max="6" width="12" bestFit="1" customWidth="1" outlineLevel="1"/>
    <col min="7" max="7" width="8.85546875" bestFit="1" customWidth="1" outlineLevel="1"/>
    <col min="8" max="11" width="12" bestFit="1" customWidth="1" outlineLevel="1"/>
    <col min="12" max="12" width="9.140625" bestFit="1" customWidth="1" outlineLevel="1"/>
    <col min="13" max="13" width="8.85546875" bestFit="1" customWidth="1"/>
    <col min="14" max="15" width="10.140625" bestFit="1" customWidth="1"/>
    <col min="16" max="16" width="12" bestFit="1" customWidth="1"/>
    <col min="17" max="17" width="9.42578125" bestFit="1" customWidth="1"/>
    <col min="18" max="18" width="11.85546875" bestFit="1" customWidth="1"/>
    <col min="19" max="19" width="8.7109375" bestFit="1" customWidth="1"/>
    <col min="20" max="20" width="8.85546875" bestFit="1" customWidth="1"/>
    <col min="21" max="21" width="9.42578125" bestFit="1" customWidth="1"/>
    <col min="22" max="22" width="9.140625" bestFit="1" customWidth="1"/>
    <col min="23" max="23" width="10.5703125" bestFit="1" customWidth="1"/>
    <col min="24" max="24" width="9.28515625" bestFit="1" customWidth="1"/>
    <col min="25" max="25" width="10.5703125" bestFit="1" customWidth="1"/>
    <col min="26" max="26" width="11.85546875" bestFit="1" customWidth="1"/>
    <col min="27" max="27" width="12" bestFit="1" customWidth="1"/>
    <col min="28" max="28" width="8.85546875" bestFit="1" customWidth="1"/>
    <col min="29" max="29" width="8.7109375" bestFit="1" customWidth="1"/>
    <col min="30" max="30" width="12" bestFit="1" customWidth="1"/>
    <col min="31" max="31" width="8.42578125" bestFit="1" customWidth="1"/>
    <col min="32" max="32" width="9.85546875" bestFit="1" customWidth="1"/>
    <col min="33" max="33" width="12" bestFit="1" customWidth="1"/>
    <col min="34" max="34" width="9.85546875" bestFit="1" customWidth="1"/>
    <col min="35" max="35" width="9.28515625" bestFit="1" customWidth="1"/>
    <col min="36" max="37" width="12" bestFit="1" customWidth="1"/>
    <col min="38" max="38" width="8.5703125" bestFit="1" customWidth="1"/>
    <col min="39" max="39" width="8.140625" bestFit="1" customWidth="1"/>
    <col min="40" max="40" width="12" bestFit="1" customWidth="1"/>
    <col min="41" max="41" width="9.140625" bestFit="1" customWidth="1"/>
    <col min="42" max="42" width="10.5703125" bestFit="1" customWidth="1"/>
    <col min="43" max="43" width="11.85546875" bestFit="1" customWidth="1"/>
    <col min="44" max="44" width="10.5703125" bestFit="1" customWidth="1"/>
    <col min="45" max="45" width="9.5703125" bestFit="1" customWidth="1"/>
    <col min="46" max="47" width="11.85546875" bestFit="1" customWidth="1"/>
    <col min="48" max="48" width="9.140625" bestFit="1" customWidth="1"/>
    <col min="49" max="49" width="8.42578125" bestFit="1" customWidth="1"/>
    <col min="50" max="50" width="11.85546875" bestFit="1" customWidth="1"/>
  </cols>
  <sheetData>
    <row r="1" spans="1:16" ht="21">
      <c r="A1" s="116" t="s">
        <v>1064</v>
      </c>
      <c r="B1" s="116"/>
      <c r="C1" s="116"/>
      <c r="D1" s="116"/>
      <c r="E1" s="116"/>
      <c r="F1" s="116"/>
      <c r="G1" s="116"/>
      <c r="H1" s="116"/>
    </row>
    <row r="3" spans="1:16">
      <c r="A3" s="30" t="s">
        <v>7</v>
      </c>
      <c r="B3" s="27" t="s">
        <v>98</v>
      </c>
    </row>
    <row r="5" spans="1:16">
      <c r="A5" s="30" t="s">
        <v>1067</v>
      </c>
      <c r="B5" s="30" t="s">
        <v>846</v>
      </c>
    </row>
    <row r="6" spans="1:16">
      <c r="A6" s="30" t="s">
        <v>8</v>
      </c>
      <c r="B6" t="s">
        <v>53</v>
      </c>
      <c r="C6" t="s">
        <v>122</v>
      </c>
      <c r="D6" t="s">
        <v>107</v>
      </c>
      <c r="E6" t="s">
        <v>117</v>
      </c>
      <c r="F6" t="s">
        <v>91</v>
      </c>
      <c r="G6" t="s">
        <v>74</v>
      </c>
      <c r="H6" t="s">
        <v>73</v>
      </c>
      <c r="I6" t="s">
        <v>225</v>
      </c>
      <c r="J6" t="s">
        <v>222</v>
      </c>
      <c r="K6" t="s">
        <v>374</v>
      </c>
      <c r="L6" t="s">
        <v>1016</v>
      </c>
      <c r="M6" t="s">
        <v>224</v>
      </c>
      <c r="N6" t="s">
        <v>1073</v>
      </c>
      <c r="O6" t="s">
        <v>1089</v>
      </c>
      <c r="P6" t="s">
        <v>9</v>
      </c>
    </row>
    <row r="7" spans="1:16">
      <c r="A7" s="27" t="s">
        <v>904</v>
      </c>
      <c r="B7" s="123">
        <v>4406.2833333333338</v>
      </c>
      <c r="C7" s="123">
        <v>525.98333333333335</v>
      </c>
      <c r="D7" s="123">
        <v>753.625</v>
      </c>
      <c r="E7" s="123">
        <v>345.35</v>
      </c>
      <c r="F7" s="123">
        <v>253.35833333333332</v>
      </c>
      <c r="G7" s="123">
        <v>1017.5</v>
      </c>
      <c r="H7" s="123">
        <v>1138.0583333333334</v>
      </c>
      <c r="I7" s="123">
        <v>1607.6916666666668</v>
      </c>
      <c r="J7" s="123">
        <v>769.16666666666663</v>
      </c>
      <c r="K7" s="123">
        <v>283.77083333333331</v>
      </c>
      <c r="L7" s="123" t="e">
        <v>#DIV/0!</v>
      </c>
      <c r="M7" s="123">
        <v>539</v>
      </c>
      <c r="N7" s="123">
        <v>42</v>
      </c>
      <c r="O7" s="123" t="e">
        <v>#DIV/0!</v>
      </c>
      <c r="P7" s="123">
        <v>579.68571428571431</v>
      </c>
    </row>
    <row r="8" spans="1:16">
      <c r="A8" s="28" t="s">
        <v>863</v>
      </c>
      <c r="B8" s="123">
        <v>4406.2833333333338</v>
      </c>
      <c r="C8" s="123">
        <v>525.98333333333335</v>
      </c>
      <c r="D8" s="123">
        <v>753.625</v>
      </c>
      <c r="E8" s="123">
        <v>345.35</v>
      </c>
      <c r="F8" s="123">
        <v>253.35833333333332</v>
      </c>
      <c r="G8" s="123">
        <v>1017.5</v>
      </c>
      <c r="H8" s="123">
        <v>1138.0583333333334</v>
      </c>
      <c r="I8" s="123">
        <v>1607.6916666666668</v>
      </c>
      <c r="J8" s="123">
        <v>769.16666666666663</v>
      </c>
      <c r="K8" s="123">
        <v>283.77083333333331</v>
      </c>
      <c r="L8" s="123" t="e">
        <v>#DIV/0!</v>
      </c>
      <c r="M8" s="123">
        <v>539</v>
      </c>
      <c r="N8" s="123">
        <v>42</v>
      </c>
      <c r="O8" s="123" t="e">
        <v>#DIV/0!</v>
      </c>
      <c r="P8" s="123">
        <v>579.68571428571431</v>
      </c>
    </row>
    <row r="9" spans="1:16">
      <c r="A9" s="29">
        <v>4</v>
      </c>
      <c r="B9" s="123"/>
      <c r="C9" s="123">
        <v>466.29999999999995</v>
      </c>
      <c r="D9" s="123"/>
      <c r="E9" s="123">
        <v>264.50555555555553</v>
      </c>
      <c r="F9" s="123">
        <v>113.48333333333333</v>
      </c>
      <c r="G9" s="123"/>
      <c r="H9" s="123"/>
      <c r="I9" s="123"/>
      <c r="J9" s="123">
        <v>769.16666666666663</v>
      </c>
      <c r="K9" s="123"/>
      <c r="L9" s="123" t="e">
        <v>#DIV/0!</v>
      </c>
      <c r="M9" s="123"/>
      <c r="N9" s="123"/>
      <c r="O9" s="123"/>
      <c r="P9" s="123">
        <v>372.68095238095242</v>
      </c>
    </row>
    <row r="10" spans="1:16">
      <c r="A10" s="29">
        <v>5</v>
      </c>
      <c r="B10" s="123"/>
      <c r="C10" s="123">
        <v>283.2833333333333</v>
      </c>
      <c r="D10" s="123">
        <v>753.625</v>
      </c>
      <c r="E10" s="123">
        <v>280.47666666666663</v>
      </c>
      <c r="F10" s="123">
        <v>584.01666666666665</v>
      </c>
      <c r="G10" s="123">
        <v>1017.5</v>
      </c>
      <c r="H10" s="123">
        <v>1588.2833333333333</v>
      </c>
      <c r="I10" s="123"/>
      <c r="J10" s="123"/>
      <c r="K10" s="123">
        <v>509.54444444444442</v>
      </c>
      <c r="L10" s="123"/>
      <c r="M10" s="123" t="e">
        <v>#DIV/0!</v>
      </c>
      <c r="N10" s="123">
        <v>42</v>
      </c>
      <c r="O10" s="123"/>
      <c r="P10" s="123">
        <v>518.86176470588236</v>
      </c>
    </row>
    <row r="11" spans="1:16">
      <c r="A11" s="29">
        <v>6</v>
      </c>
      <c r="B11" s="123">
        <v>4406.2833333333338</v>
      </c>
      <c r="C11" s="123">
        <v>1130.75</v>
      </c>
      <c r="D11" s="123"/>
      <c r="E11" s="123">
        <v>912.25</v>
      </c>
      <c r="F11" s="123">
        <v>149.07</v>
      </c>
      <c r="G11" s="123"/>
      <c r="H11" s="123">
        <v>687.83333333333337</v>
      </c>
      <c r="I11" s="123">
        <v>1607.6916666666668</v>
      </c>
      <c r="J11" s="123"/>
      <c r="K11" s="123">
        <v>148.30666666666667</v>
      </c>
      <c r="L11" s="123"/>
      <c r="M11" s="123">
        <v>539</v>
      </c>
      <c r="N11" s="123"/>
      <c r="O11" s="123" t="e">
        <v>#DIV/0!</v>
      </c>
      <c r="P11" s="123">
        <v>717.63240740740753</v>
      </c>
    </row>
    <row r="12" spans="1:16">
      <c r="A12" s="27" t="s">
        <v>9</v>
      </c>
      <c r="B12" s="123">
        <v>4406.2833333333338</v>
      </c>
      <c r="C12" s="123">
        <v>525.98333333333335</v>
      </c>
      <c r="D12" s="123">
        <v>753.625</v>
      </c>
      <c r="E12" s="123">
        <v>345.35</v>
      </c>
      <c r="F12" s="123">
        <v>253.35833333333332</v>
      </c>
      <c r="G12" s="123">
        <v>1017.5</v>
      </c>
      <c r="H12" s="123">
        <v>1138.0583333333334</v>
      </c>
      <c r="I12" s="123">
        <v>1607.6916666666668</v>
      </c>
      <c r="J12" s="123">
        <v>769.16666666666663</v>
      </c>
      <c r="K12" s="123">
        <v>283.77083333333331</v>
      </c>
      <c r="L12" s="123" t="e">
        <v>#DIV/0!</v>
      </c>
      <c r="M12" s="123">
        <v>539</v>
      </c>
      <c r="N12" s="123">
        <v>42</v>
      </c>
      <c r="O12" s="123" t="e">
        <v>#DIV/0!</v>
      </c>
      <c r="P12" s="123">
        <v>579.68571428571431</v>
      </c>
    </row>
  </sheetData>
  <sortState xmlns:xlrd2="http://schemas.microsoft.com/office/spreadsheetml/2017/richdata2" ref="A5:L23">
    <sortCondition ref="A8" customList="بهار,تابستان,پاییز,زمستان"/>
  </sortState>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4"/>
  <sheetViews>
    <sheetView rightToLeft="1" workbookViewId="0">
      <selection activeCell="A13" sqref="A13:A27 A29:A41"/>
    </sheetView>
  </sheetViews>
  <sheetFormatPr defaultRowHeight="15"/>
  <cols>
    <col min="1" max="1" width="23.5703125" bestFit="1" customWidth="1"/>
    <col min="2" max="2" width="23.28515625" bestFit="1" customWidth="1"/>
    <col min="3" max="9" width="12" bestFit="1" customWidth="1"/>
    <col min="10" max="10" width="3.140625" bestFit="1" customWidth="1"/>
    <col min="11" max="16" width="12" bestFit="1" customWidth="1"/>
    <col min="17" max="17" width="10.140625" bestFit="1" customWidth="1"/>
    <col min="18" max="18" width="12" bestFit="1" customWidth="1"/>
    <col min="19" max="19" width="8.28515625" bestFit="1" customWidth="1"/>
    <col min="20" max="21" width="12" bestFit="1" customWidth="1"/>
    <col min="22" max="27" width="11.85546875" bestFit="1" customWidth="1"/>
    <col min="28" max="29" width="3.140625" bestFit="1" customWidth="1"/>
    <col min="30" max="37" width="11.85546875" bestFit="1" customWidth="1"/>
    <col min="38" max="38" width="8.7109375" bestFit="1" customWidth="1"/>
    <col min="39" max="46" width="11.85546875" bestFit="1" customWidth="1"/>
    <col min="47" max="47" width="9.140625" bestFit="1" customWidth="1"/>
    <col min="48" max="48" width="8.42578125" bestFit="1" customWidth="1"/>
    <col min="49" max="49" width="11.85546875" bestFit="1" customWidth="1"/>
    <col min="50" max="50" width="16.28515625" bestFit="1" customWidth="1"/>
    <col min="51" max="53" width="11.85546875" bestFit="1" customWidth="1"/>
    <col min="54" max="54" width="8.7109375" bestFit="1" customWidth="1"/>
    <col min="55" max="55" width="8" bestFit="1" customWidth="1"/>
    <col min="56" max="56" width="11.85546875" bestFit="1" customWidth="1"/>
  </cols>
  <sheetData>
    <row r="1" spans="1:21">
      <c r="A1" s="30" t="s">
        <v>7</v>
      </c>
      <c r="B1" s="27" t="s">
        <v>98</v>
      </c>
    </row>
    <row r="3" spans="1:21">
      <c r="A3" s="30" t="s">
        <v>1069</v>
      </c>
      <c r="B3" s="30" t="s">
        <v>846</v>
      </c>
    </row>
    <row r="4" spans="1:21">
      <c r="A4" s="30" t="s">
        <v>8</v>
      </c>
      <c r="B4" t="s">
        <v>53</v>
      </c>
      <c r="C4" t="s">
        <v>130</v>
      </c>
      <c r="D4" t="s">
        <v>122</v>
      </c>
      <c r="E4" t="s">
        <v>107</v>
      </c>
      <c r="F4" t="s">
        <v>117</v>
      </c>
      <c r="G4" t="s">
        <v>91</v>
      </c>
      <c r="H4" t="s">
        <v>74</v>
      </c>
      <c r="I4" t="s">
        <v>73</v>
      </c>
      <c r="J4" t="s">
        <v>854</v>
      </c>
      <c r="K4" t="s">
        <v>225</v>
      </c>
      <c r="L4" t="s">
        <v>222</v>
      </c>
      <c r="M4" t="s">
        <v>374</v>
      </c>
      <c r="N4" t="s">
        <v>1016</v>
      </c>
      <c r="O4" t="s">
        <v>224</v>
      </c>
      <c r="P4" t="s">
        <v>1073</v>
      </c>
      <c r="Q4" t="s">
        <v>1089</v>
      </c>
      <c r="R4" t="s">
        <v>1133</v>
      </c>
      <c r="S4" t="s">
        <v>1134</v>
      </c>
      <c r="T4" t="s">
        <v>1330</v>
      </c>
      <c r="U4" t="s">
        <v>9</v>
      </c>
    </row>
    <row r="5" spans="1:21">
      <c r="A5" s="27" t="s">
        <v>1252</v>
      </c>
      <c r="B5" s="123"/>
      <c r="C5" s="123">
        <v>1689.9333333333334</v>
      </c>
      <c r="D5" s="123">
        <v>41.03125</v>
      </c>
      <c r="E5" s="123">
        <v>17.12777777777778</v>
      </c>
      <c r="F5" s="123">
        <v>142.57</v>
      </c>
      <c r="G5" s="123">
        <v>42.394444444444446</v>
      </c>
      <c r="H5" s="123">
        <v>1.6666666666666666E-2</v>
      </c>
      <c r="I5" s="123">
        <v>28</v>
      </c>
      <c r="J5" s="123">
        <v>4</v>
      </c>
      <c r="K5" s="123"/>
      <c r="L5" s="123"/>
      <c r="M5" s="123"/>
      <c r="N5" s="123"/>
      <c r="O5" s="123"/>
      <c r="P5" s="123"/>
      <c r="Q5" s="123"/>
      <c r="R5" s="123"/>
      <c r="S5" s="123"/>
      <c r="T5" s="123"/>
      <c r="U5" s="123">
        <v>168.24761904761905</v>
      </c>
    </row>
    <row r="6" spans="1:21">
      <c r="A6" s="28" t="s">
        <v>864</v>
      </c>
      <c r="B6" s="123"/>
      <c r="C6" s="123">
        <v>3379.0833333333335</v>
      </c>
      <c r="D6" s="123">
        <v>317.8</v>
      </c>
      <c r="E6" s="123">
        <v>74.466666666666669</v>
      </c>
      <c r="F6" s="123">
        <v>704.88333333333333</v>
      </c>
      <c r="G6" s="123">
        <v>121.25</v>
      </c>
      <c r="H6" s="123">
        <v>1.6666666666666666E-2</v>
      </c>
      <c r="I6" s="123">
        <v>44.5</v>
      </c>
      <c r="J6" s="123"/>
      <c r="K6" s="123"/>
      <c r="L6" s="123"/>
      <c r="M6" s="123"/>
      <c r="N6" s="123"/>
      <c r="O6" s="123"/>
      <c r="P6" s="123"/>
      <c r="Q6" s="123"/>
      <c r="R6" s="123"/>
      <c r="S6" s="123"/>
      <c r="T6" s="123"/>
      <c r="U6" s="123">
        <v>663.14285714285711</v>
      </c>
    </row>
    <row r="7" spans="1:21">
      <c r="A7" s="29">
        <v>8</v>
      </c>
      <c r="B7" s="123"/>
      <c r="C7" s="123"/>
      <c r="D7" s="123"/>
      <c r="E7" s="123"/>
      <c r="F7" s="123"/>
      <c r="G7" s="123"/>
      <c r="H7" s="123">
        <v>1.6666666666666666E-2</v>
      </c>
      <c r="I7" s="123">
        <v>44.5</v>
      </c>
      <c r="J7" s="123"/>
      <c r="K7" s="123"/>
      <c r="L7" s="123"/>
      <c r="M7" s="123"/>
      <c r="N7" s="123"/>
      <c r="O7" s="123"/>
      <c r="P7" s="123"/>
      <c r="Q7" s="123"/>
      <c r="R7" s="123"/>
      <c r="S7" s="123"/>
      <c r="T7" s="123"/>
      <c r="U7" s="123">
        <v>22.258333333333333</v>
      </c>
    </row>
    <row r="8" spans="1:21">
      <c r="A8" s="29">
        <v>9</v>
      </c>
      <c r="B8" s="123"/>
      <c r="C8" s="123">
        <v>3379.0833333333335</v>
      </c>
      <c r="D8" s="123">
        <v>317.8</v>
      </c>
      <c r="E8" s="123">
        <v>74.466666666666669</v>
      </c>
      <c r="F8" s="123">
        <v>704.88333333333333</v>
      </c>
      <c r="G8" s="123">
        <v>121.25</v>
      </c>
      <c r="H8" s="123"/>
      <c r="I8" s="123"/>
      <c r="J8" s="123"/>
      <c r="K8" s="123"/>
      <c r="L8" s="123"/>
      <c r="M8" s="123"/>
      <c r="N8" s="123"/>
      <c r="O8" s="123"/>
      <c r="P8" s="123"/>
      <c r="Q8" s="123"/>
      <c r="R8" s="123"/>
      <c r="S8" s="123"/>
      <c r="T8" s="123"/>
      <c r="U8" s="123">
        <v>919.49666666666667</v>
      </c>
    </row>
    <row r="9" spans="1:21">
      <c r="A9" s="28" t="s">
        <v>865</v>
      </c>
      <c r="B9" s="123"/>
      <c r="C9" s="123">
        <v>0.78333333333333333</v>
      </c>
      <c r="D9" s="123">
        <v>1.4928571428571427</v>
      </c>
      <c r="E9" s="123">
        <v>5.66</v>
      </c>
      <c r="F9" s="123">
        <v>1.9916666666666667</v>
      </c>
      <c r="G9" s="123">
        <v>2.9666666666666668</v>
      </c>
      <c r="H9" s="123"/>
      <c r="I9" s="123">
        <v>11.5</v>
      </c>
      <c r="J9" s="123">
        <v>4</v>
      </c>
      <c r="K9" s="123"/>
      <c r="L9" s="123"/>
      <c r="M9" s="123"/>
      <c r="N9" s="123"/>
      <c r="O9" s="123"/>
      <c r="P9" s="123"/>
      <c r="Q9" s="123"/>
      <c r="R9" s="123"/>
      <c r="S9" s="123"/>
      <c r="T9" s="123"/>
      <c r="U9" s="123">
        <v>3.282539682539682</v>
      </c>
    </row>
    <row r="10" spans="1:21">
      <c r="A10" s="29">
        <v>11</v>
      </c>
      <c r="B10" s="123"/>
      <c r="C10" s="123"/>
      <c r="D10" s="123"/>
      <c r="E10" s="123"/>
      <c r="F10" s="123"/>
      <c r="G10" s="123"/>
      <c r="H10" s="123"/>
      <c r="I10" s="123"/>
      <c r="J10" s="123">
        <v>4</v>
      </c>
      <c r="K10" s="123"/>
      <c r="L10" s="123"/>
      <c r="M10" s="123"/>
      <c r="N10" s="123"/>
      <c r="O10" s="123"/>
      <c r="P10" s="123"/>
      <c r="Q10" s="123"/>
      <c r="R10" s="123"/>
      <c r="S10" s="123"/>
      <c r="T10" s="123"/>
      <c r="U10" s="123">
        <v>4</v>
      </c>
    </row>
    <row r="11" spans="1:21">
      <c r="A11" s="29">
        <v>12</v>
      </c>
      <c r="B11" s="123"/>
      <c r="C11" s="123">
        <v>0.78333333333333333</v>
      </c>
      <c r="D11" s="123">
        <v>1.4928571428571427</v>
      </c>
      <c r="E11" s="123">
        <v>5.66</v>
      </c>
      <c r="F11" s="123">
        <v>1.9916666666666667</v>
      </c>
      <c r="G11" s="123">
        <v>2.9666666666666668</v>
      </c>
      <c r="H11" s="123"/>
      <c r="I11" s="123">
        <v>11.5</v>
      </c>
      <c r="J11" s="123"/>
      <c r="K11" s="123"/>
      <c r="L11" s="123"/>
      <c r="M11" s="123"/>
      <c r="N11" s="123"/>
      <c r="O11" s="123"/>
      <c r="P11" s="123"/>
      <c r="Q11" s="123"/>
      <c r="R11" s="123"/>
      <c r="S11" s="123"/>
      <c r="T11" s="123"/>
      <c r="U11" s="123">
        <v>3.2466666666666661</v>
      </c>
    </row>
    <row r="12" spans="1:21">
      <c r="A12" s="27" t="s">
        <v>904</v>
      </c>
      <c r="B12" s="123">
        <v>0.26666666666666666</v>
      </c>
      <c r="C12" s="123">
        <v>34.737499999999997</v>
      </c>
      <c r="D12" s="123">
        <v>492228.03799999994</v>
      </c>
      <c r="E12" s="123">
        <v>10.091176470588232</v>
      </c>
      <c r="F12" s="123">
        <v>615320.6791666667</v>
      </c>
      <c r="G12" s="123">
        <v>439505.04166666663</v>
      </c>
      <c r="H12" s="123">
        <v>535054.26521739119</v>
      </c>
      <c r="I12" s="123">
        <v>5.3687500000000004</v>
      </c>
      <c r="J12" s="123"/>
      <c r="K12" s="123">
        <v>0.43333333333333335</v>
      </c>
      <c r="L12" s="123">
        <v>2.3333333333333335</v>
      </c>
      <c r="M12" s="123">
        <v>2.1680555555555556</v>
      </c>
      <c r="N12" s="123">
        <v>0.66666666666666663</v>
      </c>
      <c r="O12" s="123">
        <v>5.1625000000000005</v>
      </c>
      <c r="P12" s="123">
        <v>2.666666666666667</v>
      </c>
      <c r="Q12" s="123">
        <v>764.05</v>
      </c>
      <c r="R12" s="123">
        <v>2461212.1533333333</v>
      </c>
      <c r="S12" s="123">
        <v>17.899999999999999</v>
      </c>
      <c r="T12" s="123">
        <v>3.7833333333333332</v>
      </c>
      <c r="U12" s="123">
        <v>414821.22546816478</v>
      </c>
    </row>
    <row r="13" spans="1:21">
      <c r="A13" s="28" t="s">
        <v>862</v>
      </c>
      <c r="B13" s="123"/>
      <c r="C13" s="123">
        <v>34.737499999999997</v>
      </c>
      <c r="D13" s="123">
        <v>11.212962962962962</v>
      </c>
      <c r="E13" s="123">
        <v>22.93333333333333</v>
      </c>
      <c r="F13" s="123">
        <v>45.93</v>
      </c>
      <c r="G13" s="123">
        <v>7.418181818181818</v>
      </c>
      <c r="H13" s="123">
        <v>1.28</v>
      </c>
      <c r="I13" s="123">
        <v>4.4125000000000005</v>
      </c>
      <c r="J13" s="123"/>
      <c r="K13" s="123"/>
      <c r="L13" s="123">
        <v>2.5833333333333335</v>
      </c>
      <c r="M13" s="123"/>
      <c r="N13" s="123"/>
      <c r="O13" s="123"/>
      <c r="P13" s="123"/>
      <c r="Q13" s="123"/>
      <c r="R13" s="123"/>
      <c r="S13" s="123"/>
      <c r="T13" s="123"/>
      <c r="U13" s="123">
        <v>18.663782051282048</v>
      </c>
    </row>
    <row r="14" spans="1:21">
      <c r="A14" s="29">
        <v>1</v>
      </c>
      <c r="B14" s="123"/>
      <c r="C14" s="123"/>
      <c r="D14" s="123">
        <v>1.9944444444444447</v>
      </c>
      <c r="E14" s="123"/>
      <c r="F14" s="123">
        <v>451.71666666666664</v>
      </c>
      <c r="G14" s="123">
        <v>1.25</v>
      </c>
      <c r="H14" s="123">
        <v>0.71666666666666667</v>
      </c>
      <c r="I14" s="123"/>
      <c r="J14" s="123"/>
      <c r="K14" s="123"/>
      <c r="L14" s="123">
        <v>1</v>
      </c>
      <c r="M14" s="123"/>
      <c r="N14" s="123"/>
      <c r="O14" s="123"/>
      <c r="P14" s="123"/>
      <c r="Q14" s="123"/>
      <c r="R14" s="123"/>
      <c r="S14" s="123"/>
      <c r="T14" s="123"/>
      <c r="U14" s="123">
        <v>65.80952380952381</v>
      </c>
    </row>
    <row r="15" spans="1:21">
      <c r="A15" s="29">
        <v>2</v>
      </c>
      <c r="B15" s="123"/>
      <c r="C15" s="123">
        <v>52.45</v>
      </c>
      <c r="D15" s="123">
        <v>12.116666666666667</v>
      </c>
      <c r="E15" s="123">
        <v>42.322222222222223</v>
      </c>
      <c r="F15" s="123">
        <v>1.0233333333333334</v>
      </c>
      <c r="G15" s="123">
        <v>3.2433333333333332</v>
      </c>
      <c r="H15" s="123">
        <v>1.8583333333333334</v>
      </c>
      <c r="I15" s="123">
        <v>1.0916666666666668</v>
      </c>
      <c r="J15" s="123"/>
      <c r="K15" s="123"/>
      <c r="L15" s="123"/>
      <c r="M15" s="123"/>
      <c r="N15" s="123"/>
      <c r="O15" s="123"/>
      <c r="P15" s="123"/>
      <c r="Q15" s="123"/>
      <c r="R15" s="123"/>
      <c r="S15" s="123"/>
      <c r="T15" s="123"/>
      <c r="U15" s="123">
        <v>11.618840579710144</v>
      </c>
    </row>
    <row r="16" spans="1:21">
      <c r="A16" s="29">
        <v>3</v>
      </c>
      <c r="B16" s="123"/>
      <c r="C16" s="123">
        <v>28.833333333333332</v>
      </c>
      <c r="D16" s="123">
        <v>34.35</v>
      </c>
      <c r="E16" s="123">
        <v>8.3916666666666675</v>
      </c>
      <c r="F16" s="123">
        <v>0.6166666666666667</v>
      </c>
      <c r="G16" s="123">
        <v>12.826666666666664</v>
      </c>
      <c r="H16" s="123">
        <v>0.98333333333333339</v>
      </c>
      <c r="I16" s="123">
        <v>7.7333333333333334</v>
      </c>
      <c r="J16" s="123"/>
      <c r="K16" s="123"/>
      <c r="L16" s="123">
        <v>4.166666666666667</v>
      </c>
      <c r="M16" s="123"/>
      <c r="N16" s="123"/>
      <c r="O16" s="123"/>
      <c r="P16" s="123"/>
      <c r="Q16" s="123"/>
      <c r="R16" s="123"/>
      <c r="S16" s="123"/>
      <c r="T16" s="123"/>
      <c r="U16" s="123">
        <v>11.028030303030299</v>
      </c>
    </row>
    <row r="17" spans="1:21">
      <c r="A17" s="28" t="s">
        <v>863</v>
      </c>
      <c r="B17" s="123">
        <v>0.26666666666666666</v>
      </c>
      <c r="C17" s="123"/>
      <c r="D17" s="123">
        <v>3.4666666666666663</v>
      </c>
      <c r="E17" s="123">
        <v>2.0499999999999998</v>
      </c>
      <c r="F17" s="123">
        <v>12.809259259259258</v>
      </c>
      <c r="G17" s="123">
        <v>19.931481481481477</v>
      </c>
      <c r="H17" s="123">
        <v>3</v>
      </c>
      <c r="I17" s="123">
        <v>1.95</v>
      </c>
      <c r="J17" s="123"/>
      <c r="K17" s="123">
        <v>0.43333333333333335</v>
      </c>
      <c r="L17" s="123">
        <v>1.8333333333333333</v>
      </c>
      <c r="M17" s="123">
        <v>0.6645833333333333</v>
      </c>
      <c r="N17" s="123">
        <v>0.66666666666666663</v>
      </c>
      <c r="O17" s="123">
        <v>6.7055555555555557</v>
      </c>
      <c r="P17" s="123">
        <v>2.666666666666667</v>
      </c>
      <c r="Q17" s="123"/>
      <c r="R17" s="123"/>
      <c r="S17" s="123"/>
      <c r="T17" s="123"/>
      <c r="U17" s="123">
        <v>7.7695652173913023</v>
      </c>
    </row>
    <row r="18" spans="1:21">
      <c r="A18" s="29">
        <v>4</v>
      </c>
      <c r="B18" s="123"/>
      <c r="C18" s="123"/>
      <c r="D18" s="123">
        <v>6.7833333333333332</v>
      </c>
      <c r="E18" s="123"/>
      <c r="F18" s="123">
        <v>1.2388888888888887</v>
      </c>
      <c r="G18" s="123">
        <v>59.016666666666666</v>
      </c>
      <c r="H18" s="123"/>
      <c r="I18" s="123"/>
      <c r="J18" s="123"/>
      <c r="K18" s="123"/>
      <c r="L18" s="123">
        <v>1.8333333333333333</v>
      </c>
      <c r="M18" s="123"/>
      <c r="N18" s="123">
        <v>0.66666666666666663</v>
      </c>
      <c r="O18" s="123"/>
      <c r="P18" s="123"/>
      <c r="Q18" s="123"/>
      <c r="R18" s="123"/>
      <c r="S18" s="123"/>
      <c r="T18" s="123"/>
      <c r="U18" s="123">
        <v>15.312962962962963</v>
      </c>
    </row>
    <row r="19" spans="1:21">
      <c r="A19" s="29">
        <v>5</v>
      </c>
      <c r="B19" s="123"/>
      <c r="C19" s="123"/>
      <c r="D19" s="123">
        <v>1.5083333333333333</v>
      </c>
      <c r="E19" s="123">
        <v>2.0499999999999998</v>
      </c>
      <c r="F19" s="123">
        <v>22.27</v>
      </c>
      <c r="G19" s="123">
        <v>4.3499999999999996</v>
      </c>
      <c r="H19" s="123">
        <v>3</v>
      </c>
      <c r="I19" s="123">
        <v>3.7166666666666668</v>
      </c>
      <c r="J19" s="123"/>
      <c r="K19" s="123"/>
      <c r="L19" s="123"/>
      <c r="M19" s="123">
        <v>0.58888888888888891</v>
      </c>
      <c r="N19" s="123"/>
      <c r="O19" s="123">
        <v>17.083333333333332</v>
      </c>
      <c r="P19" s="123">
        <v>2.666666666666667</v>
      </c>
      <c r="Q19" s="123"/>
      <c r="R19" s="123"/>
      <c r="S19" s="123"/>
      <c r="T19" s="123"/>
      <c r="U19" s="123">
        <v>8.3192982456140356</v>
      </c>
    </row>
    <row r="20" spans="1:21">
      <c r="A20" s="31" t="s">
        <v>50</v>
      </c>
      <c r="B20" s="123"/>
      <c r="C20" s="123"/>
      <c r="D20" s="123"/>
      <c r="E20" s="123"/>
      <c r="F20" s="123"/>
      <c r="G20" s="123"/>
      <c r="H20" s="123">
        <v>3</v>
      </c>
      <c r="I20" s="123"/>
      <c r="J20" s="123"/>
      <c r="K20" s="123"/>
      <c r="L20" s="123"/>
      <c r="M20" s="123">
        <v>0.58888888888888891</v>
      </c>
      <c r="N20" s="123"/>
      <c r="O20" s="123"/>
      <c r="P20" s="123"/>
      <c r="Q20" s="123"/>
      <c r="R20" s="123"/>
      <c r="S20" s="123"/>
      <c r="T20" s="123"/>
      <c r="U20" s="123">
        <v>1.1916666666666667</v>
      </c>
    </row>
    <row r="21" spans="1:21">
      <c r="A21" s="31" t="s">
        <v>49</v>
      </c>
      <c r="B21" s="123"/>
      <c r="C21" s="123"/>
      <c r="D21" s="123"/>
      <c r="E21" s="123"/>
      <c r="F21" s="123"/>
      <c r="G21" s="123"/>
      <c r="H21" s="123"/>
      <c r="I21" s="123"/>
      <c r="J21" s="123"/>
      <c r="K21" s="123"/>
      <c r="L21" s="123"/>
      <c r="M21" s="123"/>
      <c r="N21" s="123"/>
      <c r="O21" s="123"/>
      <c r="P21" s="123">
        <v>2.666666666666667</v>
      </c>
      <c r="Q21" s="123"/>
      <c r="R21" s="123"/>
      <c r="S21" s="123"/>
      <c r="T21" s="123"/>
      <c r="U21" s="123">
        <v>2.666666666666667</v>
      </c>
    </row>
    <row r="22" spans="1:21">
      <c r="A22" s="31" t="s">
        <v>121</v>
      </c>
      <c r="B22" s="123"/>
      <c r="C22" s="123"/>
      <c r="D22" s="123">
        <v>1.5083333333333333</v>
      </c>
      <c r="E22" s="123"/>
      <c r="F22" s="123"/>
      <c r="G22" s="123"/>
      <c r="H22" s="123"/>
      <c r="I22" s="123"/>
      <c r="J22" s="123"/>
      <c r="K22" s="123"/>
      <c r="L22" s="123"/>
      <c r="M22" s="123"/>
      <c r="N22" s="123"/>
      <c r="O22" s="123"/>
      <c r="P22" s="123"/>
      <c r="Q22" s="123"/>
      <c r="R22" s="123"/>
      <c r="S22" s="123"/>
      <c r="T22" s="123"/>
      <c r="U22" s="123">
        <v>1.5083333333333333</v>
      </c>
    </row>
    <row r="23" spans="1:21">
      <c r="A23" s="31" t="s">
        <v>185</v>
      </c>
      <c r="B23" s="123"/>
      <c r="C23" s="123"/>
      <c r="D23" s="123"/>
      <c r="E23" s="123">
        <v>2.0499999999999998</v>
      </c>
      <c r="F23" s="123"/>
      <c r="G23" s="123"/>
      <c r="H23" s="123"/>
      <c r="I23" s="123"/>
      <c r="J23" s="123"/>
      <c r="K23" s="123"/>
      <c r="L23" s="123"/>
      <c r="M23" s="123"/>
      <c r="N23" s="123"/>
      <c r="O23" s="123"/>
      <c r="P23" s="123"/>
      <c r="Q23" s="123"/>
      <c r="R23" s="123"/>
      <c r="S23" s="123"/>
      <c r="T23" s="123"/>
      <c r="U23" s="123">
        <v>2.0499999999999998</v>
      </c>
    </row>
    <row r="24" spans="1:21">
      <c r="A24" s="31" t="s">
        <v>116</v>
      </c>
      <c r="B24" s="123"/>
      <c r="C24" s="123"/>
      <c r="D24" s="123"/>
      <c r="E24" s="123"/>
      <c r="F24" s="123">
        <v>22.27</v>
      </c>
      <c r="G24" s="123"/>
      <c r="H24" s="123"/>
      <c r="I24" s="123"/>
      <c r="J24" s="123"/>
      <c r="K24" s="123"/>
      <c r="L24" s="123"/>
      <c r="M24" s="123"/>
      <c r="N24" s="123"/>
      <c r="O24" s="123"/>
      <c r="P24" s="123"/>
      <c r="Q24" s="123"/>
      <c r="R24" s="123"/>
      <c r="S24" s="123"/>
      <c r="T24" s="123"/>
      <c r="U24" s="123">
        <v>22.27</v>
      </c>
    </row>
    <row r="25" spans="1:21">
      <c r="A25" s="31" t="s">
        <v>881</v>
      </c>
      <c r="B25" s="123"/>
      <c r="C25" s="123"/>
      <c r="D25" s="123"/>
      <c r="E25" s="123"/>
      <c r="F25" s="123"/>
      <c r="G25" s="123">
        <v>4.3499999999999996</v>
      </c>
      <c r="H25" s="123"/>
      <c r="I25" s="123"/>
      <c r="J25" s="123"/>
      <c r="K25" s="123"/>
      <c r="L25" s="123"/>
      <c r="M25" s="123"/>
      <c r="N25" s="123"/>
      <c r="O25" s="123"/>
      <c r="P25" s="123"/>
      <c r="Q25" s="123"/>
      <c r="R25" s="123"/>
      <c r="S25" s="123"/>
      <c r="T25" s="123"/>
      <c r="U25" s="123">
        <v>4.3499999999999996</v>
      </c>
    </row>
    <row r="26" spans="1:21">
      <c r="A26" s="31" t="s">
        <v>1047</v>
      </c>
      <c r="B26" s="123"/>
      <c r="C26" s="123"/>
      <c r="D26" s="123"/>
      <c r="E26" s="123"/>
      <c r="F26" s="123"/>
      <c r="G26" s="123"/>
      <c r="H26" s="123"/>
      <c r="I26" s="123">
        <v>3.7166666666666668</v>
      </c>
      <c r="J26" s="123"/>
      <c r="K26" s="123"/>
      <c r="L26" s="123"/>
      <c r="M26" s="123"/>
      <c r="N26" s="123"/>
      <c r="O26" s="123"/>
      <c r="P26" s="123"/>
      <c r="Q26" s="123"/>
      <c r="R26" s="123"/>
      <c r="S26" s="123"/>
      <c r="T26" s="123"/>
      <c r="U26" s="123">
        <v>3.7166666666666668</v>
      </c>
    </row>
    <row r="27" spans="1:21">
      <c r="A27" s="31" t="s">
        <v>1050</v>
      </c>
      <c r="B27" s="123"/>
      <c r="C27" s="123"/>
      <c r="D27" s="123"/>
      <c r="E27" s="123"/>
      <c r="F27" s="123"/>
      <c r="G27" s="123"/>
      <c r="H27" s="123"/>
      <c r="I27" s="123"/>
      <c r="J27" s="123"/>
      <c r="K27" s="123"/>
      <c r="L27" s="123"/>
      <c r="M27" s="123"/>
      <c r="N27" s="123"/>
      <c r="O27" s="123">
        <v>17.083333333333332</v>
      </c>
      <c r="P27" s="123"/>
      <c r="Q27" s="123"/>
      <c r="R27" s="123"/>
      <c r="S27" s="123"/>
      <c r="T27" s="123"/>
      <c r="U27" s="123">
        <v>17.083333333333332</v>
      </c>
    </row>
    <row r="28" spans="1:21">
      <c r="A28" s="29">
        <v>6</v>
      </c>
      <c r="B28" s="123">
        <v>0.26666666666666666</v>
      </c>
      <c r="C28" s="123"/>
      <c r="D28" s="123">
        <v>0.75</v>
      </c>
      <c r="E28" s="123"/>
      <c r="F28" s="123">
        <v>0.21666666666666667</v>
      </c>
      <c r="G28" s="123">
        <v>10.53</v>
      </c>
      <c r="H28" s="123"/>
      <c r="I28" s="123">
        <v>0.18333333333333332</v>
      </c>
      <c r="J28" s="123"/>
      <c r="K28" s="123">
        <v>0.43333333333333335</v>
      </c>
      <c r="L28" s="123"/>
      <c r="M28" s="123">
        <v>0.71</v>
      </c>
      <c r="N28" s="123"/>
      <c r="O28" s="123">
        <v>1.5166666666666666</v>
      </c>
      <c r="P28" s="123"/>
      <c r="Q28" s="123"/>
      <c r="R28" s="123"/>
      <c r="S28" s="123"/>
      <c r="T28" s="123"/>
      <c r="U28" s="123">
        <v>3.4175925925925923</v>
      </c>
    </row>
    <row r="29" spans="1:21">
      <c r="A29" s="31" t="s">
        <v>50</v>
      </c>
      <c r="B29" s="123"/>
      <c r="C29" s="123"/>
      <c r="D29" s="123"/>
      <c r="E29" s="123"/>
      <c r="F29" s="123"/>
      <c r="G29" s="123"/>
      <c r="H29" s="123"/>
      <c r="I29" s="123"/>
      <c r="J29" s="123"/>
      <c r="K29" s="123"/>
      <c r="L29" s="123"/>
      <c r="M29" s="123">
        <v>0.71</v>
      </c>
      <c r="N29" s="123"/>
      <c r="O29" s="123"/>
      <c r="P29" s="123"/>
      <c r="Q29" s="123"/>
      <c r="R29" s="123"/>
      <c r="S29" s="123"/>
      <c r="T29" s="123"/>
      <c r="U29" s="123">
        <v>0.71</v>
      </c>
    </row>
    <row r="30" spans="1:21">
      <c r="A30" s="31" t="s">
        <v>121</v>
      </c>
      <c r="B30" s="123"/>
      <c r="C30" s="123"/>
      <c r="D30" s="123">
        <v>0.75</v>
      </c>
      <c r="E30" s="123"/>
      <c r="F30" s="123"/>
      <c r="G30" s="123"/>
      <c r="H30" s="123"/>
      <c r="I30" s="123"/>
      <c r="J30" s="123"/>
      <c r="K30" s="123"/>
      <c r="L30" s="123"/>
      <c r="M30" s="123"/>
      <c r="N30" s="123"/>
      <c r="O30" s="123"/>
      <c r="P30" s="123"/>
      <c r="Q30" s="123"/>
      <c r="R30" s="123"/>
      <c r="S30" s="123"/>
      <c r="T30" s="123"/>
      <c r="U30" s="123">
        <v>0.75</v>
      </c>
    </row>
    <row r="31" spans="1:21">
      <c r="A31" s="31" t="s">
        <v>116</v>
      </c>
      <c r="B31" s="123"/>
      <c r="C31" s="123"/>
      <c r="D31" s="123"/>
      <c r="E31" s="123"/>
      <c r="F31" s="123">
        <v>0.21666666666666667</v>
      </c>
      <c r="G31" s="123"/>
      <c r="H31" s="123"/>
      <c r="I31" s="123"/>
      <c r="J31" s="123"/>
      <c r="K31" s="123"/>
      <c r="L31" s="123"/>
      <c r="M31" s="123"/>
      <c r="N31" s="123"/>
      <c r="O31" s="123"/>
      <c r="P31" s="123"/>
      <c r="Q31" s="123"/>
      <c r="R31" s="123"/>
      <c r="S31" s="123"/>
      <c r="T31" s="123"/>
      <c r="U31" s="123">
        <v>0.21666666666666667</v>
      </c>
    </row>
    <row r="32" spans="1:21">
      <c r="A32" s="31" t="s">
        <v>881</v>
      </c>
      <c r="B32" s="123"/>
      <c r="C32" s="123"/>
      <c r="D32" s="123"/>
      <c r="E32" s="123"/>
      <c r="F32" s="123"/>
      <c r="G32" s="123">
        <v>10.53</v>
      </c>
      <c r="H32" s="123"/>
      <c r="I32" s="123"/>
      <c r="J32" s="123"/>
      <c r="K32" s="123"/>
      <c r="L32" s="123"/>
      <c r="M32" s="123"/>
      <c r="N32" s="123"/>
      <c r="O32" s="123"/>
      <c r="P32" s="123"/>
      <c r="Q32" s="123"/>
      <c r="R32" s="123"/>
      <c r="S32" s="123"/>
      <c r="T32" s="123"/>
      <c r="U32" s="123">
        <v>10.53</v>
      </c>
    </row>
    <row r="33" spans="1:21">
      <c r="A33" s="31" t="s">
        <v>1047</v>
      </c>
      <c r="B33" s="123"/>
      <c r="C33" s="123"/>
      <c r="D33" s="123"/>
      <c r="E33" s="123"/>
      <c r="F33" s="123"/>
      <c r="G33" s="123"/>
      <c r="H33" s="123"/>
      <c r="I33" s="123">
        <v>0.18333333333333332</v>
      </c>
      <c r="J33" s="123"/>
      <c r="K33" s="123"/>
      <c r="L33" s="123"/>
      <c r="M33" s="123"/>
      <c r="N33" s="123"/>
      <c r="O33" s="123"/>
      <c r="P33" s="123"/>
      <c r="Q33" s="123"/>
      <c r="R33" s="123"/>
      <c r="S33" s="123"/>
      <c r="T33" s="123"/>
      <c r="U33" s="123">
        <v>0.18333333333333332</v>
      </c>
    </row>
    <row r="34" spans="1:21">
      <c r="A34" s="31" t="s">
        <v>1050</v>
      </c>
      <c r="B34" s="123"/>
      <c r="C34" s="123"/>
      <c r="D34" s="123"/>
      <c r="E34" s="123"/>
      <c r="F34" s="123"/>
      <c r="G34" s="123"/>
      <c r="H34" s="123"/>
      <c r="I34" s="123"/>
      <c r="J34" s="123"/>
      <c r="K34" s="123"/>
      <c r="L34" s="123"/>
      <c r="M34" s="123"/>
      <c r="N34" s="123"/>
      <c r="O34" s="123">
        <v>1.5166666666666666</v>
      </c>
      <c r="P34" s="123"/>
      <c r="Q34" s="123"/>
      <c r="R34" s="123"/>
      <c r="S34" s="123"/>
      <c r="T34" s="123"/>
      <c r="U34" s="123">
        <v>1.5166666666666666</v>
      </c>
    </row>
    <row r="35" spans="1:21">
      <c r="A35" s="31" t="s">
        <v>1081</v>
      </c>
      <c r="B35" s="123"/>
      <c r="C35" s="123"/>
      <c r="D35" s="123"/>
      <c r="E35" s="123"/>
      <c r="F35" s="123"/>
      <c r="G35" s="123"/>
      <c r="H35" s="123"/>
      <c r="I35" s="123"/>
      <c r="J35" s="123"/>
      <c r="K35" s="123">
        <v>0.43333333333333335</v>
      </c>
      <c r="L35" s="123"/>
      <c r="M35" s="123"/>
      <c r="N35" s="123"/>
      <c r="O35" s="123"/>
      <c r="P35" s="123"/>
      <c r="Q35" s="123"/>
      <c r="R35" s="123"/>
      <c r="S35" s="123"/>
      <c r="T35" s="123"/>
      <c r="U35" s="123">
        <v>0.43333333333333335</v>
      </c>
    </row>
    <row r="36" spans="1:21">
      <c r="A36" s="31" t="s">
        <v>633</v>
      </c>
      <c r="B36" s="123">
        <v>0.26666666666666666</v>
      </c>
      <c r="C36" s="123"/>
      <c r="D36" s="123"/>
      <c r="E36" s="123"/>
      <c r="F36" s="123"/>
      <c r="G36" s="123"/>
      <c r="H36" s="123"/>
      <c r="I36" s="123"/>
      <c r="J36" s="123"/>
      <c r="K36" s="123"/>
      <c r="L36" s="123"/>
      <c r="M36" s="123"/>
      <c r="N36" s="123"/>
      <c r="O36" s="123"/>
      <c r="P36" s="123"/>
      <c r="Q36" s="123"/>
      <c r="R36" s="123"/>
      <c r="S36" s="123"/>
      <c r="T36" s="123"/>
      <c r="U36" s="123">
        <v>0.26666666666666666</v>
      </c>
    </row>
    <row r="37" spans="1:21">
      <c r="A37" s="28" t="s">
        <v>864</v>
      </c>
      <c r="B37" s="123"/>
      <c r="C37" s="123"/>
      <c r="D37" s="123">
        <v>1367286.3648148149</v>
      </c>
      <c r="E37" s="123">
        <v>1.0083333333333335</v>
      </c>
      <c r="F37" s="123">
        <v>20.715476190476188</v>
      </c>
      <c r="G37" s="123">
        <v>0.52777777777777779</v>
      </c>
      <c r="H37" s="123">
        <v>9.4761904760485596</v>
      </c>
      <c r="I37" s="123">
        <v>10.7</v>
      </c>
      <c r="J37" s="123"/>
      <c r="K37" s="123"/>
      <c r="L37" s="123"/>
      <c r="M37" s="123">
        <v>5.1749999999999998</v>
      </c>
      <c r="N37" s="123"/>
      <c r="O37" s="123">
        <v>0.53333333333333333</v>
      </c>
      <c r="P37" s="123"/>
      <c r="Q37" s="123">
        <v>764.05</v>
      </c>
      <c r="R37" s="123">
        <v>1.3166666666666667</v>
      </c>
      <c r="S37" s="123"/>
      <c r="T37" s="123"/>
      <c r="U37" s="123">
        <v>205113.66361111109</v>
      </c>
    </row>
    <row r="38" spans="1:21">
      <c r="A38" s="29">
        <v>7</v>
      </c>
      <c r="B38" s="123"/>
      <c r="C38" s="123"/>
      <c r="D38" s="123">
        <v>3.0388888888888892</v>
      </c>
      <c r="E38" s="123">
        <v>0.58333333333333337</v>
      </c>
      <c r="F38" s="123">
        <v>7.125</v>
      </c>
      <c r="G38" s="123">
        <v>0.57999999999999996</v>
      </c>
      <c r="H38" s="123">
        <v>0.68333333333333335</v>
      </c>
      <c r="I38" s="123">
        <v>0.33333333333333331</v>
      </c>
      <c r="J38" s="123"/>
      <c r="K38" s="123"/>
      <c r="L38" s="123"/>
      <c r="M38" s="123">
        <v>5.1749999999999998</v>
      </c>
      <c r="N38" s="123"/>
      <c r="O38" s="123">
        <v>0.53333333333333333</v>
      </c>
      <c r="P38" s="123"/>
      <c r="Q38" s="123">
        <v>764.05</v>
      </c>
      <c r="R38" s="123"/>
      <c r="S38" s="123"/>
      <c r="T38" s="123"/>
      <c r="U38" s="123">
        <v>38.776984126984125</v>
      </c>
    </row>
    <row r="39" spans="1:21">
      <c r="A39" s="29">
        <v>8</v>
      </c>
      <c r="B39" s="123"/>
      <c r="C39" s="123"/>
      <c r="D39" s="123">
        <v>6.0366666666666671</v>
      </c>
      <c r="E39" s="123">
        <v>1.4333333333333333</v>
      </c>
      <c r="F39" s="123">
        <v>29.342592592592592</v>
      </c>
      <c r="G39" s="123">
        <v>0.26666666666666666</v>
      </c>
      <c r="H39" s="123">
        <v>10.977777777612209</v>
      </c>
      <c r="I39" s="123">
        <v>21.066666666666666</v>
      </c>
      <c r="J39" s="123"/>
      <c r="K39" s="123"/>
      <c r="L39" s="123"/>
      <c r="M39" s="123"/>
      <c r="N39" s="123"/>
      <c r="O39" s="123"/>
      <c r="P39" s="123"/>
      <c r="Q39" s="123"/>
      <c r="R39" s="123">
        <v>0.3666666666666667</v>
      </c>
      <c r="S39" s="123"/>
      <c r="T39" s="123"/>
      <c r="U39" s="123">
        <v>13.7080808080206</v>
      </c>
    </row>
    <row r="40" spans="1:21">
      <c r="A40" s="29">
        <v>9</v>
      </c>
      <c r="B40" s="123"/>
      <c r="C40" s="123"/>
      <c r="D40" s="123">
        <v>12305537.983333332</v>
      </c>
      <c r="E40" s="123"/>
      <c r="F40" s="123">
        <v>3.8944444444444444</v>
      </c>
      <c r="G40" s="123"/>
      <c r="H40" s="123">
        <v>0.25</v>
      </c>
      <c r="I40" s="123"/>
      <c r="J40" s="123"/>
      <c r="K40" s="123"/>
      <c r="L40" s="123"/>
      <c r="M40" s="123"/>
      <c r="N40" s="123"/>
      <c r="O40" s="123"/>
      <c r="P40" s="123"/>
      <c r="Q40" s="123"/>
      <c r="R40" s="123">
        <v>3.2166666666666668</v>
      </c>
      <c r="S40" s="123"/>
      <c r="T40" s="123"/>
      <c r="U40" s="123">
        <v>2050925.5222222221</v>
      </c>
    </row>
    <row r="41" spans="1:21">
      <c r="A41" s="28" t="s">
        <v>865</v>
      </c>
      <c r="B41" s="123"/>
      <c r="C41" s="123"/>
      <c r="D41" s="123">
        <v>2.7083333333333335</v>
      </c>
      <c r="E41" s="123">
        <v>0.43333333333333335</v>
      </c>
      <c r="F41" s="123">
        <v>3515994.6523809521</v>
      </c>
      <c r="G41" s="123">
        <v>6152938.5083333328</v>
      </c>
      <c r="H41" s="123">
        <v>4102035.3444444444</v>
      </c>
      <c r="I41" s="123"/>
      <c r="J41" s="123"/>
      <c r="K41" s="123"/>
      <c r="L41" s="123"/>
      <c r="M41" s="123"/>
      <c r="N41" s="123"/>
      <c r="O41" s="123"/>
      <c r="P41" s="123"/>
      <c r="Q41" s="123"/>
      <c r="R41" s="123">
        <v>6153028.4083333332</v>
      </c>
      <c r="S41" s="123">
        <v>17.899999999999999</v>
      </c>
      <c r="T41" s="123">
        <v>3.7833333333333332</v>
      </c>
      <c r="U41" s="123">
        <v>3076501.52</v>
      </c>
    </row>
    <row r="42" spans="1:21">
      <c r="A42" s="29">
        <v>10</v>
      </c>
      <c r="B42" s="123"/>
      <c r="C42" s="123"/>
      <c r="D42" s="123"/>
      <c r="E42" s="123"/>
      <c r="F42" s="123">
        <v>8203979.0499999998</v>
      </c>
      <c r="G42" s="123">
        <v>12305875.983333332</v>
      </c>
      <c r="H42" s="123">
        <v>4102035.3444444444</v>
      </c>
      <c r="I42" s="123"/>
      <c r="J42" s="123"/>
      <c r="K42" s="123"/>
      <c r="L42" s="123"/>
      <c r="M42" s="123"/>
      <c r="N42" s="123"/>
      <c r="O42" s="123"/>
      <c r="P42" s="123"/>
      <c r="Q42" s="123"/>
      <c r="R42" s="123">
        <v>12306056.5</v>
      </c>
      <c r="S42" s="123"/>
      <c r="T42" s="123"/>
      <c r="U42" s="123">
        <v>7691246.958333333</v>
      </c>
    </row>
    <row r="43" spans="1:21">
      <c r="A43" s="29">
        <v>11</v>
      </c>
      <c r="B43" s="123"/>
      <c r="C43" s="123"/>
      <c r="D43" s="123">
        <v>2.7083333333333335</v>
      </c>
      <c r="E43" s="123">
        <v>0.43333333333333335</v>
      </c>
      <c r="F43" s="123">
        <v>6.354166666666667</v>
      </c>
      <c r="G43" s="123">
        <v>1.0333333333333334</v>
      </c>
      <c r="H43" s="123"/>
      <c r="I43" s="123"/>
      <c r="J43" s="123"/>
      <c r="K43" s="123"/>
      <c r="L43" s="123"/>
      <c r="M43" s="123"/>
      <c r="N43" s="123"/>
      <c r="O43" s="123"/>
      <c r="P43" s="123"/>
      <c r="Q43" s="123"/>
      <c r="R43" s="123">
        <v>0.31666666666666665</v>
      </c>
      <c r="S43" s="123">
        <v>17.899999999999999</v>
      </c>
      <c r="T43" s="123">
        <v>3.7833333333333332</v>
      </c>
      <c r="U43" s="123">
        <v>4.5611111111111109</v>
      </c>
    </row>
    <row r="44" spans="1:21">
      <c r="A44" s="27" t="s">
        <v>9</v>
      </c>
      <c r="B44" s="123">
        <v>0.26666666666666666</v>
      </c>
      <c r="C44" s="123">
        <v>586.46944444444443</v>
      </c>
      <c r="D44" s="123">
        <v>372909.97575757571</v>
      </c>
      <c r="E44" s="123">
        <v>11.926811594202903</v>
      </c>
      <c r="F44" s="123">
        <v>546967.55592592596</v>
      </c>
      <c r="G44" s="123">
        <v>396976.39838709676</v>
      </c>
      <c r="H44" s="123">
        <v>512760.33819444437</v>
      </c>
      <c r="I44" s="123">
        <v>9.8949999999999996</v>
      </c>
      <c r="J44" s="123">
        <v>4</v>
      </c>
      <c r="K44" s="123">
        <v>0.43333333333333335</v>
      </c>
      <c r="L44" s="123">
        <v>2.3333333333333335</v>
      </c>
      <c r="M44" s="123">
        <v>2.1680555555555556</v>
      </c>
      <c r="N44" s="123">
        <v>0.66666666666666663</v>
      </c>
      <c r="O44" s="123">
        <v>5.1625000000000005</v>
      </c>
      <c r="P44" s="123">
        <v>2.666666666666667</v>
      </c>
      <c r="Q44" s="123">
        <v>764.05</v>
      </c>
      <c r="R44" s="123">
        <v>2461212.1533333333</v>
      </c>
      <c r="S44" s="123">
        <v>17.899999999999999</v>
      </c>
      <c r="T44" s="123">
        <v>3.7833333333333332</v>
      </c>
      <c r="U44" s="123">
        <v>358460.62653721683</v>
      </c>
    </row>
  </sheetData>
  <sortState xmlns:xlrd2="http://schemas.microsoft.com/office/spreadsheetml/2017/richdata2" ref="A3:L25">
    <sortCondition ref="A5" customList="بهار,تابستان,پاییز,زمستان"/>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rightToLeft="1" workbookViewId="0">
      <selection activeCell="D16" sqref="D16"/>
    </sheetView>
  </sheetViews>
  <sheetFormatPr defaultRowHeight="15"/>
  <cols>
    <col min="1" max="1" width="13.140625" bestFit="1" customWidth="1"/>
    <col min="2" max="2" width="19.42578125" bestFit="1" customWidth="1"/>
    <col min="3" max="4" width="20.85546875" bestFit="1" customWidth="1"/>
    <col min="5" max="5" width="13.5703125" bestFit="1" customWidth="1"/>
  </cols>
  <sheetData>
    <row r="1" spans="1:4">
      <c r="A1" s="30" t="s">
        <v>7</v>
      </c>
      <c r="B1" s="27" t="s">
        <v>103</v>
      </c>
    </row>
    <row r="2" spans="1:4">
      <c r="A2" s="30" t="s">
        <v>4</v>
      </c>
      <c r="B2" s="27" t="s">
        <v>121</v>
      </c>
    </row>
    <row r="3" spans="1:4">
      <c r="A3" s="30" t="s">
        <v>5</v>
      </c>
      <c r="B3" s="27" t="s">
        <v>103</v>
      </c>
    </row>
    <row r="5" spans="1:4">
      <c r="A5" s="30" t="s">
        <v>8</v>
      </c>
      <c r="B5" t="s">
        <v>869</v>
      </c>
      <c r="C5" t="s">
        <v>102</v>
      </c>
      <c r="D5" t="s">
        <v>1067</v>
      </c>
    </row>
    <row r="6" spans="1:4">
      <c r="A6" s="27" t="s">
        <v>904</v>
      </c>
      <c r="B6" s="123">
        <v>360</v>
      </c>
      <c r="C6" s="123">
        <v>720</v>
      </c>
      <c r="D6" s="123">
        <v>282.39210526315787</v>
      </c>
    </row>
    <row r="7" spans="1:4">
      <c r="A7" s="28" t="s">
        <v>862</v>
      </c>
      <c r="B7" s="123">
        <v>360</v>
      </c>
      <c r="C7" s="123">
        <v>720</v>
      </c>
      <c r="D7" s="123">
        <v>191.36111111111111</v>
      </c>
    </row>
    <row r="8" spans="1:4">
      <c r="A8" s="29">
        <v>1</v>
      </c>
      <c r="B8" s="123">
        <v>360</v>
      </c>
      <c r="C8" s="123">
        <v>720</v>
      </c>
      <c r="D8" s="123">
        <v>208.1</v>
      </c>
    </row>
    <row r="9" spans="1:4">
      <c r="A9" s="29">
        <v>2</v>
      </c>
      <c r="B9" s="123">
        <v>360</v>
      </c>
      <c r="C9" s="123">
        <v>720</v>
      </c>
      <c r="D9" s="123">
        <v>149.04166666666666</v>
      </c>
    </row>
    <row r="10" spans="1:4">
      <c r="A10" s="29">
        <v>3</v>
      </c>
      <c r="B10" s="123">
        <v>360</v>
      </c>
      <c r="C10" s="123">
        <v>720</v>
      </c>
      <c r="D10" s="123">
        <v>293.68333333333334</v>
      </c>
    </row>
    <row r="11" spans="1:4">
      <c r="A11" s="28" t="s">
        <v>864</v>
      </c>
      <c r="B11" s="123">
        <v>360</v>
      </c>
      <c r="C11" s="123">
        <v>720</v>
      </c>
      <c r="D11" s="123">
        <v>202.65666666666667</v>
      </c>
    </row>
    <row r="12" spans="1:4">
      <c r="A12" s="29">
        <v>7</v>
      </c>
      <c r="B12" s="123">
        <v>360</v>
      </c>
      <c r="C12" s="123">
        <v>720</v>
      </c>
      <c r="D12" s="123">
        <v>259.04444444444442</v>
      </c>
    </row>
    <row r="13" spans="1:4">
      <c r="A13" s="29">
        <v>8</v>
      </c>
      <c r="B13" s="123">
        <v>360</v>
      </c>
      <c r="C13" s="123">
        <v>720</v>
      </c>
      <c r="D13" s="123">
        <v>118.075</v>
      </c>
    </row>
    <row r="14" spans="1:4">
      <c r="A14" s="28" t="s">
        <v>863</v>
      </c>
      <c r="B14" s="123">
        <v>360</v>
      </c>
      <c r="C14" s="123">
        <v>720</v>
      </c>
      <c r="D14" s="123">
        <v>525.98333333333335</v>
      </c>
    </row>
    <row r="15" spans="1:4">
      <c r="A15" s="29">
        <v>4</v>
      </c>
      <c r="B15" s="123">
        <v>360</v>
      </c>
      <c r="C15" s="123">
        <v>720</v>
      </c>
      <c r="D15" s="123">
        <v>466.29999999999995</v>
      </c>
    </row>
    <row r="16" spans="1:4">
      <c r="A16" s="29">
        <v>5</v>
      </c>
      <c r="B16" s="123">
        <v>360</v>
      </c>
      <c r="C16" s="123">
        <v>720</v>
      </c>
      <c r="D16" s="123">
        <v>283.2833333333333</v>
      </c>
    </row>
    <row r="17" spans="1:4">
      <c r="A17" s="29">
        <v>6</v>
      </c>
      <c r="B17" s="123">
        <v>360</v>
      </c>
      <c r="C17" s="123">
        <v>720</v>
      </c>
      <c r="D17" s="123">
        <v>1130.75</v>
      </c>
    </row>
    <row r="18" spans="1:4">
      <c r="A18" s="27" t="s">
        <v>9</v>
      </c>
      <c r="B18" s="123">
        <v>360</v>
      </c>
      <c r="C18" s="123">
        <v>720</v>
      </c>
      <c r="D18" s="123">
        <v>282.39210526315787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rightToLeft="1" workbookViewId="0">
      <selection activeCell="D5" sqref="D5"/>
    </sheetView>
  </sheetViews>
  <sheetFormatPr defaultRowHeight="15"/>
  <cols>
    <col min="1" max="1" width="13.140625" bestFit="1" customWidth="1"/>
    <col min="2" max="2" width="19.42578125" bestFit="1" customWidth="1"/>
    <col min="3" max="4" width="20.85546875" bestFit="1" customWidth="1"/>
    <col min="5" max="5" width="19.42578125" bestFit="1" customWidth="1"/>
    <col min="6" max="6" width="20.140625" bestFit="1" customWidth="1"/>
    <col min="7" max="7" width="16.7109375" bestFit="1" customWidth="1"/>
    <col min="8" max="8" width="19.42578125" bestFit="1" customWidth="1"/>
    <col min="9" max="9" width="20.140625" bestFit="1" customWidth="1"/>
    <col min="10" max="10" width="16.7109375" bestFit="1" customWidth="1"/>
    <col min="11" max="11" width="19.42578125" bestFit="1" customWidth="1"/>
    <col min="12" max="12" width="20.140625" bestFit="1" customWidth="1"/>
    <col min="13" max="13" width="16.7109375" bestFit="1" customWidth="1"/>
    <col min="14" max="14" width="19.42578125" bestFit="1" customWidth="1"/>
    <col min="15" max="15" width="20.140625" bestFit="1" customWidth="1"/>
    <col min="16" max="16" width="16.7109375" bestFit="1" customWidth="1"/>
    <col min="17" max="17" width="19.42578125" bestFit="1" customWidth="1"/>
    <col min="18" max="18" width="20.140625" bestFit="1" customWidth="1"/>
    <col min="19" max="19" width="16.7109375" bestFit="1" customWidth="1"/>
    <col min="20" max="20" width="19.42578125" bestFit="1" customWidth="1"/>
    <col min="21" max="21" width="20.140625" bestFit="1" customWidth="1"/>
    <col min="22" max="22" width="16.7109375" bestFit="1" customWidth="1"/>
    <col min="23" max="23" width="19.42578125" bestFit="1" customWidth="1"/>
    <col min="24" max="24" width="20.140625" bestFit="1" customWidth="1"/>
    <col min="25" max="25" width="16.7109375" bestFit="1" customWidth="1"/>
    <col min="26" max="26" width="19.42578125" bestFit="1" customWidth="1"/>
    <col min="27" max="27" width="20.140625" bestFit="1" customWidth="1"/>
    <col min="28" max="28" width="16.7109375" bestFit="1" customWidth="1"/>
    <col min="29" max="29" width="19.42578125" bestFit="1" customWidth="1"/>
    <col min="30" max="30" width="20.140625" bestFit="1" customWidth="1"/>
    <col min="31" max="31" width="16.7109375" bestFit="1" customWidth="1"/>
    <col min="32" max="32" width="19.42578125" bestFit="1" customWidth="1"/>
    <col min="33" max="33" width="20.140625" bestFit="1" customWidth="1"/>
    <col min="34" max="34" width="16.7109375" bestFit="1" customWidth="1"/>
    <col min="35" max="35" width="19.42578125" bestFit="1" customWidth="1"/>
    <col min="36" max="36" width="20.140625" bestFit="1" customWidth="1"/>
    <col min="37" max="37" width="16.7109375" bestFit="1" customWidth="1"/>
    <col min="38" max="38" width="19.42578125" bestFit="1" customWidth="1"/>
    <col min="39" max="39" width="20.140625" bestFit="1" customWidth="1"/>
    <col min="40" max="40" width="16.7109375" bestFit="1" customWidth="1"/>
    <col min="41" max="41" width="19.42578125" bestFit="1" customWidth="1"/>
    <col min="42" max="42" width="20.140625" bestFit="1" customWidth="1"/>
    <col min="43" max="43" width="16.7109375" bestFit="1" customWidth="1"/>
    <col min="44" max="44" width="19.42578125" bestFit="1" customWidth="1"/>
    <col min="45" max="45" width="20.140625" bestFit="1" customWidth="1"/>
    <col min="46" max="46" width="16.7109375" bestFit="1" customWidth="1"/>
    <col min="47" max="47" width="19.42578125" bestFit="1" customWidth="1"/>
    <col min="48" max="48" width="20.140625" bestFit="1" customWidth="1"/>
    <col min="49" max="49" width="16.7109375" bestFit="1" customWidth="1"/>
    <col min="50" max="50" width="19.42578125" bestFit="1" customWidth="1"/>
    <col min="51" max="51" width="20.140625" bestFit="1" customWidth="1"/>
    <col min="52" max="52" width="16.7109375" bestFit="1" customWidth="1"/>
    <col min="53" max="53" width="19.42578125" bestFit="1" customWidth="1"/>
    <col min="54" max="54" width="20.140625" bestFit="1" customWidth="1"/>
    <col min="55" max="55" width="16.7109375" bestFit="1" customWidth="1"/>
    <col min="56" max="56" width="19.42578125" bestFit="1" customWidth="1"/>
    <col min="57" max="57" width="20.140625" bestFit="1" customWidth="1"/>
    <col min="58" max="58" width="16.7109375" bestFit="1" customWidth="1"/>
    <col min="59" max="59" width="19.42578125" bestFit="1" customWidth="1"/>
    <col min="60" max="60" width="20.140625" bestFit="1" customWidth="1"/>
    <col min="61" max="61" width="16.7109375" bestFit="1" customWidth="1"/>
    <col min="62" max="62" width="19.42578125" bestFit="1" customWidth="1"/>
    <col min="63" max="63" width="20.140625" bestFit="1" customWidth="1"/>
    <col min="64" max="64" width="16.7109375" bestFit="1" customWidth="1"/>
    <col min="65" max="65" width="19.42578125" bestFit="1" customWidth="1"/>
    <col min="66" max="66" width="20.140625" bestFit="1" customWidth="1"/>
    <col min="67" max="67" width="16.7109375" bestFit="1" customWidth="1"/>
    <col min="68" max="68" width="19.42578125" bestFit="1" customWidth="1"/>
    <col min="69" max="69" width="20.140625" bestFit="1" customWidth="1"/>
    <col min="70" max="70" width="16.7109375" bestFit="1" customWidth="1"/>
    <col min="71" max="71" width="19.42578125" bestFit="1" customWidth="1"/>
    <col min="72" max="72" width="20.140625" bestFit="1" customWidth="1"/>
    <col min="73" max="73" width="16.7109375" bestFit="1" customWidth="1"/>
    <col min="74" max="74" width="19.42578125" bestFit="1" customWidth="1"/>
    <col min="75" max="75" width="20.140625" bestFit="1" customWidth="1"/>
    <col min="76" max="76" width="16.7109375" bestFit="1" customWidth="1"/>
    <col min="77" max="77" width="19.42578125" bestFit="1" customWidth="1"/>
    <col min="78" max="78" width="20.140625" bestFit="1" customWidth="1"/>
    <col min="79" max="79" width="16.7109375" bestFit="1" customWidth="1"/>
    <col min="80" max="80" width="19.42578125" bestFit="1" customWidth="1"/>
    <col min="81" max="81" width="20.140625" bestFit="1" customWidth="1"/>
    <col min="82" max="82" width="16.7109375" bestFit="1" customWidth="1"/>
    <col min="83" max="83" width="24.7109375" bestFit="1" customWidth="1"/>
    <col min="84" max="84" width="25.28515625" bestFit="1" customWidth="1"/>
    <col min="85" max="85" width="21.85546875" bestFit="1" customWidth="1"/>
    <col min="86" max="86" width="11.85546875" bestFit="1" customWidth="1"/>
    <col min="87" max="87" width="9.140625" bestFit="1" customWidth="1"/>
    <col min="88" max="91" width="11.85546875" bestFit="1" customWidth="1"/>
    <col min="92" max="92" width="10.42578125" bestFit="1" customWidth="1"/>
    <col min="93" max="93" width="10" bestFit="1" customWidth="1"/>
    <col min="94" max="95" width="8.7109375" bestFit="1" customWidth="1"/>
    <col min="96" max="102" width="11.85546875" bestFit="1" customWidth="1"/>
    <col min="103" max="103" width="9.28515625" bestFit="1" customWidth="1"/>
    <col min="104" max="104" width="11.85546875" bestFit="1" customWidth="1"/>
    <col min="105" max="106" width="3.140625" bestFit="1" customWidth="1"/>
    <col min="107" max="108" width="11.85546875" bestFit="1" customWidth="1"/>
    <col min="109" max="109" width="4.85546875" bestFit="1" customWidth="1"/>
    <col min="110" max="110" width="22.140625" bestFit="1" customWidth="1"/>
    <col min="111" max="111" width="25.28515625" bestFit="1" customWidth="1"/>
    <col min="112" max="112" width="24.7109375" bestFit="1" customWidth="1"/>
    <col min="113" max="113" width="21.85546875" bestFit="1" customWidth="1"/>
  </cols>
  <sheetData>
    <row r="1" spans="1:4">
      <c r="A1" s="30" t="s">
        <v>7</v>
      </c>
      <c r="B1" s="27" t="s">
        <v>103</v>
      </c>
    </row>
    <row r="2" spans="1:4">
      <c r="A2" s="30" t="s">
        <v>4</v>
      </c>
      <c r="B2" s="27" t="s">
        <v>121</v>
      </c>
    </row>
    <row r="3" spans="1:4">
      <c r="A3" s="30" t="s">
        <v>5</v>
      </c>
      <c r="B3" s="27" t="s">
        <v>103</v>
      </c>
    </row>
    <row r="5" spans="1:4">
      <c r="A5" s="30" t="s">
        <v>8</v>
      </c>
      <c r="B5" t="s">
        <v>870</v>
      </c>
      <c r="C5" t="s">
        <v>857</v>
      </c>
      <c r="D5" t="s">
        <v>1069</v>
      </c>
    </row>
    <row r="6" spans="1:4">
      <c r="A6" s="27" t="s">
        <v>904</v>
      </c>
      <c r="B6" s="123">
        <v>24</v>
      </c>
      <c r="C6" s="123">
        <v>0.20000000000000007</v>
      </c>
      <c r="D6" s="123">
        <v>8.1201754385964904</v>
      </c>
    </row>
    <row r="7" spans="1:4">
      <c r="A7" s="28" t="s">
        <v>862</v>
      </c>
      <c r="B7" s="123">
        <v>24</v>
      </c>
      <c r="C7" s="123">
        <v>0.19999999999999998</v>
      </c>
      <c r="D7" s="123">
        <v>11.212962962962962</v>
      </c>
    </row>
    <row r="8" spans="1:4">
      <c r="A8" s="29">
        <v>1</v>
      </c>
      <c r="B8" s="123">
        <v>24</v>
      </c>
      <c r="C8" s="123">
        <v>0.2</v>
      </c>
      <c r="D8" s="123">
        <v>9.3125</v>
      </c>
    </row>
    <row r="9" spans="1:4">
      <c r="A9" s="29">
        <v>2</v>
      </c>
      <c r="B9" s="123">
        <v>24</v>
      </c>
      <c r="C9" s="123">
        <v>0.2</v>
      </c>
      <c r="D9" s="123">
        <v>7.3291666666666666</v>
      </c>
    </row>
    <row r="10" spans="1:4">
      <c r="A10" s="29">
        <v>3</v>
      </c>
      <c r="B10" s="123">
        <v>24</v>
      </c>
      <c r="C10" s="123">
        <v>0.2</v>
      </c>
      <c r="D10" s="123">
        <v>34.35</v>
      </c>
    </row>
    <row r="11" spans="1:4">
      <c r="A11" s="28" t="s">
        <v>864</v>
      </c>
      <c r="B11" s="123">
        <v>24</v>
      </c>
      <c r="C11" s="123">
        <v>0.2</v>
      </c>
      <c r="D11" s="123">
        <v>7.2066666666666661</v>
      </c>
    </row>
    <row r="12" spans="1:4">
      <c r="A12" s="29">
        <v>7</v>
      </c>
      <c r="B12" s="123">
        <v>24</v>
      </c>
      <c r="C12" s="123">
        <v>0.20000000000000004</v>
      </c>
      <c r="D12" s="123">
        <v>3.0388888888888892</v>
      </c>
    </row>
    <row r="13" spans="1:4">
      <c r="A13" s="29">
        <v>8</v>
      </c>
      <c r="B13" s="123">
        <v>24</v>
      </c>
      <c r="C13" s="123">
        <v>0.2</v>
      </c>
      <c r="D13" s="123">
        <v>13.458333333333334</v>
      </c>
    </row>
    <row r="14" spans="1:4">
      <c r="A14" s="28" t="s">
        <v>863</v>
      </c>
      <c r="B14" s="123">
        <v>24</v>
      </c>
      <c r="C14" s="123">
        <v>0.2</v>
      </c>
      <c r="D14" s="123">
        <v>3.4666666666666672</v>
      </c>
    </row>
    <row r="15" spans="1:4">
      <c r="A15" s="29">
        <v>4</v>
      </c>
      <c r="B15" s="123">
        <v>24</v>
      </c>
      <c r="C15" s="123">
        <v>0.2</v>
      </c>
      <c r="D15" s="123">
        <v>6.7833333333333332</v>
      </c>
    </row>
    <row r="16" spans="1:4">
      <c r="A16" s="29">
        <v>5</v>
      </c>
      <c r="B16" s="123">
        <v>24</v>
      </c>
      <c r="C16" s="123">
        <v>0.2</v>
      </c>
      <c r="D16" s="123">
        <v>1.5083333333333333</v>
      </c>
    </row>
    <row r="17" spans="1:4">
      <c r="A17" s="29">
        <v>6</v>
      </c>
      <c r="B17" s="123">
        <v>24</v>
      </c>
      <c r="C17" s="123">
        <v>0.2</v>
      </c>
      <c r="D17" s="123">
        <v>0.75</v>
      </c>
    </row>
    <row r="18" spans="1:4">
      <c r="A18" s="27" t="s">
        <v>9</v>
      </c>
      <c r="B18" s="123">
        <v>24</v>
      </c>
      <c r="C18" s="123">
        <v>0.20000000000000007</v>
      </c>
      <c r="D18" s="123">
        <v>8.1201754385964904</v>
      </c>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rightToLeft="1" workbookViewId="0">
      <selection activeCell="L10" sqref="L10"/>
    </sheetView>
  </sheetViews>
  <sheetFormatPr defaultRowHeight="1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27E6-49EF-4C48-B90B-6D2B6B2263DC}">
  <dimension ref="A2:B38"/>
  <sheetViews>
    <sheetView rightToLeft="1" topLeftCell="A4" workbookViewId="0">
      <selection activeCell="A29" sqref="A29"/>
    </sheetView>
  </sheetViews>
  <sheetFormatPr defaultRowHeight="15"/>
  <cols>
    <col min="1" max="1" width="13.140625" bestFit="1" customWidth="1"/>
    <col min="2" max="2" width="20.85546875" bestFit="1" customWidth="1"/>
    <col min="3" max="3" width="46.7109375" bestFit="1" customWidth="1"/>
    <col min="4" max="4" width="7.85546875" bestFit="1" customWidth="1"/>
    <col min="5" max="5" width="48.7109375" bestFit="1" customWidth="1"/>
    <col min="6" max="6" width="34" bestFit="1" customWidth="1"/>
    <col min="7" max="7" width="14.85546875" bestFit="1" customWidth="1"/>
    <col min="8" max="8" width="23.5703125" bestFit="1" customWidth="1"/>
    <col min="9" max="9" width="20.7109375" bestFit="1" customWidth="1"/>
    <col min="10" max="10" width="12.5703125" bestFit="1" customWidth="1"/>
    <col min="11" max="11" width="18.42578125" bestFit="1" customWidth="1"/>
    <col min="12" max="12" width="11.85546875" bestFit="1" customWidth="1"/>
    <col min="13" max="13" width="25.85546875" bestFit="1" customWidth="1"/>
    <col min="14" max="14" width="16.28515625" bestFit="1" customWidth="1"/>
    <col min="15" max="15" width="18.28515625" bestFit="1" customWidth="1"/>
    <col min="16" max="16" width="35.7109375" bestFit="1" customWidth="1"/>
    <col min="17" max="17" width="12.42578125" bestFit="1" customWidth="1"/>
    <col min="18" max="18" width="11.42578125" bestFit="1" customWidth="1"/>
    <col min="19" max="19" width="19.28515625" bestFit="1" customWidth="1"/>
    <col min="20" max="20" width="33" bestFit="1" customWidth="1"/>
    <col min="21" max="21" width="30" bestFit="1" customWidth="1"/>
    <col min="22" max="22" width="23.5703125" bestFit="1" customWidth="1"/>
    <col min="23" max="23" width="20.7109375" bestFit="1" customWidth="1"/>
    <col min="24" max="24" width="19.28515625" bestFit="1" customWidth="1"/>
    <col min="25" max="25" width="21.7109375" bestFit="1" customWidth="1"/>
    <col min="26" max="26" width="12.5703125" bestFit="1" customWidth="1"/>
    <col min="27" max="27" width="16.140625" bestFit="1" customWidth="1"/>
    <col min="28" max="28" width="27.42578125" bestFit="1" customWidth="1"/>
    <col min="29" max="29" width="14.5703125" bestFit="1" customWidth="1"/>
    <col min="30" max="30" width="18.42578125" bestFit="1" customWidth="1"/>
    <col min="31" max="31" width="13.42578125" bestFit="1" customWidth="1"/>
    <col min="32" max="32" width="11.85546875" bestFit="1" customWidth="1"/>
    <col min="33" max="33" width="10.42578125" bestFit="1" customWidth="1"/>
    <col min="34" max="34" width="10.28515625" bestFit="1" customWidth="1"/>
    <col min="35" max="35" width="17.42578125" bestFit="1" customWidth="1"/>
    <col min="36" max="36" width="43.85546875" bestFit="1" customWidth="1"/>
    <col min="37" max="37" width="8.42578125" bestFit="1" customWidth="1"/>
    <col min="38" max="38" width="26.42578125" bestFit="1" customWidth="1"/>
    <col min="39" max="39" width="22" bestFit="1" customWidth="1"/>
    <col min="40" max="40" width="20.42578125" bestFit="1" customWidth="1"/>
    <col min="41" max="41" width="13.7109375" bestFit="1" customWidth="1"/>
    <col min="42" max="42" width="19.140625" bestFit="1" customWidth="1"/>
    <col min="43" max="43" width="31" bestFit="1" customWidth="1"/>
    <col min="44" max="44" width="8.140625" bestFit="1" customWidth="1"/>
    <col min="45" max="45" width="12.140625" bestFit="1" customWidth="1"/>
    <col min="46" max="46" width="23.28515625" bestFit="1" customWidth="1"/>
    <col min="47" max="47" width="12.28515625" bestFit="1" customWidth="1"/>
    <col min="48" max="48" width="25.85546875" bestFit="1" customWidth="1"/>
    <col min="49" max="49" width="16.28515625" bestFit="1" customWidth="1"/>
    <col min="50" max="50" width="18.42578125" bestFit="1" customWidth="1"/>
    <col min="51" max="51" width="34.42578125" bestFit="1" customWidth="1"/>
    <col min="52" max="52" width="14.28515625" bestFit="1" customWidth="1"/>
    <col min="53" max="53" width="18.28515625" bestFit="1" customWidth="1"/>
    <col min="54" max="54" width="13.42578125" bestFit="1" customWidth="1"/>
    <col min="55" max="55" width="48.42578125" bestFit="1" customWidth="1"/>
    <col min="56" max="56" width="43.85546875" bestFit="1" customWidth="1"/>
    <col min="57" max="57" width="18.5703125" bestFit="1" customWidth="1"/>
    <col min="58" max="58" width="18.42578125" bestFit="1" customWidth="1"/>
    <col min="59" max="59" width="35.7109375" bestFit="1" customWidth="1"/>
    <col min="60" max="60" width="31.140625" bestFit="1" customWidth="1"/>
    <col min="61" max="61" width="34.42578125" bestFit="1" customWidth="1"/>
    <col min="62" max="62" width="25.42578125" bestFit="1" customWidth="1"/>
    <col min="63" max="63" width="26.5703125" bestFit="1" customWidth="1"/>
    <col min="64" max="64" width="31.140625" bestFit="1" customWidth="1"/>
    <col min="65" max="65" width="11.7109375" bestFit="1" customWidth="1"/>
    <col min="66" max="66" width="12.42578125" bestFit="1" customWidth="1"/>
    <col min="67" max="67" width="18.140625" bestFit="1" customWidth="1"/>
    <col min="68" max="68" width="23.5703125" bestFit="1" customWidth="1"/>
    <col min="69" max="69" width="6.85546875" bestFit="1" customWidth="1"/>
    <col min="70" max="70" width="11.42578125" bestFit="1" customWidth="1"/>
    <col min="71" max="71" width="63.42578125" bestFit="1" customWidth="1"/>
    <col min="72" max="72" width="20.42578125" bestFit="1" customWidth="1"/>
    <col min="73" max="73" width="13.7109375" bestFit="1" customWidth="1"/>
    <col min="74" max="74" width="20.28515625" bestFit="1" customWidth="1"/>
    <col min="75" max="75" width="19.140625" bestFit="1" customWidth="1"/>
    <col min="76" max="76" width="31" bestFit="1" customWidth="1"/>
    <col min="77" max="77" width="8.140625" bestFit="1" customWidth="1"/>
    <col min="78" max="78" width="11.42578125" bestFit="1" customWidth="1"/>
    <col min="79" max="79" width="12.140625" bestFit="1" customWidth="1"/>
    <col min="80" max="80" width="23.28515625" bestFit="1" customWidth="1"/>
    <col min="81" max="81" width="21.7109375" bestFit="1" customWidth="1"/>
    <col min="82" max="82" width="6.7109375" bestFit="1" customWidth="1"/>
    <col min="83" max="83" width="12.28515625" bestFit="1" customWidth="1"/>
    <col min="84" max="84" width="16.5703125" bestFit="1" customWidth="1"/>
    <col min="85" max="85" width="9.85546875" bestFit="1" customWidth="1"/>
    <col min="86" max="86" width="25.85546875" bestFit="1" customWidth="1"/>
    <col min="87" max="87" width="16.28515625" bestFit="1" customWidth="1"/>
    <col min="88" max="88" width="18.42578125" bestFit="1" customWidth="1"/>
    <col min="89" max="89" width="13.42578125" bestFit="1" customWidth="1"/>
    <col min="90" max="90" width="27.5703125" bestFit="1" customWidth="1"/>
    <col min="91" max="91" width="34.42578125" bestFit="1" customWidth="1"/>
    <col min="92" max="92" width="14.28515625" bestFit="1" customWidth="1"/>
    <col min="93" max="93" width="55.42578125" bestFit="1" customWidth="1"/>
    <col min="94" max="94" width="18.28515625" bestFit="1" customWidth="1"/>
    <col min="95" max="95" width="13.42578125" bestFit="1" customWidth="1"/>
    <col min="96" max="96" width="63.85546875" bestFit="1" customWidth="1"/>
    <col min="97" max="97" width="68" bestFit="1" customWidth="1"/>
    <col min="98" max="98" width="18.85546875" bestFit="1" customWidth="1"/>
    <col min="99" max="99" width="46.42578125" bestFit="1" customWidth="1"/>
    <col min="100" max="100" width="45.42578125" bestFit="1" customWidth="1"/>
    <col min="101" max="101" width="91.5703125" bestFit="1" customWidth="1"/>
    <col min="102" max="102" width="20.5703125" bestFit="1" customWidth="1"/>
    <col min="103" max="103" width="48.42578125" bestFit="1" customWidth="1"/>
    <col min="104" max="104" width="39.42578125" bestFit="1" customWidth="1"/>
    <col min="105" max="105" width="20" bestFit="1" customWidth="1"/>
    <col min="106" max="106" width="43.85546875" bestFit="1" customWidth="1"/>
    <col min="107" max="107" width="18.5703125" bestFit="1" customWidth="1"/>
    <col min="108" max="108" width="36.42578125" bestFit="1" customWidth="1"/>
    <col min="109" max="109" width="18.42578125" bestFit="1" customWidth="1"/>
    <col min="110" max="110" width="12.42578125" bestFit="1" customWidth="1"/>
    <col min="111" max="111" width="19.42578125" bestFit="1" customWidth="1"/>
    <col min="112" max="112" width="35.7109375" bestFit="1" customWidth="1"/>
    <col min="113" max="113" width="31.140625" bestFit="1" customWidth="1"/>
    <col min="114" max="114" width="34.42578125" bestFit="1" customWidth="1"/>
    <col min="115" max="115" width="17.85546875" bestFit="1" customWidth="1"/>
    <col min="116" max="116" width="14.140625" bestFit="1" customWidth="1"/>
    <col min="117" max="117" width="25.42578125" bestFit="1" customWidth="1"/>
    <col min="118" max="118" width="20.7109375" bestFit="1" customWidth="1"/>
    <col min="119" max="119" width="26.5703125" bestFit="1" customWidth="1"/>
    <col min="120" max="120" width="10.5703125" bestFit="1" customWidth="1"/>
    <col min="121" max="121" width="31.140625" bestFit="1" customWidth="1"/>
    <col min="122" max="122" width="11.7109375" bestFit="1" customWidth="1"/>
    <col min="123" max="123" width="12.42578125" bestFit="1" customWidth="1"/>
    <col min="124" max="124" width="18.140625" bestFit="1" customWidth="1"/>
    <col min="125" max="125" width="16.42578125" bestFit="1" customWidth="1"/>
    <col min="126" max="126" width="19.140625" bestFit="1" customWidth="1"/>
    <col min="127" max="127" width="47.28515625" bestFit="1" customWidth="1"/>
    <col min="128" max="128" width="49.85546875" bestFit="1" customWidth="1"/>
    <col min="129" max="129" width="10.85546875" bestFit="1" customWidth="1"/>
    <col min="130" max="130" width="17.42578125" bestFit="1" customWidth="1"/>
    <col min="131" max="131" width="77.7109375" bestFit="1" customWidth="1"/>
    <col min="132" max="132" width="5.28515625" bestFit="1" customWidth="1"/>
    <col min="133" max="133" width="92.85546875" bestFit="1" customWidth="1"/>
    <col min="134" max="134" width="43.85546875" bestFit="1" customWidth="1"/>
    <col min="135" max="135" width="51.5703125" bestFit="1" customWidth="1"/>
    <col min="136" max="136" width="36.28515625" bestFit="1" customWidth="1"/>
    <col min="137" max="137" width="23.5703125" bestFit="1" customWidth="1"/>
    <col min="138" max="138" width="6.85546875" bestFit="1" customWidth="1"/>
    <col min="139" max="139" width="11.42578125" bestFit="1" customWidth="1"/>
  </cols>
  <sheetData>
    <row r="2" spans="1:2">
      <c r="A2" s="30" t="s">
        <v>7</v>
      </c>
      <c r="B2" s="27" t="s">
        <v>103</v>
      </c>
    </row>
    <row r="3" spans="1:2">
      <c r="A3" s="30" t="s">
        <v>4</v>
      </c>
      <c r="B3" s="27" t="s">
        <v>121</v>
      </c>
    </row>
    <row r="4" spans="1:2">
      <c r="A4" s="30" t="s">
        <v>5</v>
      </c>
      <c r="B4" s="27" t="s">
        <v>103</v>
      </c>
    </row>
    <row r="6" spans="1:2">
      <c r="A6" s="30" t="s">
        <v>8</v>
      </c>
      <c r="B6" t="s">
        <v>1069</v>
      </c>
    </row>
    <row r="7" spans="1:2">
      <c r="A7" s="27" t="s">
        <v>904</v>
      </c>
      <c r="B7" s="123">
        <v>8.1201754385964922</v>
      </c>
    </row>
    <row r="8" spans="1:2">
      <c r="A8" s="28" t="s">
        <v>862</v>
      </c>
      <c r="B8" s="123">
        <v>11.212962962962962</v>
      </c>
    </row>
    <row r="9" spans="1:2">
      <c r="A9" s="29">
        <v>1</v>
      </c>
      <c r="B9" s="123">
        <v>9.3125</v>
      </c>
    </row>
    <row r="10" spans="1:2">
      <c r="A10" s="31" t="s">
        <v>1362</v>
      </c>
      <c r="B10" s="123">
        <v>1.7833333333333334</v>
      </c>
    </row>
    <row r="11" spans="1:2">
      <c r="A11" s="31" t="s">
        <v>1363</v>
      </c>
      <c r="B11" s="123">
        <v>0.6166666666666667</v>
      </c>
    </row>
    <row r="12" spans="1:2">
      <c r="A12" s="31" t="s">
        <v>1364</v>
      </c>
      <c r="B12" s="123">
        <v>3.5833333333333335</v>
      </c>
    </row>
    <row r="13" spans="1:2">
      <c r="A13" s="31" t="s">
        <v>1365</v>
      </c>
      <c r="B13" s="123">
        <v>31.266666666666666</v>
      </c>
    </row>
    <row r="14" spans="1:2">
      <c r="A14" s="29">
        <v>2</v>
      </c>
      <c r="B14" s="123">
        <v>7.3291666666666666</v>
      </c>
    </row>
    <row r="15" spans="1:2">
      <c r="A15" s="31" t="s">
        <v>1366</v>
      </c>
      <c r="B15" s="123">
        <v>27.5</v>
      </c>
    </row>
    <row r="16" spans="1:2">
      <c r="A16" s="31" t="s">
        <v>1367</v>
      </c>
      <c r="B16" s="123">
        <v>0.23333333333333334</v>
      </c>
    </row>
    <row r="17" spans="1:2">
      <c r="A17" s="31" t="s">
        <v>1368</v>
      </c>
      <c r="B17" s="123">
        <v>0.8666666666666667</v>
      </c>
    </row>
    <row r="18" spans="1:2">
      <c r="A18" s="31" t="s">
        <v>1369</v>
      </c>
      <c r="B18" s="123">
        <v>0.71666666666666667</v>
      </c>
    </row>
    <row r="19" spans="1:2">
      <c r="A19" s="29">
        <v>3</v>
      </c>
      <c r="B19" s="123">
        <v>34.35</v>
      </c>
    </row>
    <row r="20" spans="1:2">
      <c r="A20" s="31" t="s">
        <v>1370</v>
      </c>
      <c r="B20" s="123">
        <v>34.35</v>
      </c>
    </row>
    <row r="21" spans="1:2">
      <c r="A21" s="28" t="s">
        <v>863</v>
      </c>
      <c r="B21" s="123">
        <v>3.4666666666666663</v>
      </c>
    </row>
    <row r="22" spans="1:2">
      <c r="A22" s="29">
        <v>4</v>
      </c>
      <c r="B22" s="123">
        <v>6.7833333333333332</v>
      </c>
    </row>
    <row r="23" spans="1:2">
      <c r="A23" s="31" t="s">
        <v>1371</v>
      </c>
      <c r="B23" s="123">
        <v>13.4</v>
      </c>
    </row>
    <row r="24" spans="1:2">
      <c r="A24" s="31" t="s">
        <v>1362</v>
      </c>
      <c r="B24" s="123">
        <v>0.16666666666666666</v>
      </c>
    </row>
    <row r="25" spans="1:2">
      <c r="A25" s="29">
        <v>5</v>
      </c>
      <c r="B25" s="123">
        <v>1.5083333333333333</v>
      </c>
    </row>
    <row r="26" spans="1:2">
      <c r="A26" s="31" t="s">
        <v>1372</v>
      </c>
      <c r="B26" s="123">
        <v>0.1</v>
      </c>
    </row>
    <row r="27" spans="1:2">
      <c r="A27" s="31" t="s">
        <v>1277</v>
      </c>
      <c r="B27" s="123">
        <v>2.9166666666666665</v>
      </c>
    </row>
    <row r="28" spans="1:2">
      <c r="A28" s="29">
        <v>6</v>
      </c>
      <c r="B28" s="123">
        <v>0.75</v>
      </c>
    </row>
    <row r="29" spans="1:2">
      <c r="A29" s="31" t="s">
        <v>1369</v>
      </c>
      <c r="B29" s="123">
        <v>0.75</v>
      </c>
    </row>
    <row r="30" spans="1:2">
      <c r="A30" s="28" t="s">
        <v>864</v>
      </c>
      <c r="B30" s="123">
        <v>7.2066666666666661</v>
      </c>
    </row>
    <row r="31" spans="1:2">
      <c r="A31" s="29">
        <v>7</v>
      </c>
      <c r="B31" s="123">
        <v>3.0388888888888892</v>
      </c>
    </row>
    <row r="32" spans="1:2">
      <c r="A32" s="31" t="s">
        <v>1278</v>
      </c>
      <c r="B32" s="123">
        <v>0.2</v>
      </c>
    </row>
    <row r="33" spans="1:2">
      <c r="A33" s="31" t="s">
        <v>1279</v>
      </c>
      <c r="B33" s="123">
        <v>5.916666666666667</v>
      </c>
    </row>
    <row r="34" spans="1:2">
      <c r="A34" s="31" t="s">
        <v>1280</v>
      </c>
      <c r="B34" s="123">
        <v>3</v>
      </c>
    </row>
    <row r="35" spans="1:2">
      <c r="A35" s="29">
        <v>8</v>
      </c>
      <c r="B35" s="123">
        <v>13.458333333333334</v>
      </c>
    </row>
    <row r="36" spans="1:2">
      <c r="A36" s="31" t="s">
        <v>1277</v>
      </c>
      <c r="B36" s="123">
        <v>0.41666666666666669</v>
      </c>
    </row>
    <row r="37" spans="1:2">
      <c r="A37" s="31" t="s">
        <v>1281</v>
      </c>
      <c r="B37" s="123">
        <v>26.5</v>
      </c>
    </row>
    <row r="38" spans="1:2">
      <c r="A38" s="27" t="s">
        <v>9</v>
      </c>
      <c r="B38" s="123">
        <v>8.1201754385964922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8C82-C583-41D7-B510-2606C975ADE1}">
  <dimension ref="A1:L29"/>
  <sheetViews>
    <sheetView rightToLeft="1" workbookViewId="0">
      <selection activeCell="K7" sqref="K7"/>
    </sheetView>
  </sheetViews>
  <sheetFormatPr defaultRowHeight="15"/>
  <cols>
    <col min="1" max="1" width="16" bestFit="1" customWidth="1"/>
    <col min="2" max="2" width="23.28515625" bestFit="1" customWidth="1"/>
    <col min="3" max="3" width="6.85546875" bestFit="1" customWidth="1"/>
    <col min="4" max="4" width="11.42578125" bestFit="1" customWidth="1"/>
    <col min="5" max="5" width="21" bestFit="1" customWidth="1"/>
    <col min="6" max="6" width="23.28515625" bestFit="1" customWidth="1"/>
    <col min="7" max="7" width="16.140625" bestFit="1" customWidth="1"/>
    <col min="8" max="8" width="24.42578125" bestFit="1" customWidth="1"/>
    <col min="9" max="9" width="20.85546875" bestFit="1" customWidth="1"/>
    <col min="10" max="10" width="16.7109375" bestFit="1" customWidth="1"/>
    <col min="11" max="11" width="24.42578125" bestFit="1" customWidth="1"/>
    <col min="12" max="12" width="20.85546875" bestFit="1" customWidth="1"/>
    <col min="13" max="13" width="16.140625" bestFit="1" customWidth="1"/>
    <col min="14" max="14" width="10" bestFit="1" customWidth="1"/>
    <col min="15" max="15" width="12.28515625" bestFit="1" customWidth="1"/>
    <col min="16" max="17" width="14.140625" bestFit="1" customWidth="1"/>
    <col min="18" max="18" width="13.5703125" bestFit="1" customWidth="1"/>
    <col min="19" max="19" width="11.5703125" bestFit="1" customWidth="1"/>
    <col min="20" max="20" width="4.42578125" bestFit="1" customWidth="1"/>
    <col min="21" max="21" width="6.85546875" bestFit="1" customWidth="1"/>
    <col min="22" max="22" width="5.140625" bestFit="1" customWidth="1"/>
    <col min="23" max="23" width="10.85546875" bestFit="1" customWidth="1"/>
    <col min="24" max="24" width="10.140625" bestFit="1" customWidth="1"/>
    <col min="25" max="25" width="10.5703125" bestFit="1" customWidth="1"/>
    <col min="26" max="26" width="10.140625" bestFit="1" customWidth="1"/>
    <col min="27" max="27" width="17.28515625" bestFit="1" customWidth="1"/>
    <col min="28" max="28" width="14.140625" bestFit="1" customWidth="1"/>
    <col min="29" max="29" width="19.28515625" bestFit="1" customWidth="1"/>
    <col min="30" max="33" width="9.5703125" bestFit="1" customWidth="1"/>
    <col min="34" max="34" width="18.140625" bestFit="1" customWidth="1"/>
    <col min="35" max="35" width="19.140625" bestFit="1" customWidth="1"/>
    <col min="36" max="37" width="13.5703125" bestFit="1" customWidth="1"/>
    <col min="38" max="38" width="18.42578125" bestFit="1" customWidth="1"/>
    <col min="39" max="39" width="8.5703125" bestFit="1" customWidth="1"/>
    <col min="40" max="40" width="11.42578125" bestFit="1" customWidth="1"/>
  </cols>
  <sheetData>
    <row r="1" spans="1:12" ht="21">
      <c r="A1" s="117" t="s">
        <v>2</v>
      </c>
      <c r="B1" s="117"/>
      <c r="E1" s="117" t="s">
        <v>3</v>
      </c>
      <c r="F1" s="117"/>
      <c r="H1" s="117" t="s">
        <v>1253</v>
      </c>
      <c r="I1" s="117"/>
      <c r="K1" s="117" t="s">
        <v>1254</v>
      </c>
      <c r="L1" s="117"/>
    </row>
    <row r="2" spans="1:12">
      <c r="A2" s="30" t="s">
        <v>1258</v>
      </c>
      <c r="B2" s="27" t="s">
        <v>98</v>
      </c>
      <c r="E2" s="30" t="s">
        <v>1258</v>
      </c>
      <c r="F2" s="27" t="s">
        <v>98</v>
      </c>
      <c r="H2" s="30" t="s">
        <v>1257</v>
      </c>
      <c r="I2" s="27" t="s">
        <v>904</v>
      </c>
      <c r="K2" s="30" t="s">
        <v>1257</v>
      </c>
      <c r="L2" s="27" t="s">
        <v>103</v>
      </c>
    </row>
    <row r="3" spans="1:12">
      <c r="A3" s="30" t="s">
        <v>1257</v>
      </c>
      <c r="B3" s="27" t="s">
        <v>904</v>
      </c>
      <c r="E3" s="30" t="s">
        <v>1257</v>
      </c>
      <c r="F3" s="27" t="s">
        <v>103</v>
      </c>
      <c r="H3" s="30" t="s">
        <v>1255</v>
      </c>
      <c r="I3" s="27" t="s">
        <v>103</v>
      </c>
      <c r="K3" s="30" t="s">
        <v>1255</v>
      </c>
      <c r="L3" s="27" t="s">
        <v>103</v>
      </c>
    </row>
    <row r="4" spans="1:12">
      <c r="A4" s="30" t="s">
        <v>1255</v>
      </c>
      <c r="B4" s="27" t="s">
        <v>103</v>
      </c>
      <c r="E4" s="30" t="s">
        <v>1255</v>
      </c>
      <c r="F4" s="27" t="s">
        <v>103</v>
      </c>
      <c r="H4" s="30" t="s">
        <v>1256</v>
      </c>
      <c r="I4" s="27" t="s">
        <v>103</v>
      </c>
      <c r="K4" s="30" t="s">
        <v>1256</v>
      </c>
      <c r="L4" s="27" t="s">
        <v>103</v>
      </c>
    </row>
    <row r="5" spans="1:12">
      <c r="A5" s="30" t="s">
        <v>1256</v>
      </c>
      <c r="B5" s="27" t="s">
        <v>103</v>
      </c>
      <c r="E5" s="30" t="s">
        <v>1256</v>
      </c>
      <c r="F5" s="27" t="s">
        <v>103</v>
      </c>
      <c r="H5" s="30" t="s">
        <v>10</v>
      </c>
      <c r="I5" s="27" t="s">
        <v>103</v>
      </c>
      <c r="K5" s="30" t="s">
        <v>10</v>
      </c>
      <c r="L5" s="27" t="s">
        <v>103</v>
      </c>
    </row>
    <row r="6" spans="1:12">
      <c r="A6" s="30" t="s">
        <v>10</v>
      </c>
      <c r="B6" s="27" t="s">
        <v>103</v>
      </c>
      <c r="E6" s="30" t="s">
        <v>10</v>
      </c>
      <c r="F6" s="27" t="s">
        <v>103</v>
      </c>
    </row>
    <row r="7" spans="1:12">
      <c r="H7" s="30" t="s">
        <v>8</v>
      </c>
      <c r="I7" t="s">
        <v>1067</v>
      </c>
      <c r="K7" s="30" t="s">
        <v>8</v>
      </c>
      <c r="L7" t="s">
        <v>1069</v>
      </c>
    </row>
    <row r="8" spans="1:12">
      <c r="A8" s="30" t="s">
        <v>8</v>
      </c>
      <c r="B8" t="s">
        <v>1067</v>
      </c>
      <c r="E8" s="30" t="s">
        <v>8</v>
      </c>
      <c r="F8" t="s">
        <v>1069</v>
      </c>
      <c r="H8" s="27" t="s">
        <v>99</v>
      </c>
      <c r="I8" s="123">
        <v>265.20740740740735</v>
      </c>
      <c r="K8" s="27" t="s">
        <v>99</v>
      </c>
      <c r="L8" s="123">
        <v>1070207.513768116</v>
      </c>
    </row>
    <row r="9" spans="1:12">
      <c r="A9" s="27" t="s">
        <v>1121</v>
      </c>
      <c r="B9" s="123">
        <v>23.666666666666668</v>
      </c>
      <c r="E9" s="27" t="s">
        <v>1123</v>
      </c>
      <c r="F9" s="123">
        <v>2050924.4444444443</v>
      </c>
      <c r="H9" s="27" t="s">
        <v>98</v>
      </c>
      <c r="I9" s="123">
        <v>397.08719512196325</v>
      </c>
      <c r="K9" s="27" t="s">
        <v>98</v>
      </c>
      <c r="L9" s="123">
        <v>358460.626537217</v>
      </c>
    </row>
    <row r="10" spans="1:12">
      <c r="A10" s="27" t="s">
        <v>49</v>
      </c>
      <c r="B10" s="123">
        <v>72.891666666666666</v>
      </c>
      <c r="E10" s="27" t="s">
        <v>1115</v>
      </c>
      <c r="F10" s="123">
        <v>1367346.4685185181</v>
      </c>
      <c r="H10" s="27" t="s">
        <v>97</v>
      </c>
      <c r="I10" s="123">
        <v>1384.159649122807</v>
      </c>
      <c r="K10" s="27" t="s">
        <v>97</v>
      </c>
      <c r="L10" s="123">
        <v>273473.01259259257</v>
      </c>
    </row>
    <row r="11" spans="1:12">
      <c r="A11" s="27" t="s">
        <v>937</v>
      </c>
      <c r="B11" s="123">
        <v>103.78333333333333</v>
      </c>
      <c r="E11" s="27" t="s">
        <v>1050</v>
      </c>
      <c r="F11" s="123">
        <v>1367342.3796296297</v>
      </c>
      <c r="H11" s="27" t="s">
        <v>1289</v>
      </c>
      <c r="I11" s="123">
        <v>1803.4458333333332</v>
      </c>
      <c r="K11" s="27" t="s">
        <v>1289</v>
      </c>
      <c r="L11" s="123">
        <v>94.89791666666666</v>
      </c>
    </row>
    <row r="12" spans="1:12">
      <c r="A12" s="27" t="s">
        <v>1115</v>
      </c>
      <c r="B12" s="123">
        <v>151.80729166666663</v>
      </c>
      <c r="E12" s="27" t="s">
        <v>1120</v>
      </c>
      <c r="F12" s="123">
        <v>723896.39411764697</v>
      </c>
      <c r="H12" s="27" t="s">
        <v>75</v>
      </c>
      <c r="I12" s="123">
        <v>2233.8416666666667</v>
      </c>
      <c r="K12" s="27" t="s">
        <v>75</v>
      </c>
      <c r="L12" s="123">
        <v>3.0125000000000006</v>
      </c>
    </row>
    <row r="13" spans="1:12">
      <c r="A13" s="27" t="s">
        <v>881</v>
      </c>
      <c r="B13" s="123">
        <v>228.49506172839503</v>
      </c>
      <c r="E13" s="27" t="s">
        <v>881</v>
      </c>
      <c r="F13" s="123">
        <v>439505.04166666651</v>
      </c>
      <c r="H13" s="27" t="s">
        <v>9</v>
      </c>
      <c r="I13" s="123">
        <v>532.77609427610446</v>
      </c>
      <c r="K13" s="27" t="s">
        <v>9</v>
      </c>
      <c r="L13" s="123">
        <v>381947.34735632205</v>
      </c>
    </row>
    <row r="14" spans="1:12">
      <c r="A14" s="27" t="s">
        <v>1120</v>
      </c>
      <c r="B14" s="123">
        <v>249.86250000012416</v>
      </c>
      <c r="E14" s="27" t="s">
        <v>1087</v>
      </c>
      <c r="F14" s="123">
        <v>764.05</v>
      </c>
    </row>
    <row r="15" spans="1:12">
      <c r="A15" s="27" t="s">
        <v>116</v>
      </c>
      <c r="B15" s="123">
        <v>257.13245614035094</v>
      </c>
      <c r="E15" s="27" t="s">
        <v>129</v>
      </c>
      <c r="F15" s="123">
        <v>586.46944444444443</v>
      </c>
    </row>
    <row r="16" spans="1:12">
      <c r="A16" s="27" t="s">
        <v>121</v>
      </c>
      <c r="B16" s="123">
        <v>282.39210526315787</v>
      </c>
      <c r="E16" s="27" t="s">
        <v>116</v>
      </c>
      <c r="F16" s="123">
        <v>52.060666666666677</v>
      </c>
    </row>
    <row r="17" spans="1:6">
      <c r="A17" s="27" t="s">
        <v>1123</v>
      </c>
      <c r="B17" s="123">
        <v>295.25333333333333</v>
      </c>
      <c r="E17" s="27" t="s">
        <v>89</v>
      </c>
      <c r="F17" s="123">
        <v>42.394444444444446</v>
      </c>
    </row>
    <row r="18" spans="1:6">
      <c r="A18" s="27" t="s">
        <v>1129</v>
      </c>
      <c r="B18" s="123">
        <v>325.91666666666669</v>
      </c>
      <c r="E18" s="27" t="s">
        <v>1130</v>
      </c>
      <c r="F18" s="123">
        <v>21.066666666666666</v>
      </c>
    </row>
    <row r="19" spans="1:6">
      <c r="A19" s="27" t="s">
        <v>185</v>
      </c>
      <c r="B19" s="123">
        <v>367.87407407407414</v>
      </c>
      <c r="E19" s="27" t="s">
        <v>1131</v>
      </c>
      <c r="F19" s="123">
        <v>17.899999999999999</v>
      </c>
    </row>
    <row r="20" spans="1:6">
      <c r="A20" s="27" t="s">
        <v>1050</v>
      </c>
      <c r="B20" s="123">
        <v>465.65277777777777</v>
      </c>
      <c r="E20" s="27" t="s">
        <v>121</v>
      </c>
      <c r="F20" s="123">
        <v>17.871604938271609</v>
      </c>
    </row>
    <row r="21" spans="1:6">
      <c r="A21" s="27" t="s">
        <v>50</v>
      </c>
      <c r="B21" s="123">
        <v>496.11296296296314</v>
      </c>
      <c r="E21" s="27" t="s">
        <v>185</v>
      </c>
      <c r="F21" s="123">
        <v>17.826666666666672</v>
      </c>
    </row>
    <row r="22" spans="1:6">
      <c r="A22" s="27" t="s">
        <v>129</v>
      </c>
      <c r="B22" s="123">
        <v>563.57083333333333</v>
      </c>
      <c r="E22" s="27" t="s">
        <v>49</v>
      </c>
      <c r="F22" s="123">
        <v>16.095833333333331</v>
      </c>
    </row>
    <row r="23" spans="1:6">
      <c r="A23" s="27" t="s">
        <v>1113</v>
      </c>
      <c r="B23" s="123">
        <v>735.5020833333333</v>
      </c>
      <c r="E23" s="27" t="s">
        <v>159</v>
      </c>
      <c r="F23" s="123">
        <v>4</v>
      </c>
    </row>
    <row r="24" spans="1:6">
      <c r="A24" s="27" t="s">
        <v>1130</v>
      </c>
      <c r="B24" s="123">
        <v>792.25</v>
      </c>
      <c r="E24" s="27" t="s">
        <v>1047</v>
      </c>
      <c r="F24" s="123">
        <v>3.9866666666666668</v>
      </c>
    </row>
    <row r="25" spans="1:6">
      <c r="A25" s="27" t="s">
        <v>573</v>
      </c>
      <c r="B25" s="123">
        <v>876.375</v>
      </c>
      <c r="E25" s="27" t="s">
        <v>573</v>
      </c>
      <c r="F25" s="123">
        <v>1.9166666666666667</v>
      </c>
    </row>
    <row r="26" spans="1:6">
      <c r="A26" s="27" t="s">
        <v>1119</v>
      </c>
      <c r="B26" s="123">
        <v>1130.4000000000001</v>
      </c>
      <c r="E26" s="27" t="s">
        <v>50</v>
      </c>
      <c r="F26" s="123">
        <v>1.8649122807017546</v>
      </c>
    </row>
    <row r="27" spans="1:6">
      <c r="A27" s="27" t="s">
        <v>1047</v>
      </c>
      <c r="B27" s="123">
        <v>1382.8722222222223</v>
      </c>
      <c r="E27" s="27" t="s">
        <v>1121</v>
      </c>
      <c r="F27" s="123">
        <v>1.3166666666666667</v>
      </c>
    </row>
    <row r="28" spans="1:6">
      <c r="A28" s="27" t="s">
        <v>1131</v>
      </c>
      <c r="B28" s="123">
        <v>1477.25</v>
      </c>
      <c r="E28" s="27" t="s">
        <v>937</v>
      </c>
      <c r="F28" s="123">
        <v>1.175</v>
      </c>
    </row>
    <row r="29" spans="1:6">
      <c r="A29" s="27" t="s">
        <v>9</v>
      </c>
      <c r="B29" s="123">
        <v>357.14679089028141</v>
      </c>
      <c r="E29" s="27" t="s">
        <v>9</v>
      </c>
      <c r="F29" s="123">
        <v>382605.59550949908</v>
      </c>
    </row>
  </sheetData>
  <mergeCells count="4">
    <mergeCell ref="A1:B1"/>
    <mergeCell ref="E1:F1"/>
    <mergeCell ref="K1:L1"/>
    <mergeCell ref="H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rightToLeft="1" workbookViewId="0">
      <selection activeCell="A4" sqref="A4"/>
    </sheetView>
  </sheetViews>
  <sheetFormatPr defaultRowHeight="15"/>
  <cols>
    <col min="1" max="1" width="11.42578125" customWidth="1"/>
    <col min="3" max="3" width="53.42578125" customWidth="1"/>
  </cols>
  <sheetData>
    <row r="1" spans="1:3">
      <c r="A1" t="s">
        <v>848</v>
      </c>
      <c r="B1" t="s">
        <v>849</v>
      </c>
      <c r="C1" t="s">
        <v>850</v>
      </c>
    </row>
    <row r="2" spans="1:3">
      <c r="A2" s="20">
        <v>14040118</v>
      </c>
      <c r="B2">
        <v>3</v>
      </c>
      <c r="C2" s="19" t="s">
        <v>851</v>
      </c>
    </row>
    <row r="3" spans="1:3">
      <c r="A3" s="20">
        <v>14040118</v>
      </c>
      <c r="B3">
        <v>3</v>
      </c>
      <c r="C3" s="19" t="s">
        <v>852</v>
      </c>
    </row>
    <row r="4" spans="1:3">
      <c r="A4" s="20"/>
      <c r="C4" s="1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database</vt:lpstr>
      <vt:lpstr>ورود داده</vt:lpstr>
      <vt:lpstr>داشبورد</vt:lpstr>
      <vt:lpstr>نمودار مقایسه ای</vt:lpstr>
      <vt:lpstr>نمودار عملکرد تجهیز</vt:lpstr>
      <vt:lpstr>all of factory</vt:lpstr>
      <vt:lpstr>MTBF</vt:lpstr>
      <vt:lpstr>MTTR</vt:lpstr>
      <vt:lpstr>MTBF (all machin)</vt:lpstr>
      <vt:lpstr>MTTR (all machin)</vt:lpstr>
      <vt:lpstr>MTBF_selected machin</vt:lpstr>
      <vt:lpstr>MTTR_selected machin</vt:lpstr>
      <vt:lpstr>Action Plan</vt:lpstr>
      <vt:lpstr>defects (MTTR)</vt:lpstr>
      <vt:lpstr>pareto</vt:lpstr>
      <vt:lpstr>اصلاحات</vt:lpstr>
    </vt:vector>
  </TitlesOfParts>
  <Company>vpmc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rafiee</dc:creator>
  <cp:lastModifiedBy>Hossein Karjoo</cp:lastModifiedBy>
  <cp:lastPrinted>2025-12-18T09:44:28Z</cp:lastPrinted>
  <dcterms:created xsi:type="dcterms:W3CDTF">2010-05-09T12:23:51Z</dcterms:created>
  <dcterms:modified xsi:type="dcterms:W3CDTF">2026-02-06T15:33:33Z</dcterms:modified>
</cp:coreProperties>
</file>